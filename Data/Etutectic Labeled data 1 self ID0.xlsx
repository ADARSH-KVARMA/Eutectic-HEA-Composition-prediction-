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Adrash\mini project\"/>
    </mc:Choice>
  </mc:AlternateContent>
  <xr:revisionPtr revIDLastSave="0" documentId="13_ncr:1_{5E88F06E-C49C-412A-9FF1-1831DF2D22C1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heet1" sheetId="1" r:id="rId1"/>
    <sheet name="Sheet2" sheetId="2" r:id="rId2"/>
    <sheet name="Sheet4" sheetId="4" r:id="rId3"/>
    <sheet name="Sheet7" sheetId="7" r:id="rId4"/>
  </sheets>
  <definedNames>
    <definedName name="_xlnm._FilterDatabase" localSheetId="0" hidden="1">Sheet1!$A$1:$G$1000</definedName>
    <definedName name="_xlnm._FilterDatabase" localSheetId="1" hidden="1">Sheet2!$A$1:$A$1000</definedName>
    <definedName name="_xlnm._FilterDatabase" localSheetId="2" hidden="1">Sheet4!$A$1:$D$1000</definedName>
    <definedName name="_xlnm._FilterDatabase" localSheetId="3" hidden="1">Sheet7!$A$1:$F$1424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0" i="7" l="1" a="1"/>
  <c r="G240" i="7" s="1"/>
  <c r="G241" i="7" a="1"/>
  <c r="G241" i="7" s="1"/>
  <c r="G242" i="7" a="1"/>
  <c r="G242" i="7"/>
  <c r="G243" i="7" a="1"/>
  <c r="G243" i="7"/>
  <c r="G244" i="7" a="1"/>
  <c r="G244" i="7" s="1"/>
  <c r="G245" i="7" a="1"/>
  <c r="G245" i="7" s="1"/>
  <c r="G246" i="7" a="1"/>
  <c r="G246" i="7" s="1"/>
  <c r="G247" i="7" a="1"/>
  <c r="G247" i="7" s="1"/>
  <c r="G248" i="7" a="1"/>
  <c r="G248" i="7" s="1"/>
  <c r="G249" i="7" a="1"/>
  <c r="G249" i="7" s="1"/>
  <c r="G250" i="7" a="1"/>
  <c r="G250" i="7"/>
  <c r="G251" i="7" a="1"/>
  <c r="G251" i="7" s="1"/>
  <c r="G252" i="7" a="1"/>
  <c r="G252" i="7" s="1"/>
  <c r="G253" i="7" a="1"/>
  <c r="G253" i="7" s="1"/>
  <c r="G254" i="7" a="1"/>
  <c r="G254" i="7"/>
  <c r="G255" i="7" a="1"/>
  <c r="G255" i="7"/>
  <c r="G256" i="7" a="1"/>
  <c r="G256" i="7" s="1"/>
  <c r="G257" i="7" a="1"/>
  <c r="G257" i="7" s="1"/>
  <c r="G258" i="7" a="1"/>
  <c r="G258" i="7" s="1"/>
  <c r="G259" i="7" a="1"/>
  <c r="G259" i="7"/>
  <c r="G260" i="7" a="1"/>
  <c r="G260" i="7" s="1"/>
  <c r="G261" i="7" a="1"/>
  <c r="G261" i="7" s="1"/>
  <c r="G262" i="7" a="1"/>
  <c r="G262" i="7" s="1"/>
  <c r="G263" i="7" a="1"/>
  <c r="G263" i="7" s="1"/>
  <c r="G264" i="7" a="1"/>
  <c r="G264" i="7" s="1"/>
  <c r="G265" i="7" a="1"/>
  <c r="G265" i="7" s="1"/>
  <c r="G266" i="7" a="1"/>
  <c r="G266" i="7"/>
  <c r="G267" i="7" a="1"/>
  <c r="G267" i="7" s="1"/>
  <c r="G268" i="7" a="1"/>
  <c r="G268" i="7" s="1"/>
  <c r="G269" i="7" a="1"/>
  <c r="G269" i="7" s="1"/>
  <c r="G270" i="7" a="1"/>
  <c r="G270" i="7"/>
  <c r="G271" i="7" a="1"/>
  <c r="G271" i="7"/>
  <c r="G272" i="7" a="1"/>
  <c r="G272" i="7" s="1"/>
  <c r="G273" i="7" a="1"/>
  <c r="G273" i="7" s="1"/>
  <c r="G274" i="7" a="1"/>
  <c r="G274" i="7" s="1"/>
  <c r="G275" i="7" a="1"/>
  <c r="G275" i="7"/>
  <c r="G276" i="7" a="1"/>
  <c r="G276" i="7" s="1"/>
  <c r="G277" i="7" a="1"/>
  <c r="G277" i="7" s="1"/>
  <c r="G278" i="7" a="1"/>
  <c r="G278" i="7" s="1"/>
  <c r="G279" i="7" a="1"/>
  <c r="G279" i="7" s="1"/>
  <c r="G280" i="7" a="1"/>
  <c r="G280" i="7" s="1"/>
  <c r="G281" i="7" a="1"/>
  <c r="G281" i="7" s="1"/>
  <c r="G282" i="7" a="1"/>
  <c r="G282" i="7"/>
  <c r="G283" i="7" a="1"/>
  <c r="G283" i="7" s="1"/>
  <c r="G284" i="7" a="1"/>
  <c r="G284" i="7" s="1"/>
  <c r="G285" i="7" a="1"/>
  <c r="G285" i="7" s="1"/>
  <c r="G286" i="7" a="1"/>
  <c r="G286" i="7"/>
  <c r="G287" i="7" a="1"/>
  <c r="G287" i="7"/>
  <c r="G288" i="7" a="1"/>
  <c r="G288" i="7" s="1"/>
  <c r="G289" i="7" a="1"/>
  <c r="G289" i="7" s="1"/>
  <c r="G290" i="7" a="1"/>
  <c r="G290" i="7" s="1"/>
  <c r="G291" i="7" a="1"/>
  <c r="G291" i="7"/>
  <c r="G292" i="7" a="1"/>
  <c r="G292" i="7" s="1"/>
  <c r="G293" i="7" a="1"/>
  <c r="G293" i="7" s="1"/>
  <c r="G294" i="7" a="1"/>
  <c r="G294" i="7" s="1"/>
  <c r="G295" i="7" a="1"/>
  <c r="G295" i="7" s="1"/>
  <c r="G296" i="7" a="1"/>
  <c r="G296" i="7" s="1"/>
  <c r="G297" i="7" a="1"/>
  <c r="G297" i="7" s="1"/>
  <c r="G298" i="7" a="1"/>
  <c r="G298" i="7"/>
  <c r="G299" i="7" a="1"/>
  <c r="G299" i="7" s="1"/>
  <c r="G300" i="7" a="1"/>
  <c r="G300" i="7" s="1"/>
  <c r="G301" i="7" a="1"/>
  <c r="G301" i="7" s="1"/>
  <c r="G302" i="7" a="1"/>
  <c r="G302" i="7"/>
  <c r="G303" i="7" a="1"/>
  <c r="G303" i="7"/>
  <c r="G304" i="7" a="1"/>
  <c r="G304" i="7" s="1"/>
  <c r="G305" i="7" a="1"/>
  <c r="G305" i="7" s="1"/>
  <c r="G306" i="7" a="1"/>
  <c r="G306" i="7" s="1"/>
  <c r="G307" i="7" a="1"/>
  <c r="G307" i="7"/>
  <c r="G308" i="7" a="1"/>
  <c r="G308" i="7" s="1"/>
  <c r="G309" i="7" a="1"/>
  <c r="G309" i="7" s="1"/>
  <c r="G310" i="7" a="1"/>
  <c r="G310" i="7" s="1"/>
  <c r="G311" i="7" a="1"/>
  <c r="G311" i="7" s="1"/>
  <c r="G312" i="7" a="1"/>
  <c r="G312" i="7" s="1"/>
  <c r="G313" i="7" a="1"/>
  <c r="G313" i="7" s="1"/>
  <c r="G314" i="7" a="1"/>
  <c r="G314" i="7"/>
  <c r="G315" i="7" a="1"/>
  <c r="G315" i="7" s="1"/>
  <c r="G316" i="7" a="1"/>
  <c r="G316" i="7" s="1"/>
  <c r="G317" i="7" a="1"/>
  <c r="G317" i="7" s="1"/>
  <c r="G318" i="7" a="1"/>
  <c r="G318" i="7"/>
  <c r="G319" i="7" a="1"/>
  <c r="G319" i="7"/>
  <c r="G320" i="7" a="1"/>
  <c r="G320" i="7" s="1"/>
  <c r="G321" i="7" a="1"/>
  <c r="G321" i="7" s="1"/>
  <c r="G322" i="7" a="1"/>
  <c r="G322" i="7" s="1"/>
  <c r="G323" i="7" a="1"/>
  <c r="G323" i="7"/>
  <c r="G324" i="7" a="1"/>
  <c r="G324" i="7" s="1"/>
  <c r="G325" i="7" a="1"/>
  <c r="G325" i="7" s="1"/>
  <c r="G326" i="7" a="1"/>
  <c r="G326" i="7" s="1"/>
  <c r="G327" i="7" a="1"/>
  <c r="G327" i="7" s="1"/>
  <c r="G328" i="7" a="1"/>
  <c r="G328" i="7" s="1"/>
  <c r="G329" i="7" a="1"/>
  <c r="G329" i="7" s="1"/>
  <c r="G330" i="7" a="1"/>
  <c r="G330" i="7"/>
  <c r="G331" i="7" a="1"/>
  <c r="G331" i="7" s="1"/>
  <c r="G332" i="7" a="1"/>
  <c r="G332" i="7" s="1"/>
  <c r="G333" i="7" a="1"/>
  <c r="G333" i="7" s="1"/>
  <c r="G334" i="7" a="1"/>
  <c r="G334" i="7" s="1"/>
  <c r="G335" i="7" a="1"/>
  <c r="G335" i="7"/>
  <c r="G336" i="7" a="1"/>
  <c r="G336" i="7" s="1"/>
  <c r="G337" i="7" a="1"/>
  <c r="G337" i="7" s="1"/>
  <c r="G338" i="7" a="1"/>
  <c r="G338" i="7" s="1"/>
  <c r="G339" i="7" a="1"/>
  <c r="G339" i="7" s="1"/>
  <c r="G340" i="7" a="1"/>
  <c r="G340" i="7" s="1"/>
  <c r="G341" i="7" a="1"/>
  <c r="G341" i="7" s="1"/>
  <c r="G342" i="7" a="1"/>
  <c r="G342" i="7" s="1"/>
  <c r="G343" i="7" a="1"/>
  <c r="G343" i="7" s="1"/>
  <c r="G344" i="7" a="1"/>
  <c r="G344" i="7" s="1"/>
  <c r="G345" i="7" a="1"/>
  <c r="G345" i="7" s="1"/>
  <c r="G346" i="7" a="1"/>
  <c r="G346" i="7"/>
  <c r="G347" i="7" a="1"/>
  <c r="G347" i="7" s="1"/>
  <c r="G348" i="7" a="1"/>
  <c r="G348" i="7" s="1"/>
  <c r="G349" i="7" a="1"/>
  <c r="G349" i="7" s="1"/>
  <c r="G350" i="7" a="1"/>
  <c r="G350" i="7" s="1"/>
  <c r="G351" i="7" a="1"/>
  <c r="G351" i="7"/>
  <c r="G352" i="7" a="1"/>
  <c r="G352" i="7" s="1"/>
  <c r="G353" i="7" a="1"/>
  <c r="G353" i="7" s="1"/>
  <c r="G354" i="7" a="1"/>
  <c r="G354" i="7" s="1"/>
  <c r="G355" i="7" a="1"/>
  <c r="G355" i="7" s="1"/>
  <c r="G356" i="7" a="1"/>
  <c r="G356" i="7" s="1"/>
  <c r="G357" i="7" a="1"/>
  <c r="G357" i="7" s="1"/>
  <c r="G358" i="7" a="1"/>
  <c r="G358" i="7" s="1"/>
  <c r="G359" i="7" a="1"/>
  <c r="G359" i="7" s="1"/>
  <c r="G360" i="7" a="1"/>
  <c r="G360" i="7" s="1"/>
  <c r="G361" i="7" a="1"/>
  <c r="G361" i="7" s="1"/>
  <c r="G362" i="7" a="1"/>
  <c r="G362" i="7"/>
  <c r="G363" i="7" a="1"/>
  <c r="G363" i="7" s="1"/>
  <c r="G364" i="7" a="1"/>
  <c r="G364" i="7" s="1"/>
  <c r="G365" i="7" a="1"/>
  <c r="G365" i="7" s="1"/>
  <c r="G366" i="7" a="1"/>
  <c r="G366" i="7" s="1"/>
  <c r="G367" i="7" a="1"/>
  <c r="G367" i="7"/>
  <c r="G368" i="7" a="1"/>
  <c r="G368" i="7" s="1"/>
  <c r="G369" i="7" a="1"/>
  <c r="G369" i="7" s="1"/>
  <c r="G370" i="7" a="1"/>
  <c r="G370" i="7" s="1"/>
  <c r="G371" i="7" a="1"/>
  <c r="G371" i="7" s="1"/>
  <c r="G372" i="7" a="1"/>
  <c r="G372" i="7" s="1"/>
  <c r="G373" i="7" a="1"/>
  <c r="G373" i="7" s="1"/>
  <c r="G374" i="7" a="1"/>
  <c r="G374" i="7" s="1"/>
  <c r="G375" i="7" a="1"/>
  <c r="G375" i="7" s="1"/>
  <c r="G376" i="7" a="1"/>
  <c r="G376" i="7" s="1"/>
  <c r="G377" i="7" a="1"/>
  <c r="G377" i="7" s="1"/>
  <c r="G378" i="7" a="1"/>
  <c r="G378" i="7"/>
  <c r="G379" i="7" a="1"/>
  <c r="G379" i="7" s="1"/>
  <c r="G380" i="7" a="1"/>
  <c r="G380" i="7" s="1"/>
  <c r="G381" i="7" a="1"/>
  <c r="G381" i="7" s="1"/>
  <c r="G382" i="7" a="1"/>
  <c r="G382" i="7" s="1"/>
  <c r="G383" i="7" a="1"/>
  <c r="G383" i="7"/>
  <c r="G384" i="7" a="1"/>
  <c r="G384" i="7" s="1"/>
  <c r="G385" i="7" a="1"/>
  <c r="G385" i="7" s="1"/>
  <c r="G386" i="7" a="1"/>
  <c r="G386" i="7" s="1"/>
  <c r="G387" i="7" a="1"/>
  <c r="G387" i="7" s="1"/>
  <c r="G388" i="7" a="1"/>
  <c r="G388" i="7" s="1"/>
  <c r="G389" i="7" a="1"/>
  <c r="G389" i="7" s="1"/>
  <c r="G390" i="7" a="1"/>
  <c r="G390" i="7" s="1"/>
  <c r="G391" i="7" a="1"/>
  <c r="G391" i="7" s="1"/>
  <c r="G392" i="7" a="1"/>
  <c r="G392" i="7" s="1"/>
  <c r="G393" i="7" a="1"/>
  <c r="G393" i="7" s="1"/>
  <c r="G394" i="7" a="1"/>
  <c r="G394" i="7"/>
  <c r="G395" i="7" a="1"/>
  <c r="G395" i="7" s="1"/>
  <c r="G396" i="7" a="1"/>
  <c r="G396" i="7" s="1"/>
  <c r="G397" i="7" a="1"/>
  <c r="G397" i="7" s="1"/>
  <c r="G398" i="7" a="1"/>
  <c r="G398" i="7" s="1"/>
  <c r="G399" i="7" a="1"/>
  <c r="G399" i="7"/>
  <c r="G400" i="7" a="1"/>
  <c r="G400" i="7" s="1"/>
  <c r="G401" i="7" a="1"/>
  <c r="G401" i="7" s="1"/>
  <c r="G402" i="7" a="1"/>
  <c r="G402" i="7" s="1"/>
  <c r="G403" i="7" a="1"/>
  <c r="G403" i="7" s="1"/>
  <c r="G404" i="7" a="1"/>
  <c r="G404" i="7" s="1"/>
  <c r="G405" i="7" a="1"/>
  <c r="G405" i="7" s="1"/>
  <c r="G406" i="7" a="1"/>
  <c r="G406" i="7" s="1"/>
  <c r="G407" i="7" a="1"/>
  <c r="G407" i="7" s="1"/>
  <c r="G408" i="7" a="1"/>
  <c r="G408" i="7" s="1"/>
  <c r="G409" i="7" a="1"/>
  <c r="G409" i="7" s="1"/>
  <c r="G410" i="7" a="1"/>
  <c r="G410" i="7"/>
  <c r="G411" i="7" a="1"/>
  <c r="G411" i="7" s="1"/>
  <c r="G412" i="7" a="1"/>
  <c r="G412" i="7" s="1"/>
  <c r="G413" i="7" a="1"/>
  <c r="G413" i="7" s="1"/>
  <c r="G414" i="7" a="1"/>
  <c r="G414" i="7" s="1"/>
  <c r="G415" i="7" a="1"/>
  <c r="G415" i="7"/>
  <c r="G416" i="7" a="1"/>
  <c r="G416" i="7" s="1"/>
  <c r="G417" i="7" a="1"/>
  <c r="G417" i="7" s="1"/>
  <c r="G418" i="7" a="1"/>
  <c r="G418" i="7" s="1"/>
  <c r="G419" i="7" a="1"/>
  <c r="G419" i="7" s="1"/>
  <c r="G420" i="7" a="1"/>
  <c r="G420" i="7" s="1"/>
  <c r="G421" i="7" a="1"/>
  <c r="G421" i="7" s="1"/>
  <c r="G422" i="7" a="1"/>
  <c r="G422" i="7" s="1"/>
  <c r="G423" i="7" a="1"/>
  <c r="G423" i="7" s="1"/>
  <c r="G424" i="7" a="1"/>
  <c r="G424" i="7" s="1"/>
  <c r="G425" i="7" a="1"/>
  <c r="G425" i="7" s="1"/>
  <c r="G426" i="7" a="1"/>
  <c r="G426" i="7"/>
  <c r="G427" i="7" a="1"/>
  <c r="G427" i="7" s="1"/>
  <c r="G428" i="7" a="1"/>
  <c r="G428" i="7" s="1"/>
  <c r="G429" i="7" a="1"/>
  <c r="G429" i="7" s="1"/>
  <c r="G430" i="7" a="1"/>
  <c r="G430" i="7" s="1"/>
  <c r="G431" i="7" a="1"/>
  <c r="G431" i="7"/>
  <c r="G432" i="7" a="1"/>
  <c r="G432" i="7" s="1"/>
  <c r="G433" i="7" a="1"/>
  <c r="G433" i="7" s="1"/>
  <c r="G434" i="7" a="1"/>
  <c r="G434" i="7" s="1"/>
  <c r="G435" i="7" a="1"/>
  <c r="G435" i="7" s="1"/>
  <c r="G436" i="7" a="1"/>
  <c r="G436" i="7" s="1"/>
  <c r="G437" i="7" a="1"/>
  <c r="G437" i="7" s="1"/>
  <c r="G438" i="7" a="1"/>
  <c r="G438" i="7" s="1"/>
  <c r="G439" i="7" a="1"/>
  <c r="G439" i="7" s="1"/>
  <c r="G440" i="7" a="1"/>
  <c r="G440" i="7" s="1"/>
  <c r="G441" i="7" a="1"/>
  <c r="G441" i="7" s="1"/>
  <c r="G442" i="7" a="1"/>
  <c r="G442" i="7"/>
  <c r="G443" i="7" a="1"/>
  <c r="G443" i="7" s="1"/>
  <c r="G444" i="7" a="1"/>
  <c r="G444" i="7" s="1"/>
  <c r="G445" i="7" a="1"/>
  <c r="G445" i="7" s="1"/>
  <c r="G446" i="7" a="1"/>
  <c r="G446" i="7" s="1"/>
  <c r="G447" i="7" a="1"/>
  <c r="G447" i="7"/>
  <c r="G448" i="7" a="1"/>
  <c r="G448" i="7" s="1"/>
  <c r="G449" i="7" a="1"/>
  <c r="G449" i="7" s="1"/>
  <c r="G450" i="7" a="1"/>
  <c r="G450" i="7" s="1"/>
  <c r="G451" i="7" a="1"/>
  <c r="G451" i="7" s="1"/>
  <c r="G452" i="7" a="1"/>
  <c r="G452" i="7" s="1"/>
  <c r="G453" i="7" a="1"/>
  <c r="G453" i="7" s="1"/>
  <c r="G454" i="7" a="1"/>
  <c r="G454" i="7" s="1"/>
  <c r="G455" i="7" a="1"/>
  <c r="G455" i="7" s="1"/>
  <c r="G456" i="7" a="1"/>
  <c r="G456" i="7" s="1"/>
  <c r="G457" i="7" a="1"/>
  <c r="G457" i="7" s="1"/>
  <c r="G458" i="7" a="1"/>
  <c r="G458" i="7"/>
  <c r="G459" i="7" a="1"/>
  <c r="G459" i="7" s="1"/>
  <c r="G460" i="7" a="1"/>
  <c r="G460" i="7" s="1"/>
  <c r="G461" i="7" a="1"/>
  <c r="G461" i="7" s="1"/>
  <c r="G462" i="7" a="1"/>
  <c r="G462" i="7" s="1"/>
  <c r="G463" i="7" a="1"/>
  <c r="G463" i="7"/>
  <c r="G464" i="7" a="1"/>
  <c r="G464" i="7" s="1"/>
  <c r="G465" i="7" a="1"/>
  <c r="G465" i="7" s="1"/>
  <c r="G466" i="7" a="1"/>
  <c r="G466" i="7" s="1"/>
  <c r="G467" i="7" a="1"/>
  <c r="G467" i="7" s="1"/>
  <c r="G468" i="7" a="1"/>
  <c r="G468" i="7" s="1"/>
  <c r="G469" i="7" a="1"/>
  <c r="G469" i="7" s="1"/>
  <c r="G470" i="7" a="1"/>
  <c r="G470" i="7" s="1"/>
  <c r="G471" i="7" a="1"/>
  <c r="G471" i="7" s="1"/>
  <c r="G472" i="7" a="1"/>
  <c r="G472" i="7" s="1"/>
  <c r="G473" i="7" a="1"/>
  <c r="G473" i="7" s="1"/>
  <c r="G474" i="7" a="1"/>
  <c r="G474" i="7"/>
  <c r="G475" i="7" a="1"/>
  <c r="G475" i="7" s="1"/>
  <c r="G476" i="7" a="1"/>
  <c r="G476" i="7" s="1"/>
  <c r="G477" i="7" a="1"/>
  <c r="G477" i="7" s="1"/>
  <c r="G478" i="7" a="1"/>
  <c r="G478" i="7" s="1"/>
  <c r="G479" i="7" a="1"/>
  <c r="G479" i="7"/>
  <c r="G480" i="7" a="1"/>
  <c r="G480" i="7" s="1"/>
  <c r="G481" i="7" a="1"/>
  <c r="G481" i="7" s="1"/>
  <c r="G482" i="7" a="1"/>
  <c r="G482" i="7" s="1"/>
  <c r="G483" i="7" a="1"/>
  <c r="G483" i="7"/>
  <c r="G484" i="7" a="1"/>
  <c r="G484" i="7" s="1"/>
  <c r="G485" i="7" a="1"/>
  <c r="G485" i="7" s="1"/>
  <c r="G486" i="7" a="1"/>
  <c r="G486" i="7" s="1"/>
  <c r="G487" i="7" a="1"/>
  <c r="G487" i="7" s="1"/>
  <c r="G488" i="7" a="1"/>
  <c r="G488" i="7" s="1"/>
  <c r="G489" i="7" a="1"/>
  <c r="G489" i="7" s="1"/>
  <c r="G490" i="7" a="1"/>
  <c r="G490" i="7"/>
  <c r="G491" i="7" a="1"/>
  <c r="G491" i="7" s="1"/>
  <c r="G492" i="7" a="1"/>
  <c r="G492" i="7" s="1"/>
  <c r="G493" i="7" a="1"/>
  <c r="G493" i="7" s="1"/>
  <c r="G494" i="7" a="1"/>
  <c r="G494" i="7"/>
  <c r="G495" i="7" a="1"/>
  <c r="G495" i="7"/>
  <c r="G496" i="7" a="1"/>
  <c r="G496" i="7" s="1"/>
  <c r="G497" i="7" a="1"/>
  <c r="G497" i="7" s="1"/>
  <c r="G498" i="7" a="1"/>
  <c r="G498" i="7" s="1"/>
  <c r="G499" i="7" a="1"/>
  <c r="G499" i="7" s="1"/>
  <c r="G500" i="7" a="1"/>
  <c r="G500" i="7" s="1"/>
  <c r="G501" i="7" a="1"/>
  <c r="G501" i="7" s="1"/>
  <c r="G502" i="7" a="1"/>
  <c r="G502" i="7" s="1"/>
  <c r="G503" i="7" a="1"/>
  <c r="G503" i="7" s="1"/>
  <c r="G504" i="7" a="1"/>
  <c r="G504" i="7" s="1"/>
  <c r="G505" i="7" a="1"/>
  <c r="G505" i="7" s="1"/>
  <c r="G506" i="7" a="1"/>
  <c r="G506" i="7" s="1"/>
  <c r="G507" i="7" a="1"/>
  <c r="G507" i="7" s="1"/>
  <c r="G508" i="7" a="1"/>
  <c r="G508" i="7" s="1"/>
  <c r="G509" i="7" a="1"/>
  <c r="G509" i="7" s="1"/>
  <c r="G510" i="7" a="1"/>
  <c r="G510" i="7" s="1"/>
  <c r="G511" i="7" a="1"/>
  <c r="G511" i="7"/>
  <c r="G512" i="7" a="1"/>
  <c r="G512" i="7" s="1"/>
  <c r="G513" i="7" a="1"/>
  <c r="G513" i="7" s="1"/>
  <c r="G514" i="7" a="1"/>
  <c r="G514" i="7" s="1"/>
  <c r="G515" i="7" a="1"/>
  <c r="G515" i="7" s="1"/>
  <c r="G516" i="7" a="1"/>
  <c r="G516" i="7" s="1"/>
  <c r="G517" i="7" a="1"/>
  <c r="G517" i="7" s="1"/>
  <c r="G518" i="7" a="1"/>
  <c r="G518" i="7" s="1"/>
  <c r="G519" i="7" a="1"/>
  <c r="G519" i="7" s="1"/>
  <c r="G520" i="7" a="1"/>
  <c r="G520" i="7" s="1"/>
  <c r="G521" i="7" a="1"/>
  <c r="G521" i="7" s="1"/>
  <c r="G522" i="7" a="1"/>
  <c r="G522" i="7" s="1"/>
  <c r="G523" i="7" a="1"/>
  <c r="G523" i="7" s="1"/>
  <c r="G524" i="7" a="1"/>
  <c r="G524" i="7" s="1"/>
  <c r="G525" i="7" a="1"/>
  <c r="G525" i="7" s="1"/>
  <c r="G526" i="7" a="1"/>
  <c r="G526" i="7"/>
  <c r="G527" i="7" a="1"/>
  <c r="G527" i="7" s="1"/>
  <c r="G528" i="7" a="1"/>
  <c r="G528" i="7" s="1"/>
  <c r="G529" i="7" a="1"/>
  <c r="G529" i="7" s="1"/>
  <c r="G530" i="7" a="1"/>
  <c r="G530" i="7" s="1"/>
  <c r="G531" i="7" a="1"/>
  <c r="G531" i="7" s="1"/>
  <c r="G532" i="7" a="1"/>
  <c r="G532" i="7" s="1"/>
  <c r="G533" i="7" a="1"/>
  <c r="G533" i="7" s="1"/>
  <c r="G534" i="7" a="1"/>
  <c r="G534" i="7" s="1"/>
  <c r="G535" i="7" a="1"/>
  <c r="G535" i="7" s="1"/>
  <c r="G536" i="7" a="1"/>
  <c r="G536" i="7" s="1"/>
  <c r="G537" i="7" a="1"/>
  <c r="G537" i="7" s="1"/>
  <c r="G538" i="7" a="1"/>
  <c r="G538" i="7" s="1"/>
  <c r="G539" i="7" a="1"/>
  <c r="G539" i="7" s="1"/>
  <c r="G540" i="7" a="1"/>
  <c r="G540" i="7" s="1"/>
  <c r="G541" i="7" a="1"/>
  <c r="G541" i="7" s="1"/>
  <c r="G542" i="7" a="1"/>
  <c r="G542" i="7"/>
  <c r="G543" i="7" a="1"/>
  <c r="G543" i="7"/>
  <c r="G544" i="7" a="1"/>
  <c r="G544" i="7" s="1"/>
  <c r="G545" i="7" a="1"/>
  <c r="G545" i="7" s="1"/>
  <c r="G546" i="7" a="1"/>
  <c r="G546" i="7" s="1"/>
  <c r="G547" i="7" a="1"/>
  <c r="G547" i="7" s="1"/>
  <c r="G548" i="7" a="1"/>
  <c r="G548" i="7" s="1"/>
  <c r="G549" i="7" a="1"/>
  <c r="G549" i="7" s="1"/>
  <c r="G550" i="7" a="1"/>
  <c r="G550" i="7" s="1"/>
  <c r="G551" i="7" a="1"/>
  <c r="G551" i="7" s="1"/>
  <c r="G552" i="7" a="1"/>
  <c r="G552" i="7" s="1"/>
  <c r="G553" i="7" a="1"/>
  <c r="G553" i="7" s="1"/>
  <c r="G554" i="7" a="1"/>
  <c r="G554" i="7" s="1"/>
  <c r="G555" i="7" a="1"/>
  <c r="G555" i="7" s="1"/>
  <c r="G556" i="7" a="1"/>
  <c r="G556" i="7" s="1"/>
  <c r="G557" i="7" a="1"/>
  <c r="G557" i="7" s="1"/>
  <c r="G558" i="7" a="1"/>
  <c r="G558" i="7"/>
  <c r="G559" i="7" a="1"/>
  <c r="G559" i="7"/>
  <c r="G560" i="7" a="1"/>
  <c r="G560" i="7" s="1"/>
  <c r="G561" i="7" a="1"/>
  <c r="G561" i="7" s="1"/>
  <c r="G562" i="7" a="1"/>
  <c r="G562" i="7" s="1"/>
  <c r="G563" i="7" a="1"/>
  <c r="G563" i="7" s="1"/>
  <c r="G564" i="7" a="1"/>
  <c r="G564" i="7" s="1"/>
  <c r="G565" i="7" a="1"/>
  <c r="G565" i="7" s="1"/>
  <c r="G566" i="7" a="1"/>
  <c r="G566" i="7" s="1"/>
  <c r="G567" i="7" a="1"/>
  <c r="G567" i="7" s="1"/>
  <c r="G568" i="7" a="1"/>
  <c r="G568" i="7" s="1"/>
  <c r="G569" i="7" a="1"/>
  <c r="G569" i="7" s="1"/>
  <c r="G570" i="7" a="1"/>
  <c r="G570" i="7"/>
  <c r="G571" i="7" a="1"/>
  <c r="G571" i="7"/>
  <c r="G572" i="7" a="1"/>
  <c r="G572" i="7" s="1"/>
  <c r="G573" i="7" a="1"/>
  <c r="G573" i="7" s="1"/>
  <c r="G574" i="7" a="1"/>
  <c r="G574" i="7"/>
  <c r="G575" i="7" a="1"/>
  <c r="G575" i="7"/>
  <c r="G576" i="7" a="1"/>
  <c r="G576" i="7" s="1"/>
  <c r="G577" i="7" a="1"/>
  <c r="G577" i="7" s="1"/>
  <c r="G578" i="7" a="1"/>
  <c r="G578" i="7" s="1"/>
  <c r="G579" i="7" a="1"/>
  <c r="G579" i="7" s="1"/>
  <c r="G580" i="7" a="1"/>
  <c r="G580" i="7" s="1"/>
  <c r="G581" i="7" a="1"/>
  <c r="G581" i="7"/>
  <c r="G582" i="7" a="1"/>
  <c r="G582" i="7" s="1"/>
  <c r="G583" i="7" a="1"/>
  <c r="G583" i="7" s="1"/>
  <c r="G584" i="7" a="1"/>
  <c r="G584" i="7"/>
  <c r="G585" i="7" a="1"/>
  <c r="G585" i="7"/>
  <c r="G586" i="7" a="1"/>
  <c r="G586" i="7" s="1"/>
  <c r="G587" i="7" a="1"/>
  <c r="G587" i="7"/>
  <c r="G588" i="7" a="1"/>
  <c r="G588" i="7" s="1"/>
  <c r="G589" i="7" a="1"/>
  <c r="G589" i="7" s="1"/>
  <c r="G590" i="7" a="1"/>
  <c r="G590" i="7" s="1"/>
  <c r="G591" i="7" a="1"/>
  <c r="G591" i="7"/>
  <c r="G592" i="7" a="1"/>
  <c r="G592" i="7" s="1"/>
  <c r="G593" i="7" a="1"/>
  <c r="G593" i="7"/>
  <c r="G594" i="7" a="1"/>
  <c r="G594" i="7" s="1"/>
  <c r="G595" i="7" a="1"/>
  <c r="G595" i="7"/>
  <c r="G596" i="7" a="1"/>
  <c r="G596" i="7"/>
  <c r="G597" i="7" a="1"/>
  <c r="G597" i="7" s="1"/>
  <c r="G598" i="7" a="1"/>
  <c r="G598" i="7" s="1"/>
  <c r="G599" i="7" a="1"/>
  <c r="G599" i="7"/>
  <c r="G600" i="7" a="1"/>
  <c r="G600" i="7"/>
  <c r="G601" i="7" a="1"/>
  <c r="G601" i="7" s="1"/>
  <c r="G602" i="7" a="1"/>
  <c r="G602" i="7" s="1"/>
  <c r="G603" i="7" a="1"/>
  <c r="G603" i="7" s="1"/>
  <c r="G604" i="7" a="1"/>
  <c r="G604" i="7"/>
  <c r="G605" i="7" a="1"/>
  <c r="G605" i="7"/>
  <c r="G606" i="7" a="1"/>
  <c r="G606" i="7" s="1"/>
  <c r="G607" i="7" a="1"/>
  <c r="G607" i="7"/>
  <c r="G608" i="7" a="1"/>
  <c r="G608" i="7"/>
  <c r="G609" i="7" a="1"/>
  <c r="G609" i="7"/>
  <c r="G610" i="7" a="1"/>
  <c r="G610" i="7" s="1"/>
  <c r="G611" i="7" a="1"/>
  <c r="G611" i="7" s="1"/>
  <c r="G612" i="7" a="1"/>
  <c r="G612" i="7" s="1"/>
  <c r="G613" i="7" a="1"/>
  <c r="G613" i="7"/>
  <c r="G614" i="7" a="1"/>
  <c r="G614" i="7" s="1"/>
  <c r="G615" i="7" a="1"/>
  <c r="G615" i="7" s="1"/>
  <c r="G616" i="7" a="1"/>
  <c r="G616" i="7"/>
  <c r="G617" i="7" a="1"/>
  <c r="G617" i="7"/>
  <c r="G618" i="7" a="1"/>
  <c r="G618" i="7" s="1"/>
  <c r="G619" i="7" a="1"/>
  <c r="G619" i="7"/>
  <c r="G620" i="7" a="1"/>
  <c r="G620" i="7" s="1"/>
  <c r="G621" i="7" a="1"/>
  <c r="G621" i="7" s="1"/>
  <c r="G622" i="7" a="1"/>
  <c r="G622" i="7" s="1"/>
  <c r="G623" i="7" a="1"/>
  <c r="G623" i="7"/>
  <c r="G624" i="7" a="1"/>
  <c r="G624" i="7" s="1"/>
  <c r="G625" i="7" a="1"/>
  <c r="G625" i="7"/>
  <c r="G626" i="7" a="1"/>
  <c r="G626" i="7" s="1"/>
  <c r="G627" i="7" a="1"/>
  <c r="G627" i="7"/>
  <c r="G628" i="7" a="1"/>
  <c r="G628" i="7"/>
  <c r="G629" i="7" a="1"/>
  <c r="G629" i="7" s="1"/>
  <c r="G630" i="7" a="1"/>
  <c r="G630" i="7" s="1"/>
  <c r="G631" i="7" a="1"/>
  <c r="G631" i="7"/>
  <c r="G632" i="7" a="1"/>
  <c r="G632" i="7"/>
  <c r="G633" i="7" a="1"/>
  <c r="G633" i="7" s="1"/>
  <c r="G634" i="7" a="1"/>
  <c r="G634" i="7" s="1"/>
  <c r="G635" i="7" a="1"/>
  <c r="G635" i="7" s="1"/>
  <c r="G636" i="7" a="1"/>
  <c r="G636" i="7"/>
  <c r="G637" i="7" a="1"/>
  <c r="G637" i="7"/>
  <c r="G638" i="7" a="1"/>
  <c r="G638" i="7" s="1"/>
  <c r="G639" i="7" a="1"/>
  <c r="G639" i="7"/>
  <c r="G640" i="7" a="1"/>
  <c r="G640" i="7"/>
  <c r="G641" i="7" a="1"/>
  <c r="G641" i="7"/>
  <c r="G642" i="7" a="1"/>
  <c r="G642" i="7" s="1"/>
  <c r="G643" i="7" a="1"/>
  <c r="G643" i="7" s="1"/>
  <c r="G644" i="7" a="1"/>
  <c r="G644" i="7" s="1"/>
  <c r="G645" i="7" a="1"/>
  <c r="G645" i="7"/>
  <c r="G646" i="7" a="1"/>
  <c r="G646" i="7" s="1"/>
  <c r="G647" i="7" a="1"/>
  <c r="G647" i="7" s="1"/>
  <c r="G648" i="7" a="1"/>
  <c r="G648" i="7"/>
  <c r="G649" i="7" a="1"/>
  <c r="G649" i="7"/>
  <c r="G650" i="7" a="1"/>
  <c r="G650" i="7" s="1"/>
  <c r="G651" i="7" a="1"/>
  <c r="G651" i="7"/>
  <c r="G652" i="7" a="1"/>
  <c r="G652" i="7" s="1"/>
  <c r="G653" i="7" a="1"/>
  <c r="G653" i="7" s="1"/>
  <c r="G654" i="7" a="1"/>
  <c r="G654" i="7" s="1"/>
  <c r="G655" i="7" a="1"/>
  <c r="G655" i="7"/>
  <c r="G656" i="7" a="1"/>
  <c r="G656" i="7" s="1"/>
  <c r="G657" i="7" a="1"/>
  <c r="G657" i="7"/>
  <c r="G658" i="7" a="1"/>
  <c r="G658" i="7" s="1"/>
  <c r="G659" i="7" a="1"/>
  <c r="G659" i="7"/>
  <c r="G660" i="7" a="1"/>
  <c r="G660" i="7"/>
  <c r="G661" i="7" a="1"/>
  <c r="G661" i="7" s="1"/>
  <c r="G662" i="7" a="1"/>
  <c r="G662" i="7" s="1"/>
  <c r="G663" i="7" a="1"/>
  <c r="G663" i="7"/>
  <c r="G664" i="7" a="1"/>
  <c r="G664" i="7"/>
  <c r="G665" i="7" a="1"/>
  <c r="G665" i="7" s="1"/>
  <c r="G666" i="7" a="1"/>
  <c r="G666" i="7" s="1"/>
  <c r="G667" i="7" a="1"/>
  <c r="G667" i="7" s="1"/>
  <c r="G668" i="7" a="1"/>
  <c r="G668" i="7"/>
  <c r="G669" i="7" a="1"/>
  <c r="G669" i="7"/>
  <c r="G670" i="7" a="1"/>
  <c r="G670" i="7" s="1"/>
  <c r="G671" i="7" a="1"/>
  <c r="G671" i="7"/>
  <c r="G672" i="7" a="1"/>
  <c r="G672" i="7"/>
  <c r="G673" i="7" a="1"/>
  <c r="G673" i="7"/>
  <c r="G674" i="7" a="1"/>
  <c r="G674" i="7" s="1"/>
  <c r="G675" i="7" a="1"/>
  <c r="G675" i="7" s="1"/>
  <c r="G676" i="7" a="1"/>
  <c r="G676" i="7" s="1"/>
  <c r="G677" i="7" a="1"/>
  <c r="G677" i="7"/>
  <c r="G678" i="7" a="1"/>
  <c r="G678" i="7" s="1"/>
  <c r="G679" i="7" a="1"/>
  <c r="G679" i="7" s="1"/>
  <c r="G680" i="7" a="1"/>
  <c r="G680" i="7"/>
  <c r="G681" i="7" a="1"/>
  <c r="G681" i="7"/>
  <c r="G682" i="7" a="1"/>
  <c r="G682" i="7" s="1"/>
  <c r="G683" i="7" a="1"/>
  <c r="G683" i="7"/>
  <c r="G684" i="7" a="1"/>
  <c r="G684" i="7" s="1"/>
  <c r="G685" i="7" a="1"/>
  <c r="G685" i="7" s="1"/>
  <c r="G686" i="7" a="1"/>
  <c r="G686" i="7" s="1"/>
  <c r="G687" i="7" a="1"/>
  <c r="G687" i="7"/>
  <c r="G688" i="7" a="1"/>
  <c r="G688" i="7" s="1"/>
  <c r="G689" i="7" a="1"/>
  <c r="G689" i="7"/>
  <c r="G690" i="7" a="1"/>
  <c r="G690" i="7" s="1"/>
  <c r="G691" i="7" a="1"/>
  <c r="G691" i="7"/>
  <c r="G692" i="7" a="1"/>
  <c r="G692" i="7"/>
  <c r="G693" i="7" a="1"/>
  <c r="G693" i="7" s="1"/>
  <c r="G694" i="7" a="1"/>
  <c r="G694" i="7" s="1"/>
  <c r="G695" i="7" a="1"/>
  <c r="G695" i="7"/>
  <c r="G696" i="7" a="1"/>
  <c r="G696" i="7"/>
  <c r="G697" i="7" a="1"/>
  <c r="G697" i="7" s="1"/>
  <c r="G698" i="7" a="1"/>
  <c r="G698" i="7" s="1"/>
  <c r="G699" i="7" a="1"/>
  <c r="G699" i="7" s="1"/>
  <c r="G700" i="7" a="1"/>
  <c r="G700" i="7"/>
  <c r="G701" i="7" a="1"/>
  <c r="G701" i="7"/>
  <c r="G702" i="7" a="1"/>
  <c r="G702" i="7" s="1"/>
  <c r="G703" i="7" a="1"/>
  <c r="G703" i="7"/>
  <c r="G704" i="7" a="1"/>
  <c r="G704" i="7"/>
  <c r="G705" i="7" a="1"/>
  <c r="G705" i="7"/>
  <c r="G706" i="7" a="1"/>
  <c r="G706" i="7" s="1"/>
  <c r="G707" i="7" a="1"/>
  <c r="G707" i="7" s="1"/>
  <c r="G708" i="7" a="1"/>
  <c r="G708" i="7" s="1"/>
  <c r="G709" i="7" a="1"/>
  <c r="G709" i="7"/>
  <c r="G710" i="7" a="1"/>
  <c r="G710" i="7" s="1"/>
  <c r="G711" i="7" a="1"/>
  <c r="G711" i="7" s="1"/>
  <c r="G712" i="7" a="1"/>
  <c r="G712" i="7"/>
  <c r="G713" i="7" a="1"/>
  <c r="G713" i="7"/>
  <c r="G714" i="7" a="1"/>
  <c r="G714" i="7" s="1"/>
  <c r="G715" i="7" a="1"/>
  <c r="G715" i="7"/>
  <c r="G716" i="7" a="1"/>
  <c r="G716" i="7" s="1"/>
  <c r="G717" i="7" a="1"/>
  <c r="G717" i="7" s="1"/>
  <c r="G718" i="7" a="1"/>
  <c r="G718" i="7" s="1"/>
  <c r="G719" i="7" a="1"/>
  <c r="G719" i="7"/>
  <c r="G720" i="7" a="1"/>
  <c r="G720" i="7" s="1"/>
  <c r="G721" i="7" a="1"/>
  <c r="G721" i="7"/>
  <c r="G722" i="7" a="1"/>
  <c r="G722" i="7" s="1"/>
  <c r="G723" i="7" a="1"/>
  <c r="G723" i="7"/>
  <c r="G724" i="7" a="1"/>
  <c r="G724" i="7"/>
  <c r="G725" i="7" a="1"/>
  <c r="G725" i="7" s="1"/>
  <c r="G726" i="7" a="1"/>
  <c r="G726" i="7" s="1"/>
  <c r="G727" i="7" a="1"/>
  <c r="G727" i="7"/>
  <c r="G728" i="7" a="1"/>
  <c r="G728" i="7"/>
  <c r="G729" i="7" a="1"/>
  <c r="G729" i="7" s="1"/>
  <c r="G730" i="7" a="1"/>
  <c r="G730" i="7" s="1"/>
  <c r="G731" i="7" a="1"/>
  <c r="G731" i="7" s="1"/>
  <c r="G732" i="7" a="1"/>
  <c r="G732" i="7"/>
  <c r="G733" i="7" a="1"/>
  <c r="G733" i="7"/>
  <c r="G734" i="7" a="1"/>
  <c r="G734" i="7" s="1"/>
  <c r="G735" i="7" a="1"/>
  <c r="G735" i="7"/>
  <c r="G736" i="7" a="1"/>
  <c r="G736" i="7"/>
  <c r="G737" i="7" a="1"/>
  <c r="G737" i="7"/>
  <c r="G738" i="7" a="1"/>
  <c r="G738" i="7" s="1"/>
  <c r="G739" i="7" a="1"/>
  <c r="G739" i="7" s="1"/>
  <c r="G740" i="7" a="1"/>
  <c r="G740" i="7" s="1"/>
  <c r="G741" i="7" a="1"/>
  <c r="G741" i="7"/>
  <c r="G742" i="7" a="1"/>
  <c r="G742" i="7" s="1"/>
  <c r="G743" i="7" a="1"/>
  <c r="G743" i="7" s="1"/>
  <c r="G744" i="7" a="1"/>
  <c r="G744" i="7"/>
  <c r="G745" i="7" a="1"/>
  <c r="G745" i="7"/>
  <c r="G746" i="7" a="1"/>
  <c r="G746" i="7" s="1"/>
  <c r="G747" i="7" a="1"/>
  <c r="G747" i="7"/>
  <c r="G748" i="7" a="1"/>
  <c r="G748" i="7" s="1"/>
  <c r="G749" i="7" a="1"/>
  <c r="G749" i="7" s="1"/>
  <c r="G750" i="7" a="1"/>
  <c r="G750" i="7" s="1"/>
  <c r="G751" i="7" a="1"/>
  <c r="G751" i="7"/>
  <c r="G752" i="7" a="1"/>
  <c r="G752" i="7" s="1"/>
  <c r="G753" i="7" a="1"/>
  <c r="G753" i="7"/>
  <c r="G754" i="7" a="1"/>
  <c r="G754" i="7"/>
  <c r="G755" i="7" a="1"/>
  <c r="G755" i="7"/>
  <c r="G756" i="7" a="1"/>
  <c r="G756" i="7" s="1"/>
  <c r="G757" i="7" a="1"/>
  <c r="G757" i="7"/>
  <c r="G758" i="7" a="1"/>
  <c r="G758" i="7"/>
  <c r="G759" i="7" a="1"/>
  <c r="G759" i="7"/>
  <c r="G760" i="7" a="1"/>
  <c r="G760" i="7" s="1"/>
  <c r="G761" i="7" a="1"/>
  <c r="G761" i="7"/>
  <c r="G762" i="7" a="1"/>
  <c r="G762" i="7"/>
  <c r="G763" i="7" a="1"/>
  <c r="G763" i="7"/>
  <c r="G764" i="7" a="1"/>
  <c r="G764" i="7" s="1"/>
  <c r="G765" i="7" a="1"/>
  <c r="G765" i="7"/>
  <c r="G766" i="7" a="1"/>
  <c r="G766" i="7"/>
  <c r="G767" i="7" a="1"/>
  <c r="G767" i="7"/>
  <c r="G768" i="7" a="1"/>
  <c r="G768" i="7" s="1"/>
  <c r="G769" i="7" a="1"/>
  <c r="G769" i="7"/>
  <c r="G770" i="7" a="1"/>
  <c r="G770" i="7"/>
  <c r="G771" i="7" a="1"/>
  <c r="G771" i="7"/>
  <c r="G772" i="7" a="1"/>
  <c r="G772" i="7" s="1"/>
  <c r="G773" i="7" a="1"/>
  <c r="G773" i="7"/>
  <c r="G774" i="7" a="1"/>
  <c r="G774" i="7"/>
  <c r="G775" i="7" a="1"/>
  <c r="G775" i="7"/>
  <c r="G776" i="7" a="1"/>
  <c r="G776" i="7" s="1"/>
  <c r="G777" i="7" a="1"/>
  <c r="G777" i="7"/>
  <c r="G778" i="7" a="1"/>
  <c r="G778" i="7"/>
  <c r="G779" i="7" a="1"/>
  <c r="G779" i="7"/>
  <c r="G780" i="7" a="1"/>
  <c r="G780" i="7" s="1"/>
  <c r="G781" i="7" a="1"/>
  <c r="G781" i="7"/>
  <c r="G782" i="7" a="1"/>
  <c r="G782" i="7"/>
  <c r="G783" i="7" a="1"/>
  <c r="G783" i="7"/>
  <c r="G784" i="7" a="1"/>
  <c r="G784" i="7" s="1"/>
  <c r="G785" i="7" a="1"/>
  <c r="G785" i="7"/>
  <c r="G786" i="7" a="1"/>
  <c r="G786" i="7"/>
  <c r="G787" i="7" a="1"/>
  <c r="G787" i="7"/>
  <c r="G788" i="7" a="1"/>
  <c r="G788" i="7" s="1"/>
  <c r="G789" i="7" a="1"/>
  <c r="G789" i="7"/>
  <c r="G790" i="7" a="1"/>
  <c r="G790" i="7"/>
  <c r="G791" i="7" a="1"/>
  <c r="G791" i="7"/>
  <c r="G792" i="7" a="1"/>
  <c r="G792" i="7" s="1"/>
  <c r="G793" i="7" a="1"/>
  <c r="G793" i="7"/>
  <c r="G794" i="7" a="1"/>
  <c r="G794" i="7"/>
  <c r="G795" i="7" a="1"/>
  <c r="G795" i="7"/>
  <c r="G796" i="7" a="1"/>
  <c r="G796" i="7" s="1"/>
  <c r="G797" i="7" a="1"/>
  <c r="G797" i="7"/>
  <c r="G798" i="7" a="1"/>
  <c r="G798" i="7"/>
  <c r="G799" i="7" a="1"/>
  <c r="G799" i="7"/>
  <c r="G800" i="7" a="1"/>
  <c r="G800" i="7" s="1"/>
  <c r="G801" i="7" a="1"/>
  <c r="G801" i="7"/>
  <c r="G802" i="7" a="1"/>
  <c r="G802" i="7"/>
  <c r="G803" i="7" a="1"/>
  <c r="G803" i="7"/>
  <c r="G804" i="7" a="1"/>
  <c r="G804" i="7" s="1"/>
  <c r="G805" i="7" a="1"/>
  <c r="G805" i="7"/>
  <c r="G806" i="7" a="1"/>
  <c r="G806" i="7"/>
  <c r="G807" i="7" a="1"/>
  <c r="G807" i="7"/>
  <c r="G808" i="7" a="1"/>
  <c r="G808" i="7" s="1"/>
  <c r="G809" i="7" a="1"/>
  <c r="G809" i="7"/>
  <c r="G810" i="7" a="1"/>
  <c r="G810" i="7"/>
  <c r="G811" i="7" a="1"/>
  <c r="G811" i="7"/>
  <c r="G812" i="7" a="1"/>
  <c r="G812" i="7" s="1"/>
  <c r="G813" i="7" a="1"/>
  <c r="G813" i="7"/>
  <c r="G814" i="7" a="1"/>
  <c r="G814" i="7"/>
  <c r="G815" i="7" a="1"/>
  <c r="G815" i="7"/>
  <c r="G816" i="7" a="1"/>
  <c r="G816" i="7" s="1"/>
  <c r="G817" i="7" a="1"/>
  <c r="G817" i="7"/>
  <c r="G818" i="7" a="1"/>
  <c r="G818" i="7"/>
  <c r="G819" i="7" a="1"/>
  <c r="G819" i="7"/>
  <c r="G820" i="7" a="1"/>
  <c r="G820" i="7" s="1"/>
  <c r="G821" i="7" a="1"/>
  <c r="G821" i="7"/>
  <c r="G822" i="7" a="1"/>
  <c r="G822" i="7"/>
  <c r="G823" i="7" a="1"/>
  <c r="G823" i="7"/>
  <c r="G824" i="7" a="1"/>
  <c r="G824" i="7" s="1"/>
  <c r="G825" i="7" a="1"/>
  <c r="G825" i="7"/>
  <c r="G826" i="7" a="1"/>
  <c r="G826" i="7"/>
  <c r="G827" i="7" a="1"/>
  <c r="G827" i="7"/>
  <c r="G828" i="7" a="1"/>
  <c r="G828" i="7" s="1"/>
  <c r="G829" i="7" a="1"/>
  <c r="G829" i="7"/>
  <c r="G830" i="7" a="1"/>
  <c r="G830" i="7"/>
  <c r="G831" i="7" a="1"/>
  <c r="G831" i="7"/>
  <c r="G832" i="7" a="1"/>
  <c r="G832" i="7" s="1"/>
  <c r="G833" i="7" a="1"/>
  <c r="G833" i="7"/>
  <c r="G834" i="7" a="1"/>
  <c r="G834" i="7"/>
  <c r="G835" i="7" a="1"/>
  <c r="G835" i="7"/>
  <c r="G836" i="7" a="1"/>
  <c r="G836" i="7" s="1"/>
  <c r="G837" i="7" a="1"/>
  <c r="G837" i="7"/>
  <c r="G838" i="7" a="1"/>
  <c r="G838" i="7"/>
  <c r="G839" i="7" a="1"/>
  <c r="G839" i="7"/>
  <c r="G840" i="7" a="1"/>
  <c r="G840" i="7" s="1"/>
  <c r="G841" i="7" a="1"/>
  <c r="G841" i="7"/>
  <c r="G842" i="7" a="1"/>
  <c r="G842" i="7"/>
  <c r="G843" i="7" a="1"/>
  <c r="G843" i="7"/>
  <c r="G844" i="7" a="1"/>
  <c r="G844" i="7" s="1"/>
  <c r="G845" i="7" a="1"/>
  <c r="G845" i="7"/>
  <c r="G846" i="7" a="1"/>
  <c r="G846" i="7"/>
  <c r="G847" i="7" a="1"/>
  <c r="G847" i="7"/>
  <c r="G848" i="7" a="1"/>
  <c r="G848" i="7" s="1"/>
  <c r="G849" i="7" a="1"/>
  <c r="G849" i="7"/>
  <c r="G850" i="7" a="1"/>
  <c r="G850" i="7"/>
  <c r="G851" i="7" a="1"/>
  <c r="G851" i="7"/>
  <c r="G852" i="7" a="1"/>
  <c r="G852" i="7" s="1"/>
  <c r="G853" i="7" a="1"/>
  <c r="G853" i="7"/>
  <c r="G854" i="7" a="1"/>
  <c r="G854" i="7"/>
  <c r="G855" i="7" a="1"/>
  <c r="G855" i="7"/>
  <c r="G856" i="7" a="1"/>
  <c r="G856" i="7" s="1"/>
  <c r="G857" i="7" a="1"/>
  <c r="G857" i="7"/>
  <c r="G858" i="7" a="1"/>
  <c r="G858" i="7"/>
  <c r="G859" i="7" a="1"/>
  <c r="G859" i="7"/>
  <c r="G860" i="7" a="1"/>
  <c r="G860" i="7" s="1"/>
  <c r="G861" i="7" a="1"/>
  <c r="G861" i="7"/>
  <c r="G862" i="7" a="1"/>
  <c r="G862" i="7"/>
  <c r="G863" i="7" a="1"/>
  <c r="G863" i="7"/>
  <c r="G864" i="7" a="1"/>
  <c r="G864" i="7" s="1"/>
  <c r="G865" i="7" a="1"/>
  <c r="G865" i="7"/>
  <c r="G866" i="7" a="1"/>
  <c r="G866" i="7"/>
  <c r="G867" i="7" a="1"/>
  <c r="G867" i="7"/>
  <c r="G868" i="7" a="1"/>
  <c r="G868" i="7" s="1"/>
  <c r="G869" i="7" a="1"/>
  <c r="G869" i="7"/>
  <c r="G870" i="7" a="1"/>
  <c r="G870" i="7"/>
  <c r="G871" i="7" a="1"/>
  <c r="G871" i="7"/>
  <c r="G872" i="7" a="1"/>
  <c r="G872" i="7" s="1"/>
  <c r="G873" i="7" a="1"/>
  <c r="G873" i="7"/>
  <c r="G874" i="7" a="1"/>
  <c r="G874" i="7"/>
  <c r="G875" i="7" a="1"/>
  <c r="G875" i="7"/>
  <c r="G876" i="7" a="1"/>
  <c r="G876" i="7" s="1"/>
  <c r="G877" i="7" a="1"/>
  <c r="G877" i="7"/>
  <c r="G878" i="7" a="1"/>
  <c r="G878" i="7"/>
  <c r="G879" i="7" a="1"/>
  <c r="G879" i="7"/>
  <c r="G880" i="7" a="1"/>
  <c r="G880" i="7" s="1"/>
  <c r="G881" i="7" a="1"/>
  <c r="G881" i="7"/>
  <c r="G882" i="7" a="1"/>
  <c r="G882" i="7"/>
  <c r="G883" i="7" a="1"/>
  <c r="G883" i="7"/>
  <c r="G884" i="7" a="1"/>
  <c r="G884" i="7" s="1"/>
  <c r="G885" i="7" a="1"/>
  <c r="G885" i="7"/>
  <c r="G886" i="7" a="1"/>
  <c r="G886" i="7"/>
  <c r="G887" i="7" a="1"/>
  <c r="G887" i="7"/>
  <c r="G888" i="7" a="1"/>
  <c r="G888" i="7" s="1"/>
  <c r="G889" i="7" a="1"/>
  <c r="G889" i="7"/>
  <c r="G890" i="7" a="1"/>
  <c r="G890" i="7"/>
  <c r="G891" i="7" a="1"/>
  <c r="G891" i="7"/>
  <c r="G892" i="7" a="1"/>
  <c r="G892" i="7" s="1"/>
  <c r="G893" i="7" a="1"/>
  <c r="G893" i="7"/>
  <c r="G894" i="7" a="1"/>
  <c r="G894" i="7"/>
  <c r="G895" i="7" a="1"/>
  <c r="G895" i="7"/>
  <c r="G896" i="7" a="1"/>
  <c r="G896" i="7" s="1"/>
  <c r="G897" i="7" a="1"/>
  <c r="G897" i="7"/>
  <c r="G898" i="7" a="1"/>
  <c r="G898" i="7"/>
  <c r="G899" i="7" a="1"/>
  <c r="G899" i="7"/>
  <c r="G900" i="7" a="1"/>
  <c r="G900" i="7" s="1"/>
  <c r="G901" i="7" a="1"/>
  <c r="G901" i="7"/>
  <c r="G902" i="7" a="1"/>
  <c r="G902" i="7"/>
  <c r="G903" i="7" a="1"/>
  <c r="G903" i="7"/>
  <c r="G904" i="7" a="1"/>
  <c r="G904" i="7" s="1"/>
  <c r="G905" i="7" a="1"/>
  <c r="G905" i="7"/>
  <c r="G906" i="7" a="1"/>
  <c r="G906" i="7"/>
  <c r="G907" i="7" a="1"/>
  <c r="G907" i="7"/>
  <c r="G908" i="7" a="1"/>
  <c r="G908" i="7" s="1"/>
  <c r="G909" i="7" a="1"/>
  <c r="G909" i="7"/>
  <c r="G910" i="7" a="1"/>
  <c r="G910" i="7"/>
  <c r="G911" i="7" a="1"/>
  <c r="G911" i="7"/>
  <c r="G912" i="7" a="1"/>
  <c r="G912" i="7" s="1"/>
  <c r="G913" i="7" a="1"/>
  <c r="G913" i="7"/>
  <c r="G914" i="7" a="1"/>
  <c r="G914" i="7"/>
  <c r="G915" i="7" a="1"/>
  <c r="G915" i="7"/>
  <c r="G916" i="7" a="1"/>
  <c r="G916" i="7" s="1"/>
  <c r="G917" i="7" a="1"/>
  <c r="G917" i="7"/>
  <c r="G918" i="7" a="1"/>
  <c r="G918" i="7"/>
  <c r="G919" i="7" a="1"/>
  <c r="G919" i="7"/>
  <c r="G920" i="7" a="1"/>
  <c r="G920" i="7" s="1"/>
  <c r="G921" i="7" a="1"/>
  <c r="G921" i="7"/>
  <c r="G922" i="7" a="1"/>
  <c r="G922" i="7"/>
  <c r="G923" i="7" a="1"/>
  <c r="G923" i="7"/>
  <c r="G924" i="7" a="1"/>
  <c r="G924" i="7" s="1"/>
  <c r="G925" i="7" a="1"/>
  <c r="G925" i="7"/>
  <c r="G926" i="7" a="1"/>
  <c r="G926" i="7"/>
  <c r="G927" i="7" a="1"/>
  <c r="G927" i="7"/>
  <c r="G928" i="7" a="1"/>
  <c r="G928" i="7" s="1"/>
  <c r="G929" i="7" a="1"/>
  <c r="G929" i="7"/>
  <c r="G930" i="7" a="1"/>
  <c r="G930" i="7"/>
  <c r="G931" i="7" a="1"/>
  <c r="G931" i="7"/>
  <c r="G932" i="7" a="1"/>
  <c r="G932" i="7" s="1"/>
  <c r="G933" i="7" a="1"/>
  <c r="G933" i="7"/>
  <c r="G934" i="7" a="1"/>
  <c r="G934" i="7"/>
  <c r="G935" i="7" a="1"/>
  <c r="G935" i="7"/>
  <c r="G936" i="7" a="1"/>
  <c r="G936" i="7" s="1"/>
  <c r="G937" i="7" a="1"/>
  <c r="G937" i="7"/>
  <c r="G938" i="7" a="1"/>
  <c r="G938" i="7"/>
  <c r="G939" i="7" a="1"/>
  <c r="G939" i="7"/>
  <c r="G940" i="7" a="1"/>
  <c r="G940" i="7" s="1"/>
  <c r="G941" i="7" a="1"/>
  <c r="G941" i="7"/>
  <c r="G942" i="7" a="1"/>
  <c r="G942" i="7"/>
  <c r="G943" i="7" a="1"/>
  <c r="G943" i="7"/>
  <c r="G944" i="7" a="1"/>
  <c r="G944" i="7" s="1"/>
  <c r="G945" i="7" a="1"/>
  <c r="G945" i="7"/>
  <c r="G946" i="7" a="1"/>
  <c r="G946" i="7"/>
  <c r="G947" i="7" a="1"/>
  <c r="G947" i="7"/>
  <c r="G948" i="7" a="1"/>
  <c r="G948" i="7" s="1"/>
  <c r="G949" i="7" a="1"/>
  <c r="G949" i="7"/>
  <c r="G950" i="7" a="1"/>
  <c r="G950" i="7"/>
  <c r="G951" i="7" a="1"/>
  <c r="G951" i="7"/>
  <c r="G952" i="7" a="1"/>
  <c r="G952" i="7" s="1"/>
  <c r="G953" i="7" a="1"/>
  <c r="G953" i="7"/>
  <c r="G954" i="7" a="1"/>
  <c r="G954" i="7"/>
  <c r="G955" i="7" a="1"/>
  <c r="G955" i="7"/>
  <c r="G956" i="7" a="1"/>
  <c r="G956" i="7" s="1"/>
  <c r="G957" i="7" a="1"/>
  <c r="G957" i="7"/>
  <c r="G958" i="7" a="1"/>
  <c r="G958" i="7"/>
  <c r="G959" i="7" a="1"/>
  <c r="G959" i="7"/>
  <c r="G960" i="7" a="1"/>
  <c r="G960" i="7" s="1"/>
  <c r="G961" i="7" a="1"/>
  <c r="G961" i="7"/>
  <c r="G962" i="7" a="1"/>
  <c r="G962" i="7"/>
  <c r="G963" i="7" a="1"/>
  <c r="G963" i="7"/>
  <c r="G964" i="7" a="1"/>
  <c r="G964" i="7" s="1"/>
  <c r="G965" i="7" a="1"/>
  <c r="G965" i="7"/>
  <c r="G966" i="7" a="1"/>
  <c r="G966" i="7"/>
  <c r="G967" i="7" a="1"/>
  <c r="G967" i="7"/>
  <c r="G968" i="7" a="1"/>
  <c r="G968" i="7" s="1"/>
  <c r="G969" i="7" a="1"/>
  <c r="G969" i="7"/>
  <c r="G970" i="7" a="1"/>
  <c r="G970" i="7"/>
  <c r="G971" i="7" a="1"/>
  <c r="G971" i="7"/>
  <c r="G972" i="7" a="1"/>
  <c r="G972" i="7" s="1"/>
  <c r="G973" i="7" a="1"/>
  <c r="G973" i="7"/>
  <c r="G974" i="7" a="1"/>
  <c r="G974" i="7"/>
  <c r="G975" i="7" a="1"/>
  <c r="G975" i="7"/>
  <c r="G976" i="7" a="1"/>
  <c r="G976" i="7" s="1"/>
  <c r="G977" i="7" a="1"/>
  <c r="G977" i="7"/>
  <c r="G978" i="7" a="1"/>
  <c r="G978" i="7"/>
  <c r="G979" i="7" a="1"/>
  <c r="G979" i="7"/>
  <c r="G980" i="7" a="1"/>
  <c r="G980" i="7" s="1"/>
  <c r="G981" i="7" a="1"/>
  <c r="G981" i="7"/>
  <c r="G982" i="7" a="1"/>
  <c r="G982" i="7"/>
  <c r="G983" i="7" a="1"/>
  <c r="G983" i="7"/>
  <c r="G984" i="7" a="1"/>
  <c r="G984" i="7" s="1"/>
  <c r="G985" i="7" a="1"/>
  <c r="G985" i="7"/>
  <c r="G986" i="7" a="1"/>
  <c r="G986" i="7"/>
  <c r="G987" i="7" a="1"/>
  <c r="G987" i="7"/>
  <c r="G988" i="7" a="1"/>
  <c r="G988" i="7" s="1"/>
  <c r="G989" i="7" a="1"/>
  <c r="G989" i="7"/>
  <c r="G990" i="7" a="1"/>
  <c r="G990" i="7"/>
  <c r="G991" i="7" a="1"/>
  <c r="G991" i="7"/>
  <c r="G992" i="7" a="1"/>
  <c r="G992" i="7" s="1"/>
  <c r="G993" i="7" a="1"/>
  <c r="G993" i="7"/>
  <c r="G994" i="7" a="1"/>
  <c r="G994" i="7"/>
  <c r="G995" i="7" a="1"/>
  <c r="G995" i="7"/>
  <c r="G996" i="7" a="1"/>
  <c r="G996" i="7" s="1"/>
  <c r="G997" i="7" a="1"/>
  <c r="G997" i="7"/>
  <c r="G998" i="7" a="1"/>
  <c r="G998" i="7"/>
  <c r="G999" i="7" a="1"/>
  <c r="G999" i="7"/>
  <c r="G1000" i="7" a="1"/>
  <c r="G1000" i="7" s="1"/>
  <c r="G1001" i="7" a="1"/>
  <c r="G1001" i="7"/>
  <c r="G1002" i="7" a="1"/>
  <c r="G1002" i="7"/>
  <c r="G1003" i="7" a="1"/>
  <c r="G1003" i="7"/>
  <c r="G1004" i="7" a="1"/>
  <c r="G1004" i="7" s="1"/>
  <c r="G1005" i="7" a="1"/>
  <c r="G1005" i="7"/>
  <c r="G1006" i="7" a="1"/>
  <c r="G1006" i="7"/>
  <c r="G1007" i="7" a="1"/>
  <c r="G1007" i="7"/>
  <c r="G1008" i="7" a="1"/>
  <c r="G1008" i="7" s="1"/>
  <c r="G1009" i="7" a="1"/>
  <c r="G1009" i="7"/>
  <c r="G1010" i="7" a="1"/>
  <c r="G1010" i="7"/>
  <c r="G1011" i="7" a="1"/>
  <c r="G1011" i="7"/>
  <c r="G1012" i="7" a="1"/>
  <c r="G1012" i="7" s="1"/>
  <c r="G1013" i="7" a="1"/>
  <c r="G1013" i="7"/>
  <c r="G1014" i="7" a="1"/>
  <c r="G1014" i="7"/>
  <c r="G1015" i="7" a="1"/>
  <c r="G1015" i="7"/>
  <c r="G1016" i="7" a="1"/>
  <c r="G1016" i="7" s="1"/>
  <c r="G1017" i="7" a="1"/>
  <c r="G1017" i="7"/>
  <c r="G1018" i="7" a="1"/>
  <c r="G1018" i="7"/>
  <c r="G1019" i="7" a="1"/>
  <c r="G1019" i="7"/>
  <c r="G1020" i="7" a="1"/>
  <c r="G1020" i="7"/>
  <c r="G1021" i="7" a="1"/>
  <c r="G1021" i="7"/>
  <c r="G1022" i="7" a="1"/>
  <c r="G1022" i="7"/>
  <c r="G1023" i="7" a="1"/>
  <c r="G1023" i="7"/>
  <c r="G1024" i="7" a="1"/>
  <c r="G1024" i="7"/>
  <c r="G1025" i="7" a="1"/>
  <c r="G1025" i="7"/>
  <c r="G1026" i="7" a="1"/>
  <c r="G1026" i="7"/>
  <c r="G1027" i="7" a="1"/>
  <c r="G1027" i="7"/>
  <c r="G1028" i="7" a="1"/>
  <c r="G1028" i="7"/>
  <c r="G1029" i="7" a="1"/>
  <c r="G1029" i="7"/>
  <c r="G1030" i="7" a="1"/>
  <c r="G1030" i="7"/>
  <c r="G1031" i="7" a="1"/>
  <c r="G1031" i="7"/>
  <c r="G1032" i="7" a="1"/>
  <c r="G1032" i="7"/>
  <c r="G1033" i="7" a="1"/>
  <c r="G1033" i="7"/>
  <c r="G1034" i="7" a="1"/>
  <c r="G1034" i="7"/>
  <c r="G1035" i="7" a="1"/>
  <c r="G1035" i="7"/>
  <c r="G1036" i="7" a="1"/>
  <c r="G1036" i="7"/>
  <c r="G1037" i="7" a="1"/>
  <c r="G1037" i="7"/>
  <c r="G1038" i="7" a="1"/>
  <c r="G1038" i="7"/>
  <c r="G1039" i="7" a="1"/>
  <c r="G1039" i="7"/>
  <c r="G1040" i="7" a="1"/>
  <c r="G1040" i="7"/>
  <c r="G1041" i="7" a="1"/>
  <c r="G1041" i="7"/>
  <c r="G1042" i="7" a="1"/>
  <c r="G1042" i="7"/>
  <c r="G1043" i="7" a="1"/>
  <c r="G1043" i="7"/>
  <c r="G1044" i="7" a="1"/>
  <c r="G1044" i="7"/>
  <c r="G1045" i="7" a="1"/>
  <c r="G1045" i="7"/>
  <c r="G1046" i="7" a="1"/>
  <c r="G1046" i="7"/>
  <c r="G1047" i="7" a="1"/>
  <c r="G1047" i="7"/>
  <c r="G1048" i="7" a="1"/>
  <c r="G1048" i="7"/>
  <c r="G1049" i="7" a="1"/>
  <c r="G1049" i="7"/>
  <c r="G1050" i="7" a="1"/>
  <c r="G1050" i="7"/>
  <c r="G1051" i="7" a="1"/>
  <c r="G1051" i="7"/>
  <c r="G1052" i="7" a="1"/>
  <c r="G1052" i="7"/>
  <c r="G1053" i="7" a="1"/>
  <c r="G1053" i="7"/>
  <c r="G1054" i="7" a="1"/>
  <c r="G1054" i="7"/>
  <c r="G1055" i="7" a="1"/>
  <c r="G1055" i="7"/>
  <c r="G1056" i="7" a="1"/>
  <c r="G1056" i="7"/>
  <c r="G1057" i="7" a="1"/>
  <c r="G1057" i="7"/>
  <c r="G1058" i="7" a="1"/>
  <c r="G1058" i="7"/>
  <c r="G1059" i="7" a="1"/>
  <c r="G1059" i="7"/>
  <c r="G1060" i="7" a="1"/>
  <c r="G1060" i="7"/>
  <c r="G1061" i="7" a="1"/>
  <c r="G1061" i="7"/>
  <c r="G1062" i="7" a="1"/>
  <c r="G1062" i="7"/>
  <c r="G1063" i="7" a="1"/>
  <c r="G1063" i="7"/>
  <c r="G1064" i="7" a="1"/>
  <c r="G1064" i="7"/>
  <c r="G1065" i="7" a="1"/>
  <c r="G1065" i="7"/>
  <c r="G1066" i="7" a="1"/>
  <c r="G1066" i="7"/>
  <c r="G1067" i="7" a="1"/>
  <c r="G1067" i="7"/>
  <c r="G1068" i="7" a="1"/>
  <c r="G1068" i="7"/>
  <c r="G1069" i="7" a="1"/>
  <c r="G1069" i="7"/>
  <c r="G1070" i="7" a="1"/>
  <c r="G1070" i="7"/>
  <c r="G1071" i="7" a="1"/>
  <c r="G1071" i="7"/>
  <c r="G1072" i="7" a="1"/>
  <c r="G1072" i="7"/>
  <c r="G1073" i="7" a="1"/>
  <c r="G1073" i="7"/>
  <c r="G1074" i="7" a="1"/>
  <c r="G1074" i="7"/>
  <c r="G1075" i="7" a="1"/>
  <c r="G1075" i="7"/>
  <c r="G1076" i="7" a="1"/>
  <c r="G1076" i="7"/>
  <c r="G1077" i="7" a="1"/>
  <c r="G1077" i="7"/>
  <c r="G1078" i="7" a="1"/>
  <c r="G1078" i="7"/>
  <c r="G1079" i="7" a="1"/>
  <c r="G1079" i="7"/>
  <c r="G1080" i="7" a="1"/>
  <c r="G1080" i="7"/>
  <c r="G1081" i="7" a="1"/>
  <c r="G1081" i="7"/>
  <c r="G1082" i="7" a="1"/>
  <c r="G1082" i="7"/>
  <c r="G1083" i="7" a="1"/>
  <c r="G1083" i="7"/>
  <c r="G1084" i="7" a="1"/>
  <c r="G1084" i="7"/>
  <c r="G1085" i="7" a="1"/>
  <c r="G1085" i="7"/>
  <c r="G1086" i="7" a="1"/>
  <c r="G1086" i="7"/>
  <c r="G1087" i="7" a="1"/>
  <c r="G1087" i="7"/>
  <c r="G1088" i="7" a="1"/>
  <c r="G1088" i="7"/>
  <c r="G1089" i="7" a="1"/>
  <c r="G1089" i="7"/>
  <c r="G1090" i="7" a="1"/>
  <c r="G1090" i="7"/>
  <c r="G1091" i="7" a="1"/>
  <c r="G1091" i="7"/>
  <c r="G1092" i="7" a="1"/>
  <c r="G1092" i="7"/>
  <c r="G1093" i="7" a="1"/>
  <c r="G1093" i="7"/>
  <c r="G1094" i="7" a="1"/>
  <c r="G1094" i="7"/>
  <c r="G1095" i="7" a="1"/>
  <c r="G1095" i="7"/>
  <c r="G1096" i="7" a="1"/>
  <c r="G1096" i="7"/>
  <c r="G1097" i="7" a="1"/>
  <c r="G1097" i="7"/>
  <c r="G1098" i="7" a="1"/>
  <c r="G1098" i="7"/>
  <c r="G1099" i="7" a="1"/>
  <c r="G1099" i="7"/>
  <c r="G1100" i="7" a="1"/>
  <c r="G1100" i="7"/>
  <c r="G1101" i="7" a="1"/>
  <c r="G1101" i="7"/>
  <c r="G1102" i="7" a="1"/>
  <c r="G1102" i="7"/>
  <c r="G1103" i="7" a="1"/>
  <c r="G1103" i="7"/>
  <c r="G1104" i="7" a="1"/>
  <c r="G1104" i="7"/>
  <c r="G1105" i="7" a="1"/>
  <c r="G1105" i="7"/>
  <c r="G1106" i="7" a="1"/>
  <c r="G1106" i="7"/>
  <c r="G1107" i="7" a="1"/>
  <c r="G1107" i="7"/>
  <c r="G1108" i="7" a="1"/>
  <c r="G1108" i="7"/>
  <c r="G1109" i="7" a="1"/>
  <c r="G1109" i="7"/>
  <c r="G1110" i="7" a="1"/>
  <c r="G1110" i="7"/>
  <c r="G1111" i="7" a="1"/>
  <c r="G1111" i="7"/>
  <c r="G1112" i="7" a="1"/>
  <c r="G1112" i="7"/>
  <c r="G1113" i="7" a="1"/>
  <c r="G1113" i="7"/>
  <c r="G1114" i="7" a="1"/>
  <c r="G1114" i="7"/>
  <c r="G1115" i="7" a="1"/>
  <c r="G1115" i="7"/>
  <c r="G1116" i="7" a="1"/>
  <c r="G1116" i="7"/>
  <c r="G1117" i="7" a="1"/>
  <c r="G1117" i="7"/>
  <c r="G1118" i="7" a="1"/>
  <c r="G1118" i="7"/>
  <c r="G1119" i="7" a="1"/>
  <c r="G1119" i="7"/>
  <c r="G1120" i="7" a="1"/>
  <c r="G1120" i="7"/>
  <c r="G1121" i="7" a="1"/>
  <c r="G1121" i="7"/>
  <c r="G1122" i="7" a="1"/>
  <c r="G1122" i="7"/>
  <c r="G1123" i="7" a="1"/>
  <c r="G1123" i="7"/>
  <c r="G1124" i="7" a="1"/>
  <c r="G1124" i="7"/>
  <c r="G1125" i="7" a="1"/>
  <c r="G1125" i="7"/>
  <c r="G1126" i="7" a="1"/>
  <c r="G1126" i="7"/>
  <c r="G1127" i="7" a="1"/>
  <c r="G1127" i="7"/>
  <c r="G1128" i="7" a="1"/>
  <c r="G1128" i="7"/>
  <c r="G1129" i="7" a="1"/>
  <c r="G1129" i="7"/>
  <c r="G1130" i="7" a="1"/>
  <c r="G1130" i="7"/>
  <c r="G1131" i="7" a="1"/>
  <c r="G1131" i="7"/>
  <c r="G1132" i="7" a="1"/>
  <c r="G1132" i="7"/>
  <c r="G1133" i="7" a="1"/>
  <c r="G1133" i="7"/>
  <c r="G1134" i="7" a="1"/>
  <c r="G1134" i="7"/>
  <c r="G1135" i="7" a="1"/>
  <c r="G1135" i="7"/>
  <c r="G1136" i="7" a="1"/>
  <c r="G1136" i="7"/>
  <c r="G1137" i="7" a="1"/>
  <c r="G1137" i="7"/>
  <c r="G1138" i="7" a="1"/>
  <c r="G1138" i="7"/>
  <c r="G1139" i="7" a="1"/>
  <c r="G1139" i="7"/>
  <c r="G1140" i="7" a="1"/>
  <c r="G1140" i="7"/>
  <c r="G1141" i="7" a="1"/>
  <c r="G1141" i="7"/>
  <c r="G1142" i="7" a="1"/>
  <c r="G1142" i="7"/>
  <c r="G1143" i="7" a="1"/>
  <c r="G1143" i="7"/>
  <c r="G1144" i="7" a="1"/>
  <c r="G1144" i="7"/>
  <c r="G1145" i="7" a="1"/>
  <c r="G1145" i="7"/>
  <c r="G1146" i="7" a="1"/>
  <c r="G1146" i="7"/>
  <c r="G1147" i="7" a="1"/>
  <c r="G1147" i="7"/>
  <c r="G1148" i="7" a="1"/>
  <c r="G1148" i="7"/>
  <c r="G1149" i="7" a="1"/>
  <c r="G1149" i="7"/>
  <c r="G1150" i="7" a="1"/>
  <c r="G1150" i="7"/>
  <c r="G1151" i="7" a="1"/>
  <c r="G1151" i="7"/>
  <c r="G1152" i="7" a="1"/>
  <c r="G1152" i="7"/>
  <c r="G1153" i="7" a="1"/>
  <c r="G1153" i="7"/>
  <c r="G1154" i="7" a="1"/>
  <c r="G1154" i="7"/>
  <c r="G1155" i="7" a="1"/>
  <c r="G1155" i="7"/>
  <c r="G1156" i="7" a="1"/>
  <c r="G1156" i="7"/>
  <c r="G1157" i="7" a="1"/>
  <c r="G1157" i="7"/>
  <c r="G1158" i="7" a="1"/>
  <c r="G1158" i="7"/>
  <c r="G1159" i="7" a="1"/>
  <c r="G1159" i="7"/>
  <c r="G1160" i="7" a="1"/>
  <c r="G1160" i="7"/>
  <c r="G1161" i="7" a="1"/>
  <c r="G1161" i="7"/>
  <c r="G1162" i="7" a="1"/>
  <c r="G1162" i="7"/>
  <c r="G1163" i="7" a="1"/>
  <c r="G1163" i="7"/>
  <c r="G1164" i="7" a="1"/>
  <c r="G1164" i="7"/>
  <c r="G1165" i="7" a="1"/>
  <c r="G1165" i="7"/>
  <c r="G1166" i="7" a="1"/>
  <c r="G1166" i="7"/>
  <c r="G1167" i="7" a="1"/>
  <c r="G1167" i="7"/>
  <c r="G1168" i="7" a="1"/>
  <c r="G1168" i="7"/>
  <c r="G1169" i="7" a="1"/>
  <c r="G1169" i="7"/>
  <c r="G1170" i="7" a="1"/>
  <c r="G1170" i="7"/>
  <c r="G1171" i="7" a="1"/>
  <c r="G1171" i="7"/>
  <c r="G1172" i="7" a="1"/>
  <c r="G1172" i="7"/>
  <c r="G1173" i="7" a="1"/>
  <c r="G1173" i="7"/>
  <c r="G1174" i="7" a="1"/>
  <c r="G1174" i="7"/>
  <c r="G1175" i="7" a="1"/>
  <c r="G1175" i="7"/>
  <c r="G1176" i="7" a="1"/>
  <c r="G1176" i="7"/>
  <c r="G1177" i="7" a="1"/>
  <c r="G1177" i="7"/>
  <c r="G1178" i="7" a="1"/>
  <c r="G1178" i="7"/>
  <c r="G1179" i="7" a="1"/>
  <c r="G1179" i="7"/>
  <c r="G1180" i="7" a="1"/>
  <c r="G1180" i="7"/>
  <c r="G1181" i="7" a="1"/>
  <c r="G1181" i="7"/>
  <c r="G1182" i="7" a="1"/>
  <c r="G1182" i="7"/>
  <c r="G1183" i="7" a="1"/>
  <c r="G1183" i="7"/>
  <c r="G1184" i="7" a="1"/>
  <c r="G1184" i="7"/>
  <c r="G1185" i="7" a="1"/>
  <c r="G1185" i="7"/>
  <c r="G1186" i="7" a="1"/>
  <c r="G1186" i="7"/>
  <c r="G1187" i="7" a="1"/>
  <c r="G1187" i="7"/>
  <c r="G1188" i="7" a="1"/>
  <c r="G1188" i="7"/>
  <c r="G1189" i="7" a="1"/>
  <c r="G1189" i="7"/>
  <c r="G1190" i="7" a="1"/>
  <c r="G1190" i="7"/>
  <c r="G1191" i="7" a="1"/>
  <c r="G1191" i="7"/>
  <c r="G1192" i="7" a="1"/>
  <c r="G1192" i="7"/>
  <c r="G1193" i="7" a="1"/>
  <c r="G1193" i="7"/>
  <c r="G1194" i="7" a="1"/>
  <c r="G1194" i="7"/>
  <c r="G1195" i="7" a="1"/>
  <c r="G1195" i="7"/>
  <c r="G1196" i="7" a="1"/>
  <c r="G1196" i="7"/>
  <c r="G1197" i="7" a="1"/>
  <c r="G1197" i="7"/>
  <c r="G1198" i="7" a="1"/>
  <c r="G1198" i="7"/>
  <c r="G1199" i="7" a="1"/>
  <c r="G1199" i="7"/>
  <c r="G1200" i="7" a="1"/>
  <c r="G1200" i="7"/>
  <c r="G1201" i="7" a="1"/>
  <c r="G1201" i="7"/>
  <c r="G1202" i="7" a="1"/>
  <c r="G1202" i="7"/>
  <c r="G1203" i="7" a="1"/>
  <c r="G1203" i="7"/>
  <c r="G1204" i="7" a="1"/>
  <c r="G1204" i="7"/>
  <c r="G1205" i="7" a="1"/>
  <c r="G1205" i="7"/>
  <c r="G1206" i="7" a="1"/>
  <c r="G1206" i="7"/>
  <c r="G1207" i="7" a="1"/>
  <c r="G1207" i="7"/>
  <c r="G1208" i="7" a="1"/>
  <c r="G1208" i="7"/>
  <c r="G1209" i="7" a="1"/>
  <c r="G1209" i="7"/>
  <c r="G1210" i="7" a="1"/>
  <c r="G1210" i="7"/>
  <c r="G1211" i="7" a="1"/>
  <c r="G1211" i="7"/>
  <c r="G1212" i="7" a="1"/>
  <c r="G1212" i="7"/>
  <c r="G1213" i="7" a="1"/>
  <c r="G1213" i="7"/>
  <c r="G1214" i="7" a="1"/>
  <c r="G1214" i="7"/>
  <c r="G1215" i="7" a="1"/>
  <c r="G1215" i="7"/>
  <c r="G1216" i="7" a="1"/>
  <c r="G1216" i="7"/>
  <c r="G1217" i="7" a="1"/>
  <c r="G1217" i="7"/>
  <c r="G1218" i="7" a="1"/>
  <c r="G1218" i="7"/>
  <c r="G1219" i="7" a="1"/>
  <c r="G1219" i="7"/>
  <c r="G1220" i="7" a="1"/>
  <c r="G1220" i="7"/>
  <c r="G1221" i="7" a="1"/>
  <c r="G1221" i="7"/>
  <c r="G1222" i="7" a="1"/>
  <c r="G1222" i="7"/>
  <c r="G1223" i="7" a="1"/>
  <c r="G1223" i="7"/>
  <c r="G1224" i="7" a="1"/>
  <c r="G1224" i="7"/>
  <c r="G1225" i="7" a="1"/>
  <c r="G1225" i="7"/>
  <c r="G1226" i="7" a="1"/>
  <c r="G1226" i="7"/>
  <c r="G1227" i="7" a="1"/>
  <c r="G1227" i="7"/>
  <c r="G1228" i="7" a="1"/>
  <c r="G1228" i="7"/>
  <c r="G1229" i="7" a="1"/>
  <c r="G1229" i="7"/>
  <c r="G1230" i="7" a="1"/>
  <c r="G1230" i="7"/>
  <c r="G1231" i="7" a="1"/>
  <c r="G1231" i="7"/>
  <c r="G1232" i="7" a="1"/>
  <c r="G1232" i="7"/>
  <c r="G1233" i="7" a="1"/>
  <c r="G1233" i="7"/>
  <c r="G1234" i="7" a="1"/>
  <c r="G1234" i="7"/>
  <c r="G1235" i="7" a="1"/>
  <c r="G1235" i="7"/>
  <c r="G1236" i="7" a="1"/>
  <c r="G1236" i="7"/>
  <c r="G1237" i="7" a="1"/>
  <c r="G1237" i="7"/>
  <c r="G1238" i="7" a="1"/>
  <c r="G1238" i="7"/>
  <c r="G1239" i="7" a="1"/>
  <c r="G1239" i="7"/>
  <c r="G1240" i="7" a="1"/>
  <c r="G1240" i="7"/>
  <c r="G1241" i="7" a="1"/>
  <c r="G1241" i="7"/>
  <c r="G1242" i="7" a="1"/>
  <c r="G1242" i="7"/>
  <c r="G1243" i="7" a="1"/>
  <c r="G1243" i="7"/>
  <c r="G1244" i="7" a="1"/>
  <c r="G1244" i="7"/>
  <c r="G1245" i="7" a="1"/>
  <c r="G1245" i="7"/>
  <c r="G1246" i="7" a="1"/>
  <c r="G1246" i="7"/>
  <c r="G1247" i="7" a="1"/>
  <c r="G1247" i="7"/>
  <c r="G1248" i="7" a="1"/>
  <c r="G1248" i="7"/>
  <c r="G1249" i="7" a="1"/>
  <c r="G1249" i="7"/>
  <c r="G1250" i="7" a="1"/>
  <c r="G1250" i="7"/>
  <c r="G1251" i="7" a="1"/>
  <c r="G1251" i="7"/>
  <c r="G1252" i="7" a="1"/>
  <c r="G1252" i="7"/>
  <c r="G1253" i="7" a="1"/>
  <c r="G1253" i="7"/>
  <c r="G1254" i="7" a="1"/>
  <c r="G1254" i="7"/>
  <c r="G1255" i="7" a="1"/>
  <c r="G1255" i="7"/>
  <c r="G1256" i="7" a="1"/>
  <c r="G1256" i="7"/>
  <c r="G1257" i="7" a="1"/>
  <c r="G1257" i="7"/>
  <c r="G1258" i="7" a="1"/>
  <c r="G1258" i="7"/>
  <c r="G1259" i="7" a="1"/>
  <c r="G1259" i="7"/>
  <c r="G1260" i="7" a="1"/>
  <c r="G1260" i="7"/>
  <c r="G1261" i="7" a="1"/>
  <c r="G1261" i="7"/>
  <c r="G1262" i="7" a="1"/>
  <c r="G1262" i="7"/>
  <c r="G1263" i="7" a="1"/>
  <c r="G1263" i="7"/>
  <c r="G1264" i="7" a="1"/>
  <c r="G1264" i="7"/>
  <c r="G1265" i="7" a="1"/>
  <c r="G1265" i="7"/>
  <c r="G1266" i="7" a="1"/>
  <c r="G1266" i="7"/>
  <c r="G1267" i="7" a="1"/>
  <c r="G1267" i="7"/>
  <c r="G1268" i="7" a="1"/>
  <c r="G1268" i="7"/>
  <c r="G1269" i="7" a="1"/>
  <c r="G1269" i="7"/>
  <c r="G1270" i="7" a="1"/>
  <c r="G1270" i="7"/>
  <c r="G1271" i="7" a="1"/>
  <c r="G1271" i="7"/>
  <c r="G1272" i="7" a="1"/>
  <c r="G1272" i="7"/>
  <c r="G1273" i="7" a="1"/>
  <c r="G1273" i="7"/>
  <c r="G1274" i="7" a="1"/>
  <c r="G1274" i="7"/>
  <c r="G1275" i="7" a="1"/>
  <c r="G1275" i="7"/>
  <c r="G1276" i="7" a="1"/>
  <c r="G1276" i="7"/>
  <c r="G1277" i="7" a="1"/>
  <c r="G1277" i="7"/>
  <c r="G1278" i="7" a="1"/>
  <c r="G1278" i="7"/>
  <c r="G1279" i="7" a="1"/>
  <c r="G1279" i="7"/>
  <c r="G1280" i="7" a="1"/>
  <c r="G1280" i="7"/>
  <c r="G1281" i="7" a="1"/>
  <c r="G1281" i="7"/>
  <c r="G1282" i="7" a="1"/>
  <c r="G1282" i="7"/>
  <c r="G1283" i="7" a="1"/>
  <c r="G1283" i="7"/>
  <c r="G1284" i="7" a="1"/>
  <c r="G1284" i="7"/>
  <c r="G1285" i="7" a="1"/>
  <c r="G1285" i="7"/>
  <c r="G1286" i="7" a="1"/>
  <c r="G1286" i="7"/>
  <c r="G1287" i="7" a="1"/>
  <c r="G1287" i="7"/>
  <c r="G1288" i="7" a="1"/>
  <c r="G1288" i="7"/>
  <c r="G1289" i="7" a="1"/>
  <c r="G1289" i="7"/>
  <c r="G1290" i="7" a="1"/>
  <c r="G1290" i="7"/>
  <c r="G1291" i="7" a="1"/>
  <c r="G1291" i="7"/>
  <c r="G1292" i="7" a="1"/>
  <c r="G1292" i="7"/>
  <c r="G1293" i="7" a="1"/>
  <c r="G1293" i="7"/>
  <c r="G1294" i="7" a="1"/>
  <c r="G1294" i="7"/>
  <c r="G1295" i="7" a="1"/>
  <c r="G1295" i="7"/>
  <c r="G1296" i="7" a="1"/>
  <c r="G1296" i="7"/>
  <c r="G1297" i="7" a="1"/>
  <c r="G1297" i="7"/>
  <c r="G1298" i="7" a="1"/>
  <c r="G1298" i="7"/>
  <c r="G1299" i="7" a="1"/>
  <c r="G1299" i="7"/>
  <c r="G1300" i="7" a="1"/>
  <c r="G1300" i="7"/>
  <c r="G1301" i="7" a="1"/>
  <c r="G1301" i="7"/>
  <c r="G1302" i="7" a="1"/>
  <c r="G1302" i="7"/>
  <c r="G1303" i="7" a="1"/>
  <c r="G1303" i="7"/>
  <c r="G1304" i="7" a="1"/>
  <c r="G1304" i="7"/>
  <c r="G1305" i="7" a="1"/>
  <c r="G1305" i="7"/>
  <c r="G1306" i="7" a="1"/>
  <c r="G1306" i="7"/>
  <c r="G1307" i="7" a="1"/>
  <c r="G1307" i="7"/>
  <c r="G1308" i="7" a="1"/>
  <c r="G1308" i="7"/>
  <c r="G1309" i="7" a="1"/>
  <c r="G1309" i="7"/>
  <c r="G1310" i="7" a="1"/>
  <c r="G1310" i="7"/>
  <c r="G1311" i="7" a="1"/>
  <c r="G1311" i="7"/>
  <c r="G1312" i="7" a="1"/>
  <c r="G1312" i="7"/>
  <c r="G1313" i="7" a="1"/>
  <c r="G1313" i="7"/>
  <c r="G1314" i="7" a="1"/>
  <c r="G1314" i="7"/>
  <c r="G1315" i="7" a="1"/>
  <c r="G1315" i="7"/>
  <c r="G1316" i="7" a="1"/>
  <c r="G1316" i="7"/>
  <c r="G1317" i="7" a="1"/>
  <c r="G1317" i="7"/>
  <c r="G1318" i="7" a="1"/>
  <c r="G1318" i="7"/>
  <c r="G1319" i="7" a="1"/>
  <c r="G1319" i="7"/>
  <c r="G1320" i="7" a="1"/>
  <c r="G1320" i="7"/>
  <c r="G1321" i="7" a="1"/>
  <c r="G1321" i="7"/>
  <c r="G1322" i="7" a="1"/>
  <c r="G1322" i="7"/>
  <c r="G1323" i="7" a="1"/>
  <c r="G1323" i="7"/>
  <c r="G1324" i="7" a="1"/>
  <c r="G1324" i="7"/>
  <c r="G1325" i="7" a="1"/>
  <c r="G1325" i="7"/>
  <c r="G1326" i="7" a="1"/>
  <c r="G1326" i="7"/>
  <c r="G1327" i="7" a="1"/>
  <c r="G1327" i="7"/>
  <c r="G1328" i="7" a="1"/>
  <c r="G1328" i="7"/>
  <c r="G1329" i="7" a="1"/>
  <c r="G1329" i="7"/>
  <c r="G1330" i="7" a="1"/>
  <c r="G1330" i="7"/>
  <c r="G1331" i="7" a="1"/>
  <c r="G1331" i="7"/>
  <c r="G1332" i="7" a="1"/>
  <c r="G1332" i="7"/>
  <c r="G1333" i="7" a="1"/>
  <c r="G1333" i="7"/>
  <c r="G1334" i="7" a="1"/>
  <c r="G1334" i="7"/>
  <c r="G1335" i="7" a="1"/>
  <c r="G1335" i="7"/>
  <c r="G1336" i="7" a="1"/>
  <c r="G1336" i="7"/>
  <c r="G1337" i="7" a="1"/>
  <c r="G1337" i="7"/>
  <c r="G1338" i="7" a="1"/>
  <c r="G1338" i="7"/>
  <c r="G1339" i="7" a="1"/>
  <c r="G1339" i="7"/>
  <c r="G1340" i="7" a="1"/>
  <c r="G1340" i="7"/>
  <c r="G1341" i="7" a="1"/>
  <c r="G1341" i="7"/>
  <c r="G1342" i="7" a="1"/>
  <c r="G1342" i="7"/>
  <c r="G1343" i="7" a="1"/>
  <c r="G1343" i="7"/>
  <c r="G1344" i="7" a="1"/>
  <c r="G1344" i="7"/>
  <c r="G1345" i="7" a="1"/>
  <c r="G1345" i="7"/>
  <c r="G1346" i="7" a="1"/>
  <c r="G1346" i="7"/>
  <c r="G1347" i="7" a="1"/>
  <c r="G1347" i="7"/>
  <c r="G1348" i="7" a="1"/>
  <c r="G1348" i="7"/>
  <c r="G1349" i="7" a="1"/>
  <c r="G1349" i="7"/>
  <c r="G1350" i="7" a="1"/>
  <c r="G1350" i="7"/>
  <c r="G1351" i="7" a="1"/>
  <c r="G1351" i="7"/>
  <c r="G1352" i="7" a="1"/>
  <c r="G1352" i="7"/>
  <c r="G1353" i="7" a="1"/>
  <c r="G1353" i="7"/>
  <c r="G1354" i="7" a="1"/>
  <c r="G1354" i="7"/>
  <c r="G1355" i="7" a="1"/>
  <c r="G1355" i="7"/>
  <c r="G1356" i="7" a="1"/>
  <c r="G1356" i="7"/>
  <c r="G1357" i="7" a="1"/>
  <c r="G1357" i="7"/>
  <c r="G1358" i="7" a="1"/>
  <c r="G1358" i="7"/>
  <c r="G1359" i="7" a="1"/>
  <c r="G1359" i="7"/>
  <c r="G1360" i="7" a="1"/>
  <c r="G1360" i="7"/>
  <c r="G1361" i="7" a="1"/>
  <c r="G1361" i="7"/>
  <c r="G1362" i="7" a="1"/>
  <c r="G1362" i="7"/>
  <c r="G1363" i="7" a="1"/>
  <c r="G1363" i="7"/>
  <c r="G1364" i="7" a="1"/>
  <c r="G1364" i="7"/>
  <c r="G1365" i="7" a="1"/>
  <c r="G1365" i="7"/>
  <c r="G1366" i="7" a="1"/>
  <c r="G1366" i="7"/>
  <c r="G1367" i="7" a="1"/>
  <c r="G1367" i="7"/>
  <c r="G1368" i="7" a="1"/>
  <c r="G1368" i="7"/>
  <c r="G1369" i="7" a="1"/>
  <c r="G1369" i="7"/>
  <c r="G1370" i="7" a="1"/>
  <c r="G1370" i="7"/>
  <c r="G1371" i="7" a="1"/>
  <c r="G1371" i="7"/>
  <c r="G1372" i="7" a="1"/>
  <c r="G1372" i="7"/>
  <c r="G1373" i="7" a="1"/>
  <c r="G1373" i="7"/>
  <c r="G1374" i="7" a="1"/>
  <c r="G1374" i="7"/>
  <c r="G1375" i="7" a="1"/>
  <c r="G1375" i="7"/>
  <c r="G1376" i="7" a="1"/>
  <c r="G1376" i="7"/>
  <c r="G1377" i="7" a="1"/>
  <c r="G1377" i="7"/>
  <c r="G1378" i="7" a="1"/>
  <c r="G1378" i="7"/>
  <c r="G1379" i="7" a="1"/>
  <c r="G1379" i="7"/>
  <c r="G1380" i="7" a="1"/>
  <c r="G1380" i="7"/>
  <c r="G1381" i="7" a="1"/>
  <c r="G1381" i="7"/>
  <c r="G1382" i="7" a="1"/>
  <c r="G1382" i="7"/>
  <c r="G1383" i="7" a="1"/>
  <c r="G1383" i="7"/>
  <c r="G1384" i="7" a="1"/>
  <c r="G1384" i="7"/>
  <c r="G1385" i="7" a="1"/>
  <c r="G1385" i="7"/>
  <c r="G1386" i="7" a="1"/>
  <c r="G1386" i="7"/>
  <c r="G1387" i="7" a="1"/>
  <c r="G1387" i="7"/>
  <c r="G1388" i="7" a="1"/>
  <c r="G1388" i="7"/>
  <c r="G1389" i="7" a="1"/>
  <c r="G1389" i="7"/>
  <c r="G1390" i="7" a="1"/>
  <c r="G1390" i="7"/>
  <c r="G1391" i="7" a="1"/>
  <c r="G1391" i="7"/>
  <c r="G1392" i="7" a="1"/>
  <c r="G1392" i="7"/>
  <c r="G1393" i="7" a="1"/>
  <c r="G1393" i="7"/>
  <c r="G1394" i="7" a="1"/>
  <c r="G1394" i="7"/>
  <c r="G1395" i="7" a="1"/>
  <c r="G1395" i="7"/>
  <c r="G1396" i="7" a="1"/>
  <c r="G1396" i="7"/>
  <c r="G1397" i="7" a="1"/>
  <c r="G1397" i="7"/>
  <c r="G1398" i="7" a="1"/>
  <c r="G1398" i="7"/>
  <c r="G1399" i="7" a="1"/>
  <c r="G1399" i="7"/>
  <c r="G1400" i="7" a="1"/>
  <c r="G1400" i="7"/>
  <c r="G1401" i="7" a="1"/>
  <c r="G1401" i="7"/>
  <c r="G1402" i="7" a="1"/>
  <c r="G1402" i="7"/>
  <c r="G1403" i="7" a="1"/>
  <c r="G1403" i="7"/>
  <c r="G1404" i="7" a="1"/>
  <c r="G1404" i="7"/>
  <c r="G1405" i="7" a="1"/>
  <c r="G1405" i="7"/>
  <c r="G1406" i="7" a="1"/>
  <c r="G1406" i="7"/>
  <c r="G1407" i="7" a="1"/>
  <c r="G1407" i="7"/>
  <c r="G1408" i="7" a="1"/>
  <c r="G1408" i="7"/>
  <c r="G1409" i="7" a="1"/>
  <c r="G1409" i="7"/>
  <c r="G1410" i="7" a="1"/>
  <c r="G1410" i="7"/>
  <c r="G1411" i="7" a="1"/>
  <c r="G1411" i="7"/>
  <c r="G1412" i="7" a="1"/>
  <c r="G1412" i="7"/>
  <c r="G1413" i="7" a="1"/>
  <c r="G1413" i="7"/>
  <c r="G1414" i="7" a="1"/>
  <c r="G1414" i="7"/>
  <c r="G1415" i="7" a="1"/>
  <c r="G1415" i="7"/>
  <c r="G1416" i="7" a="1"/>
  <c r="G1416" i="7"/>
  <c r="G1417" i="7" a="1"/>
  <c r="G1417" i="7"/>
  <c r="G1418" i="7" a="1"/>
  <c r="G1418" i="7"/>
  <c r="G1419" i="7" a="1"/>
  <c r="G1419" i="7"/>
  <c r="G1420" i="7" a="1"/>
  <c r="G1420" i="7"/>
  <c r="G1421" i="7" a="1"/>
  <c r="G1421" i="7"/>
  <c r="G1422" i="7" a="1"/>
  <c r="G1422" i="7"/>
  <c r="G14" i="7" a="1"/>
  <c r="G14" i="7" s="1"/>
  <c r="G15" i="7" a="1"/>
  <c r="G15" i="7" s="1"/>
  <c r="G16" i="7" a="1"/>
  <c r="G16" i="7" s="1"/>
  <c r="G17" i="7" a="1"/>
  <c r="G17" i="7"/>
  <c r="G18" i="7" a="1"/>
  <c r="G18" i="7" s="1"/>
  <c r="G19" i="7" a="1"/>
  <c r="G19" i="7" s="1"/>
  <c r="G20" i="7" a="1"/>
  <c r="G20" i="7" s="1"/>
  <c r="G21" i="7" a="1"/>
  <c r="G21" i="7"/>
  <c r="G22" i="7" a="1"/>
  <c r="G22" i="7" s="1"/>
  <c r="G23" i="7" a="1"/>
  <c r="G23" i="7" s="1"/>
  <c r="G24" i="7" a="1"/>
  <c r="G24" i="7" s="1"/>
  <c r="G25" i="7" a="1"/>
  <c r="G25" i="7"/>
  <c r="G26" i="7" a="1"/>
  <c r="G26" i="7" s="1"/>
  <c r="G27" i="7" a="1"/>
  <c r="G27" i="7" s="1"/>
  <c r="G28" i="7" a="1"/>
  <c r="G28" i="7" s="1"/>
  <c r="G29" i="7" a="1"/>
  <c r="G29" i="7"/>
  <c r="G30" i="7" a="1"/>
  <c r="G30" i="7" s="1"/>
  <c r="G31" i="7" a="1"/>
  <c r="G31" i="7" s="1"/>
  <c r="G32" i="7" a="1"/>
  <c r="G32" i="7" s="1"/>
  <c r="G33" i="7" a="1"/>
  <c r="G33" i="7"/>
  <c r="G34" i="7" a="1"/>
  <c r="G34" i="7" s="1"/>
  <c r="G35" i="7" a="1"/>
  <c r="G35" i="7" s="1"/>
  <c r="G36" i="7" a="1"/>
  <c r="G36" i="7" s="1"/>
  <c r="G37" i="7" a="1"/>
  <c r="G37" i="7"/>
  <c r="G38" i="7" a="1"/>
  <c r="G38" i="7" s="1"/>
  <c r="G39" i="7" a="1"/>
  <c r="G39" i="7" s="1"/>
  <c r="G40" i="7" a="1"/>
  <c r="G40" i="7" s="1"/>
  <c r="G41" i="7" a="1"/>
  <c r="G41" i="7"/>
  <c r="G42" i="7" a="1"/>
  <c r="G42" i="7" s="1"/>
  <c r="G43" i="7" a="1"/>
  <c r="G43" i="7" s="1"/>
  <c r="G44" i="7" a="1"/>
  <c r="G44" i="7" s="1"/>
  <c r="G45" i="7" a="1"/>
  <c r="G45" i="7"/>
  <c r="G46" i="7" a="1"/>
  <c r="G46" i="7" s="1"/>
  <c r="G47" i="7" a="1"/>
  <c r="G47" i="7" s="1"/>
  <c r="G48" i="7" a="1"/>
  <c r="G48" i="7" s="1"/>
  <c r="G49" i="7" a="1"/>
  <c r="G49" i="7"/>
  <c r="G50" i="7" a="1"/>
  <c r="G50" i="7" s="1"/>
  <c r="G51" i="7" a="1"/>
  <c r="G51" i="7" s="1"/>
  <c r="G52" i="7" a="1"/>
  <c r="G52" i="7" s="1"/>
  <c r="G53" i="7" a="1"/>
  <c r="G53" i="7"/>
  <c r="G54" i="7" a="1"/>
  <c r="G54" i="7" s="1"/>
  <c r="G55" i="7" a="1"/>
  <c r="G55" i="7" s="1"/>
  <c r="G56" i="7" a="1"/>
  <c r="G56" i="7" s="1"/>
  <c r="G57" i="7" a="1"/>
  <c r="G57" i="7"/>
  <c r="G58" i="7" a="1"/>
  <c r="G58" i="7" s="1"/>
  <c r="G59" i="7" a="1"/>
  <c r="G59" i="7" s="1"/>
  <c r="G60" i="7" a="1"/>
  <c r="G60" i="7" s="1"/>
  <c r="G61" i="7" a="1"/>
  <c r="G61" i="7"/>
  <c r="G62" i="7" a="1"/>
  <c r="G62" i="7" s="1"/>
  <c r="G63" i="7" a="1"/>
  <c r="G63" i="7" s="1"/>
  <c r="G64" i="7" a="1"/>
  <c r="G64" i="7" s="1"/>
  <c r="G65" i="7" a="1"/>
  <c r="G65" i="7"/>
  <c r="G66" i="7" a="1"/>
  <c r="G66" i="7" s="1"/>
  <c r="G67" i="7" a="1"/>
  <c r="G67" i="7" s="1"/>
  <c r="G68" i="7" a="1"/>
  <c r="G68" i="7" s="1"/>
  <c r="G69" i="7" a="1"/>
  <c r="G69" i="7"/>
  <c r="G70" i="7" a="1"/>
  <c r="G70" i="7" s="1"/>
  <c r="G71" i="7" a="1"/>
  <c r="G71" i="7" s="1"/>
  <c r="G72" i="7" a="1"/>
  <c r="G72" i="7" s="1"/>
  <c r="G73" i="7" a="1"/>
  <c r="G73" i="7"/>
  <c r="G74" i="7" a="1"/>
  <c r="G74" i="7" s="1"/>
  <c r="G75" i="7" a="1"/>
  <c r="G75" i="7" s="1"/>
  <c r="G76" i="7" a="1"/>
  <c r="G76" i="7" s="1"/>
  <c r="G77" i="7" a="1"/>
  <c r="G77" i="7"/>
  <c r="G78" i="7" a="1"/>
  <c r="G78" i="7" s="1"/>
  <c r="G79" i="7" a="1"/>
  <c r="G79" i="7" s="1"/>
  <c r="G80" i="7" a="1"/>
  <c r="G80" i="7" s="1"/>
  <c r="G81" i="7" a="1"/>
  <c r="G81" i="7"/>
  <c r="G82" i="7" a="1"/>
  <c r="G82" i="7" s="1"/>
  <c r="G83" i="7" a="1"/>
  <c r="G83" i="7" s="1"/>
  <c r="G84" i="7" a="1"/>
  <c r="G84" i="7" s="1"/>
  <c r="G85" i="7" a="1"/>
  <c r="G85" i="7"/>
  <c r="G86" i="7" a="1"/>
  <c r="G86" i="7" s="1"/>
  <c r="G87" i="7" a="1"/>
  <c r="G87" i="7" s="1"/>
  <c r="G88" i="7" a="1"/>
  <c r="G88" i="7" s="1"/>
  <c r="G89" i="7" a="1"/>
  <c r="G89" i="7"/>
  <c r="G90" i="7" a="1"/>
  <c r="G90" i="7" s="1"/>
  <c r="G91" i="7" a="1"/>
  <c r="G91" i="7" s="1"/>
  <c r="G92" i="7" a="1"/>
  <c r="G92" i="7" s="1"/>
  <c r="G93" i="7" a="1"/>
  <c r="G93" i="7"/>
  <c r="G94" i="7" a="1"/>
  <c r="G94" i="7" s="1"/>
  <c r="G95" i="7" a="1"/>
  <c r="G95" i="7" s="1"/>
  <c r="G96" i="7" a="1"/>
  <c r="G96" i="7" s="1"/>
  <c r="G97" i="7" a="1"/>
  <c r="G97" i="7"/>
  <c r="G98" i="7" a="1"/>
  <c r="G98" i="7" s="1"/>
  <c r="G99" i="7" a="1"/>
  <c r="G99" i="7" s="1"/>
  <c r="G100" i="7" a="1"/>
  <c r="G100" i="7" s="1"/>
  <c r="G101" i="7" a="1"/>
  <c r="G101" i="7"/>
  <c r="G102" i="7" a="1"/>
  <c r="G102" i="7" s="1"/>
  <c r="G103" i="7" a="1"/>
  <c r="G103" i="7" s="1"/>
  <c r="G104" i="7" a="1"/>
  <c r="G104" i="7" s="1"/>
  <c r="G105" i="7" a="1"/>
  <c r="G105" i="7"/>
  <c r="G106" i="7" a="1"/>
  <c r="G106" i="7" s="1"/>
  <c r="G107" i="7" a="1"/>
  <c r="G107" i="7" s="1"/>
  <c r="G108" i="7" a="1"/>
  <c r="G108" i="7" s="1"/>
  <c r="G109" i="7" a="1"/>
  <c r="G109" i="7"/>
  <c r="G110" i="7" a="1"/>
  <c r="G110" i="7" s="1"/>
  <c r="G111" i="7" a="1"/>
  <c r="G111" i="7" s="1"/>
  <c r="G112" i="7" a="1"/>
  <c r="G112" i="7" s="1"/>
  <c r="G113" i="7" a="1"/>
  <c r="G113" i="7"/>
  <c r="G114" i="7" a="1"/>
  <c r="G114" i="7" s="1"/>
  <c r="G115" i="7" a="1"/>
  <c r="G115" i="7" s="1"/>
  <c r="G116" i="7" a="1"/>
  <c r="G116" i="7" s="1"/>
  <c r="G117" i="7" a="1"/>
  <c r="G117" i="7"/>
  <c r="G118" i="7" a="1"/>
  <c r="G118" i="7" s="1"/>
  <c r="G119" i="7" a="1"/>
  <c r="G119" i="7" s="1"/>
  <c r="G120" i="7" a="1"/>
  <c r="G120" i="7" s="1"/>
  <c r="G121" i="7" a="1"/>
  <c r="G121" i="7"/>
  <c r="G122" i="7" a="1"/>
  <c r="G122" i="7" s="1"/>
  <c r="G123" i="7" a="1"/>
  <c r="G123" i="7" s="1"/>
  <c r="G124" i="7" a="1"/>
  <c r="G124" i="7" s="1"/>
  <c r="G125" i="7" a="1"/>
  <c r="G125" i="7"/>
  <c r="G126" i="7" a="1"/>
  <c r="G126" i="7" s="1"/>
  <c r="G127" i="7" a="1"/>
  <c r="G127" i="7" s="1"/>
  <c r="G128" i="7" a="1"/>
  <c r="G128" i="7" s="1"/>
  <c r="G129" i="7" a="1"/>
  <c r="G129" i="7"/>
  <c r="G130" i="7" a="1"/>
  <c r="G130" i="7" s="1"/>
  <c r="G131" i="7" a="1"/>
  <c r="G131" i="7" s="1"/>
  <c r="G132" i="7" a="1"/>
  <c r="G132" i="7" s="1"/>
  <c r="G133" i="7" a="1"/>
  <c r="G133" i="7"/>
  <c r="G134" i="7" a="1"/>
  <c r="G134" i="7" s="1"/>
  <c r="G135" i="7" a="1"/>
  <c r="G135" i="7" s="1"/>
  <c r="G136" i="7" a="1"/>
  <c r="G136" i="7" s="1"/>
  <c r="G137" i="7" a="1"/>
  <c r="G137" i="7"/>
  <c r="G138" i="7" a="1"/>
  <c r="G138" i="7" s="1"/>
  <c r="G139" i="7" a="1"/>
  <c r="G139" i="7" s="1"/>
  <c r="G140" i="7" a="1"/>
  <c r="G140" i="7" s="1"/>
  <c r="G141" i="7" a="1"/>
  <c r="G141" i="7"/>
  <c r="G142" i="7" a="1"/>
  <c r="G142" i="7" s="1"/>
  <c r="G143" i="7" a="1"/>
  <c r="G143" i="7" s="1"/>
  <c r="G144" i="7" a="1"/>
  <c r="G144" i="7" s="1"/>
  <c r="G145" i="7" a="1"/>
  <c r="G145" i="7"/>
  <c r="G146" i="7" a="1"/>
  <c r="G146" i="7" s="1"/>
  <c r="G147" i="7" a="1"/>
  <c r="G147" i="7" s="1"/>
  <c r="G148" i="7" a="1"/>
  <c r="G148" i="7" s="1"/>
  <c r="G149" i="7" a="1"/>
  <c r="G149" i="7"/>
  <c r="G150" i="7" a="1"/>
  <c r="G150" i="7" s="1"/>
  <c r="G151" i="7" a="1"/>
  <c r="G151" i="7" s="1"/>
  <c r="G152" i="7" a="1"/>
  <c r="G152" i="7" s="1"/>
  <c r="G153" i="7" a="1"/>
  <c r="G153" i="7"/>
  <c r="G154" i="7" a="1"/>
  <c r="G154" i="7" s="1"/>
  <c r="G155" i="7" a="1"/>
  <c r="G155" i="7" s="1"/>
  <c r="G156" i="7" a="1"/>
  <c r="G156" i="7" s="1"/>
  <c r="G157" i="7" a="1"/>
  <c r="G157" i="7"/>
  <c r="G158" i="7" a="1"/>
  <c r="G158" i="7" s="1"/>
  <c r="G159" i="7" a="1"/>
  <c r="G159" i="7" s="1"/>
  <c r="G160" i="7" a="1"/>
  <c r="G160" i="7" s="1"/>
  <c r="G161" i="7" a="1"/>
  <c r="G161" i="7"/>
  <c r="G162" i="7" a="1"/>
  <c r="G162" i="7" s="1"/>
  <c r="G163" i="7" a="1"/>
  <c r="G163" i="7" s="1"/>
  <c r="G164" i="7" a="1"/>
  <c r="G164" i="7" s="1"/>
  <c r="G165" i="7" a="1"/>
  <c r="G165" i="7"/>
  <c r="G166" i="7" a="1"/>
  <c r="G166" i="7" s="1"/>
  <c r="G167" i="7" a="1"/>
  <c r="G167" i="7" s="1"/>
  <c r="G168" i="7" a="1"/>
  <c r="G168" i="7" s="1"/>
  <c r="G169" i="7" a="1"/>
  <c r="G169" i="7"/>
  <c r="G170" i="7" a="1"/>
  <c r="G170" i="7" s="1"/>
  <c r="G171" i="7" a="1"/>
  <c r="G171" i="7" s="1"/>
  <c r="G172" i="7" a="1"/>
  <c r="G172" i="7" s="1"/>
  <c r="G173" i="7" a="1"/>
  <c r="G173" i="7"/>
  <c r="G174" i="7" a="1"/>
  <c r="G174" i="7" s="1"/>
  <c r="G175" i="7" a="1"/>
  <c r="G175" i="7" s="1"/>
  <c r="G176" i="7" a="1"/>
  <c r="G176" i="7" s="1"/>
  <c r="G177" i="7" a="1"/>
  <c r="G177" i="7"/>
  <c r="G178" i="7" a="1"/>
  <c r="G178" i="7" s="1"/>
  <c r="G179" i="7" a="1"/>
  <c r="G179" i="7" s="1"/>
  <c r="G180" i="7" a="1"/>
  <c r="G180" i="7" s="1"/>
  <c r="G181" i="7" a="1"/>
  <c r="G181" i="7"/>
  <c r="G182" i="7" a="1"/>
  <c r="G182" i="7" s="1"/>
  <c r="G183" i="7" a="1"/>
  <c r="G183" i="7" s="1"/>
  <c r="G184" i="7" a="1"/>
  <c r="G184" i="7" s="1"/>
  <c r="G185" i="7" a="1"/>
  <c r="G185" i="7"/>
  <c r="G186" i="7" a="1"/>
  <c r="G186" i="7" s="1"/>
  <c r="G187" i="7" a="1"/>
  <c r="G187" i="7" s="1"/>
  <c r="G188" i="7" a="1"/>
  <c r="G188" i="7" s="1"/>
  <c r="G189" i="7" a="1"/>
  <c r="G189" i="7"/>
  <c r="G190" i="7" a="1"/>
  <c r="G190" i="7" s="1"/>
  <c r="G191" i="7" a="1"/>
  <c r="G191" i="7" s="1"/>
  <c r="G192" i="7" a="1"/>
  <c r="G192" i="7" s="1"/>
  <c r="G193" i="7" a="1"/>
  <c r="G193" i="7"/>
  <c r="G194" i="7" a="1"/>
  <c r="G194" i="7" s="1"/>
  <c r="G195" i="7" a="1"/>
  <c r="G195" i="7" s="1"/>
  <c r="G196" i="7" a="1"/>
  <c r="G196" i="7" s="1"/>
  <c r="G197" i="7" a="1"/>
  <c r="G197" i="7"/>
  <c r="G198" i="7" a="1"/>
  <c r="G198" i="7" s="1"/>
  <c r="G199" i="7" a="1"/>
  <c r="G199" i="7" s="1"/>
  <c r="G200" i="7" a="1"/>
  <c r="G200" i="7" s="1"/>
  <c r="G201" i="7" a="1"/>
  <c r="G201" i="7"/>
  <c r="G202" i="7" a="1"/>
  <c r="G202" i="7" s="1"/>
  <c r="G203" i="7" a="1"/>
  <c r="G203" i="7" s="1"/>
  <c r="G204" i="7" a="1"/>
  <c r="G204" i="7" s="1"/>
  <c r="G205" i="7" a="1"/>
  <c r="G205" i="7"/>
  <c r="G206" i="7" a="1"/>
  <c r="G206" i="7" s="1"/>
  <c r="G207" i="7" a="1"/>
  <c r="G207" i="7" s="1"/>
  <c r="G208" i="7" a="1"/>
  <c r="G208" i="7" s="1"/>
  <c r="G209" i="7" a="1"/>
  <c r="G209" i="7"/>
  <c r="G210" i="7" a="1"/>
  <c r="G210" i="7" s="1"/>
  <c r="G211" i="7" a="1"/>
  <c r="G211" i="7" s="1"/>
  <c r="G212" i="7" a="1"/>
  <c r="G212" i="7" s="1"/>
  <c r="G213" i="7" a="1"/>
  <c r="G213" i="7"/>
  <c r="G214" i="7" a="1"/>
  <c r="G214" i="7" s="1"/>
  <c r="G215" i="7" a="1"/>
  <c r="G215" i="7" s="1"/>
  <c r="G216" i="7" a="1"/>
  <c r="G216" i="7" s="1"/>
  <c r="G217" i="7" a="1"/>
  <c r="G217" i="7"/>
  <c r="G218" i="7" a="1"/>
  <c r="G218" i="7" s="1"/>
  <c r="G219" i="7" a="1"/>
  <c r="G219" i="7" s="1"/>
  <c r="G220" i="7" a="1"/>
  <c r="G220" i="7" s="1"/>
  <c r="G221" i="7" a="1"/>
  <c r="G221" i="7"/>
  <c r="G222" i="7" a="1"/>
  <c r="G222" i="7" s="1"/>
  <c r="G223" i="7" a="1"/>
  <c r="G223" i="7" s="1"/>
  <c r="G224" i="7" a="1"/>
  <c r="G224" i="7" s="1"/>
  <c r="G225" i="7" a="1"/>
  <c r="G225" i="7" s="1"/>
  <c r="G226" i="7" a="1"/>
  <c r="G226" i="7" s="1"/>
  <c r="G227" i="7" a="1"/>
  <c r="G227" i="7" s="1"/>
  <c r="G228" i="7" a="1"/>
  <c r="G228" i="7" s="1"/>
  <c r="G229" i="7" a="1"/>
  <c r="G229" i="7"/>
  <c r="G230" i="7" a="1"/>
  <c r="G230" i="7" s="1"/>
  <c r="G231" i="7" a="1"/>
  <c r="G231" i="7" s="1"/>
  <c r="G232" i="7" a="1"/>
  <c r="G232" i="7" s="1"/>
  <c r="G233" i="7" a="1"/>
  <c r="G233" i="7"/>
  <c r="G234" i="7" a="1"/>
  <c r="G234" i="7" s="1"/>
  <c r="G235" i="7" a="1"/>
  <c r="G235" i="7" s="1"/>
  <c r="G236" i="7" a="1"/>
  <c r="G236" i="7" s="1"/>
  <c r="G237" i="7" a="1"/>
  <c r="G237" i="7"/>
  <c r="G238" i="7" a="1"/>
  <c r="G238" i="7" s="1"/>
  <c r="G239" i="7" a="1"/>
  <c r="G239" i="7" s="1"/>
  <c r="G3" i="7" a="1"/>
  <c r="G3" i="7" s="1"/>
  <c r="G4" i="7" a="1"/>
  <c r="G4" i="7" s="1"/>
  <c r="G5" i="7" a="1"/>
  <c r="G5" i="7" s="1"/>
  <c r="G6" i="7" a="1"/>
  <c r="G6" i="7"/>
  <c r="G7" i="7" a="1"/>
  <c r="G7" i="7" s="1"/>
  <c r="G8" i="7" a="1"/>
  <c r="G8" i="7" s="1"/>
  <c r="G9" i="7" a="1"/>
  <c r="G9" i="7" s="1"/>
  <c r="G10" i="7" a="1"/>
  <c r="G10" i="7"/>
  <c r="G11" i="7" a="1"/>
  <c r="G11" i="7" s="1"/>
  <c r="G12" i="7" a="1"/>
  <c r="G12" i="7" s="1"/>
  <c r="G13" i="7" a="1"/>
  <c r="G13" i="7" s="1"/>
  <c r="G2" i="7" a="1"/>
  <c r="G2" i="7" s="1"/>
  <c r="A1411" i="7" a="1"/>
  <c r="A1411" i="7" s="1"/>
  <c r="D1411" i="7" s="1"/>
  <c r="A1412" i="7" a="1"/>
  <c r="A1412" i="7" s="1"/>
  <c r="A1413" i="7" a="1"/>
  <c r="A1413" i="7" s="1"/>
  <c r="D1413" i="7" s="1"/>
  <c r="A1414" i="7" a="1"/>
  <c r="A1414" i="7" s="1"/>
  <c r="D1414" i="7" s="1"/>
  <c r="A1415" i="7" a="1"/>
  <c r="A1415" i="7" s="1"/>
  <c r="D1415" i="7" s="1"/>
  <c r="A1416" i="7" a="1"/>
  <c r="A1416" i="7" s="1"/>
  <c r="A1417" i="7" a="1"/>
  <c r="A1417" i="7" s="1"/>
  <c r="A1418" i="7" a="1"/>
  <c r="A1418" i="7" s="1"/>
  <c r="A1419" i="7" a="1"/>
  <c r="A1419" i="7" s="1"/>
  <c r="A1420" i="7" a="1"/>
  <c r="A1420" i="7" s="1"/>
  <c r="D1420" i="7" s="1"/>
  <c r="A1421" i="7" a="1"/>
  <c r="A1421" i="7" s="1"/>
  <c r="A1422" i="7" a="1"/>
  <c r="A1422" i="7" s="1"/>
  <c r="A1314" i="7" a="1"/>
  <c r="A1314" i="7" s="1"/>
  <c r="A1315" i="7" a="1"/>
  <c r="A1315" i="7" s="1"/>
  <c r="D1315" i="7" s="1"/>
  <c r="A1316" i="7" a="1"/>
  <c r="A1316" i="7" s="1"/>
  <c r="A1317" i="7" a="1"/>
  <c r="A1317" i="7" s="1"/>
  <c r="A1318" i="7" a="1"/>
  <c r="A1318" i="7" s="1"/>
  <c r="A1319" i="7" a="1"/>
  <c r="A1319" i="7" s="1"/>
  <c r="A1320" i="7" a="1"/>
  <c r="A1320" i="7" s="1"/>
  <c r="A1321" i="7" a="1"/>
  <c r="A1321" i="7" s="1"/>
  <c r="A1322" i="7" a="1"/>
  <c r="A1322" i="7" s="1"/>
  <c r="A1323" i="7" a="1"/>
  <c r="A1323" i="7" s="1"/>
  <c r="A1324" i="7" a="1"/>
  <c r="A1324" i="7" s="1"/>
  <c r="A1325" i="7" a="1"/>
  <c r="A1325" i="7" s="1"/>
  <c r="A1326" i="7" a="1"/>
  <c r="A1326" i="7" s="1"/>
  <c r="A1327" i="7" a="1"/>
  <c r="A1327" i="7" s="1"/>
  <c r="D1327" i="7" s="1"/>
  <c r="A1328" i="7" a="1"/>
  <c r="A1328" i="7" s="1"/>
  <c r="A1329" i="7" a="1"/>
  <c r="A1329" i="7" s="1"/>
  <c r="A1330" i="7" a="1"/>
  <c r="A1330" i="7" s="1"/>
  <c r="A1331" i="7" a="1"/>
  <c r="A1331" i="7" s="1"/>
  <c r="A1332" i="7" a="1"/>
  <c r="A1332" i="7" s="1"/>
  <c r="A1333" i="7" a="1"/>
  <c r="A1333" i="7" s="1"/>
  <c r="A1334" i="7" a="1"/>
  <c r="A1334" i="7" s="1"/>
  <c r="A1335" i="7" a="1"/>
  <c r="A1335" i="7" s="1"/>
  <c r="D1335" i="7" s="1"/>
  <c r="A1336" i="7" a="1"/>
  <c r="A1336" i="7" s="1"/>
  <c r="A1337" i="7" a="1"/>
  <c r="A1337" i="7" s="1"/>
  <c r="D1337" i="7" s="1"/>
  <c r="A1338" i="7" a="1"/>
  <c r="A1338" i="7" s="1"/>
  <c r="A1339" i="7" a="1"/>
  <c r="A1339" i="7" s="1"/>
  <c r="B1339" i="7" s="1"/>
  <c r="A1340" i="7" a="1"/>
  <c r="A1340" i="7" s="1"/>
  <c r="A1341" i="7" a="1"/>
  <c r="A1341" i="7" s="1"/>
  <c r="D1341" i="7" s="1"/>
  <c r="A1342" i="7" a="1"/>
  <c r="A1342" i="7" s="1"/>
  <c r="A1343" i="7" a="1"/>
  <c r="A1343" i="7" s="1"/>
  <c r="D1343" i="7" s="1"/>
  <c r="A1344" i="7" a="1"/>
  <c r="A1344" i="7" s="1"/>
  <c r="A1345" i="7" a="1"/>
  <c r="A1345" i="7" s="1"/>
  <c r="A1346" i="7" a="1"/>
  <c r="A1346" i="7" s="1"/>
  <c r="A1347" i="7" a="1"/>
  <c r="A1347" i="7" s="1"/>
  <c r="A1348" i="7" a="1"/>
  <c r="A1348" i="7" s="1"/>
  <c r="A1349" i="7" a="1"/>
  <c r="A1349" i="7" s="1"/>
  <c r="A1350" i="7" a="1"/>
  <c r="A1350" i="7" s="1"/>
  <c r="A1351" i="7" a="1"/>
  <c r="A1351" i="7" s="1"/>
  <c r="D1351" i="7" s="1"/>
  <c r="A1352" i="7" a="1"/>
  <c r="A1352" i="7" s="1"/>
  <c r="A1353" i="7" a="1"/>
  <c r="A1353" i="7" s="1"/>
  <c r="D1353" i="7" s="1"/>
  <c r="A1354" i="7" a="1"/>
  <c r="A1354" i="7" s="1"/>
  <c r="A1355" i="7" a="1"/>
  <c r="A1355" i="7" s="1"/>
  <c r="A1356" i="7" a="1"/>
  <c r="A1356" i="7" s="1"/>
  <c r="A1357" i="7" a="1"/>
  <c r="A1357" i="7" s="1"/>
  <c r="A1358" i="7" a="1"/>
  <c r="A1358" i="7" s="1"/>
  <c r="A1359" i="7" a="1"/>
  <c r="A1359" i="7" s="1"/>
  <c r="D1359" i="7" s="1"/>
  <c r="A1360" i="7" a="1"/>
  <c r="A1360" i="7" s="1"/>
  <c r="A1361" i="7" a="1"/>
  <c r="A1361" i="7" s="1"/>
  <c r="A1362" i="7" a="1"/>
  <c r="A1362" i="7" s="1"/>
  <c r="A1363" i="7" a="1"/>
  <c r="A1363" i="7" s="1"/>
  <c r="A1364" i="7" a="1"/>
  <c r="A1364" i="7" s="1"/>
  <c r="A1365" i="7" a="1"/>
  <c r="A1365" i="7" s="1"/>
  <c r="A1366" i="7" a="1"/>
  <c r="A1366" i="7" s="1"/>
  <c r="D1366" i="7" s="1"/>
  <c r="A1367" i="7" a="1"/>
  <c r="A1367" i="7" s="1"/>
  <c r="A1368" i="7" a="1"/>
  <c r="A1368" i="7" s="1"/>
  <c r="A1369" i="7" a="1"/>
  <c r="A1369" i="7" s="1"/>
  <c r="A1370" i="7" a="1"/>
  <c r="A1370" i="7" s="1"/>
  <c r="A1371" i="7" a="1"/>
  <c r="A1371" i="7" s="1"/>
  <c r="A1372" i="7" a="1"/>
  <c r="A1372" i="7" s="1"/>
  <c r="A1373" i="7" a="1"/>
  <c r="A1373" i="7" s="1"/>
  <c r="A1374" i="7" a="1"/>
  <c r="A1374" i="7" s="1"/>
  <c r="D1374" i="7" s="1"/>
  <c r="A1375" i="7" a="1"/>
  <c r="A1375" i="7" s="1"/>
  <c r="D1375" i="7" s="1"/>
  <c r="A1376" i="7" a="1"/>
  <c r="A1376" i="7" s="1"/>
  <c r="A1377" i="7" a="1"/>
  <c r="A1377" i="7" s="1"/>
  <c r="D1377" i="7" s="1"/>
  <c r="A1378" i="7" a="1"/>
  <c r="A1378" i="7" s="1"/>
  <c r="A1379" i="7" a="1"/>
  <c r="A1379" i="7" s="1"/>
  <c r="D1379" i="7" s="1"/>
  <c r="A1380" i="7" a="1"/>
  <c r="A1380" i="7" s="1"/>
  <c r="A1381" i="7" a="1"/>
  <c r="A1381" i="7" s="1"/>
  <c r="A1382" i="7" a="1"/>
  <c r="A1382" i="7" s="1"/>
  <c r="A1383" i="7" a="1"/>
  <c r="A1383" i="7" s="1"/>
  <c r="A1384" i="7" a="1"/>
  <c r="A1384" i="7" s="1"/>
  <c r="A1385" i="7" a="1"/>
  <c r="A1385" i="7" s="1"/>
  <c r="A1386" i="7" a="1"/>
  <c r="A1386" i="7" s="1"/>
  <c r="A1387" i="7" a="1"/>
  <c r="A1387" i="7" s="1"/>
  <c r="A1388" i="7" a="1"/>
  <c r="A1388" i="7" s="1"/>
  <c r="A1389" i="7" a="1"/>
  <c r="A1389" i="7" s="1"/>
  <c r="D1389" i="7" s="1"/>
  <c r="A1390" i="7" a="1"/>
  <c r="A1390" i="7" s="1"/>
  <c r="D1390" i="7" s="1"/>
  <c r="A1391" i="7" a="1"/>
  <c r="A1391" i="7" s="1"/>
  <c r="D1391" i="7" s="1"/>
  <c r="A1392" i="7" a="1"/>
  <c r="A1392" i="7" s="1"/>
  <c r="A1393" i="7" a="1"/>
  <c r="A1393" i="7" s="1"/>
  <c r="A1394" i="7" a="1"/>
  <c r="A1394" i="7" s="1"/>
  <c r="A1395" i="7" a="1"/>
  <c r="A1395" i="7" s="1"/>
  <c r="A1396" i="7" a="1"/>
  <c r="A1396" i="7" s="1"/>
  <c r="A1397" i="7" a="1"/>
  <c r="A1397" i="7" s="1"/>
  <c r="D1397" i="7" s="1"/>
  <c r="A1398" i="7" a="1"/>
  <c r="A1398" i="7" s="1"/>
  <c r="D1398" i="7" s="1"/>
  <c r="A1399" i="7" a="1"/>
  <c r="A1399" i="7" s="1"/>
  <c r="D1399" i="7" s="1"/>
  <c r="A1400" i="7" a="1"/>
  <c r="A1400" i="7" s="1"/>
  <c r="A1401" i="7" a="1"/>
  <c r="A1401" i="7" s="1"/>
  <c r="A1402" i="7" a="1"/>
  <c r="A1402" i="7" s="1"/>
  <c r="D1402" i="7" s="1"/>
  <c r="A1403" i="7" a="1"/>
  <c r="A1403" i="7" s="1"/>
  <c r="A1404" i="7" a="1"/>
  <c r="A1404" i="7" s="1"/>
  <c r="D1404" i="7" s="1"/>
  <c r="A1405" i="7" a="1"/>
  <c r="A1405" i="7" s="1"/>
  <c r="D1405" i="7" s="1"/>
  <c r="A1406" i="7" a="1"/>
  <c r="A1406" i="7" s="1"/>
  <c r="D1406" i="7" s="1"/>
  <c r="A1407" i="7" a="1"/>
  <c r="A1407" i="7" s="1"/>
  <c r="D1407" i="7" s="1"/>
  <c r="A1408" i="7" a="1"/>
  <c r="A1408" i="7" s="1"/>
  <c r="A1409" i="7" a="1"/>
  <c r="A1409" i="7" s="1"/>
  <c r="A1410" i="7" a="1"/>
  <c r="A1410" i="7" s="1"/>
  <c r="A961" i="7" a="1"/>
  <c r="A961" i="7" s="1"/>
  <c r="A962" i="7" a="1"/>
  <c r="A962" i="7" s="1"/>
  <c r="A963" i="7" a="1"/>
  <c r="A963" i="7" s="1"/>
  <c r="A964" i="7" a="1"/>
  <c r="A964" i="7" s="1"/>
  <c r="A965" i="7" a="1"/>
  <c r="A965" i="7" s="1"/>
  <c r="A966" i="7" a="1"/>
  <c r="A966" i="7" s="1"/>
  <c r="A967" i="7" a="1"/>
  <c r="A967" i="7" s="1"/>
  <c r="A968" i="7" a="1"/>
  <c r="A968" i="7" s="1"/>
  <c r="A969" i="7" a="1"/>
  <c r="A969" i="7" s="1"/>
  <c r="A970" i="7" a="1"/>
  <c r="A970" i="7" s="1"/>
  <c r="A971" i="7" a="1"/>
  <c r="A971" i="7" s="1"/>
  <c r="A972" i="7" a="1"/>
  <c r="A972" i="7" s="1"/>
  <c r="A973" i="7" a="1"/>
  <c r="A973" i="7" s="1"/>
  <c r="A974" i="7" a="1"/>
  <c r="A974" i="7" s="1"/>
  <c r="A975" i="7" a="1"/>
  <c r="A975" i="7" s="1"/>
  <c r="A976" i="7" a="1"/>
  <c r="A976" i="7" s="1"/>
  <c r="A977" i="7" a="1"/>
  <c r="A977" i="7" s="1"/>
  <c r="A978" i="7" a="1"/>
  <c r="A978" i="7" s="1"/>
  <c r="A979" i="7" a="1"/>
  <c r="A979" i="7" s="1"/>
  <c r="D979" i="7" s="1"/>
  <c r="A980" i="7" a="1"/>
  <c r="A980" i="7" s="1"/>
  <c r="D980" i="7" s="1"/>
  <c r="A981" i="7" a="1"/>
  <c r="A981" i="7" s="1"/>
  <c r="A982" i="7" a="1"/>
  <c r="A982" i="7" s="1"/>
  <c r="A983" i="7" a="1"/>
  <c r="A983" i="7" s="1"/>
  <c r="A984" i="7" a="1"/>
  <c r="A984" i="7" s="1"/>
  <c r="A985" i="7" a="1"/>
  <c r="A985" i="7" s="1"/>
  <c r="A986" i="7" a="1"/>
  <c r="A986" i="7" s="1"/>
  <c r="A987" i="7" a="1"/>
  <c r="A987" i="7" s="1"/>
  <c r="A988" i="7" a="1"/>
  <c r="A988" i="7" s="1"/>
  <c r="A989" i="7" a="1"/>
  <c r="A989" i="7" s="1"/>
  <c r="A990" i="7" a="1"/>
  <c r="A990" i="7" s="1"/>
  <c r="A991" i="7" a="1"/>
  <c r="A991" i="7" s="1"/>
  <c r="A992" i="7" a="1"/>
  <c r="A992" i="7" s="1"/>
  <c r="A993" i="7" a="1"/>
  <c r="A993" i="7" s="1"/>
  <c r="A994" i="7" a="1"/>
  <c r="A994" i="7" s="1"/>
  <c r="A995" i="7" a="1"/>
  <c r="A995" i="7" s="1"/>
  <c r="A996" i="7" a="1"/>
  <c r="A996" i="7" s="1"/>
  <c r="A997" i="7" a="1"/>
  <c r="A997" i="7" s="1"/>
  <c r="A998" i="7" a="1"/>
  <c r="A998" i="7" s="1"/>
  <c r="A999" i="7" a="1"/>
  <c r="A999" i="7" s="1"/>
  <c r="A1000" i="7" a="1"/>
  <c r="A1000" i="7" s="1"/>
  <c r="A1001" i="7" a="1"/>
  <c r="A1001" i="7" s="1"/>
  <c r="A1002" i="7" a="1"/>
  <c r="A1002" i="7" s="1"/>
  <c r="A1003" i="7" a="1"/>
  <c r="A1003" i="7" s="1"/>
  <c r="A1004" i="7" a="1"/>
  <c r="A1004" i="7" s="1"/>
  <c r="A1005" i="7" a="1"/>
  <c r="A1005" i="7" s="1"/>
  <c r="A1006" i="7" a="1"/>
  <c r="A1006" i="7" s="1"/>
  <c r="A1007" i="7" a="1"/>
  <c r="A1007" i="7" s="1"/>
  <c r="A1008" i="7" a="1"/>
  <c r="A1008" i="7" s="1"/>
  <c r="A1009" i="7" a="1"/>
  <c r="A1009" i="7" s="1"/>
  <c r="A1010" i="7" a="1"/>
  <c r="A1010" i="7" s="1"/>
  <c r="A1011" i="7" a="1"/>
  <c r="A1011" i="7" s="1"/>
  <c r="A1012" i="7" a="1"/>
  <c r="A1012" i="7" s="1"/>
  <c r="A1013" i="7" a="1"/>
  <c r="A1013" i="7" s="1"/>
  <c r="A1014" i="7" a="1"/>
  <c r="A1014" i="7" s="1"/>
  <c r="A1015" i="7" a="1"/>
  <c r="A1015" i="7" s="1"/>
  <c r="A1016" i="7" a="1"/>
  <c r="A1016" i="7" s="1"/>
  <c r="A1017" i="7" a="1"/>
  <c r="A1017" i="7" s="1"/>
  <c r="A1018" i="7" a="1"/>
  <c r="A1018" i="7" s="1"/>
  <c r="D1018" i="7" s="1"/>
  <c r="A1019" i="7" a="1"/>
  <c r="A1019" i="7" s="1"/>
  <c r="D1019" i="7" s="1"/>
  <c r="A1020" i="7" a="1"/>
  <c r="A1020" i="7" s="1"/>
  <c r="A1021" i="7" a="1"/>
  <c r="A1021" i="7" s="1"/>
  <c r="A1022" i="7" a="1"/>
  <c r="A1022" i="7" s="1"/>
  <c r="A1023" i="7" a="1"/>
  <c r="A1023" i="7" s="1"/>
  <c r="A1024" i="7" a="1"/>
  <c r="A1024" i="7" s="1"/>
  <c r="A1025" i="7" a="1"/>
  <c r="A1025" i="7" s="1"/>
  <c r="A1026" i="7" a="1"/>
  <c r="A1026" i="7" s="1"/>
  <c r="A1027" i="7" a="1"/>
  <c r="A1027" i="7" s="1"/>
  <c r="A1028" i="7" a="1"/>
  <c r="A1028" i="7" s="1"/>
  <c r="A1029" i="7" a="1"/>
  <c r="A1029" i="7" s="1"/>
  <c r="D1029" i="7" s="1"/>
  <c r="A1030" i="7" a="1"/>
  <c r="A1030" i="7" s="1"/>
  <c r="A1031" i="7" a="1"/>
  <c r="A1031" i="7" s="1"/>
  <c r="A1032" i="7" a="1"/>
  <c r="A1032" i="7" s="1"/>
  <c r="A1033" i="7" a="1"/>
  <c r="A1033" i="7" s="1"/>
  <c r="A1034" i="7" a="1"/>
  <c r="A1034" i="7" s="1"/>
  <c r="A1035" i="7" a="1"/>
  <c r="A1035" i="7" s="1"/>
  <c r="A1036" i="7" a="1"/>
  <c r="A1036" i="7" s="1"/>
  <c r="A1037" i="7" a="1"/>
  <c r="A1037" i="7" s="1"/>
  <c r="A1038" i="7" a="1"/>
  <c r="A1038" i="7" s="1"/>
  <c r="A1039" i="7" a="1"/>
  <c r="A1039" i="7" s="1"/>
  <c r="A1040" i="7" a="1"/>
  <c r="A1040" i="7" s="1"/>
  <c r="A1041" i="7" a="1"/>
  <c r="A1041" i="7" s="1"/>
  <c r="A1042" i="7" a="1"/>
  <c r="A1042" i="7" s="1"/>
  <c r="A1043" i="7" a="1"/>
  <c r="A1043" i="7" s="1"/>
  <c r="D1043" i="7" s="1"/>
  <c r="A1044" i="7" a="1"/>
  <c r="A1044" i="7" s="1"/>
  <c r="A1045" i="7" a="1"/>
  <c r="A1045" i="7" s="1"/>
  <c r="A1046" i="7" a="1"/>
  <c r="A1046" i="7" s="1"/>
  <c r="A1047" i="7" a="1"/>
  <c r="A1047" i="7" s="1"/>
  <c r="A1048" i="7" a="1"/>
  <c r="A1048" i="7" s="1"/>
  <c r="A1049" i="7" a="1"/>
  <c r="A1049" i="7" s="1"/>
  <c r="A1050" i="7" a="1"/>
  <c r="A1050" i="7" s="1"/>
  <c r="A1051" i="7" a="1"/>
  <c r="A1051" i="7" s="1"/>
  <c r="A1052" i="7" a="1"/>
  <c r="A1052" i="7" s="1"/>
  <c r="A1053" i="7" a="1"/>
  <c r="A1053" i="7" s="1"/>
  <c r="A1054" i="7" a="1"/>
  <c r="A1054" i="7" s="1"/>
  <c r="A1055" i="7" a="1"/>
  <c r="A1055" i="7" s="1"/>
  <c r="A1056" i="7" a="1"/>
  <c r="A1056" i="7" s="1"/>
  <c r="A1057" i="7" a="1"/>
  <c r="A1057" i="7" s="1"/>
  <c r="A1058" i="7" a="1"/>
  <c r="A1058" i="7" s="1"/>
  <c r="D1058" i="7" s="1"/>
  <c r="A1059" i="7" a="1"/>
  <c r="A1059" i="7" s="1"/>
  <c r="A1060" i="7" a="1"/>
  <c r="A1060" i="7" s="1"/>
  <c r="A1061" i="7" a="1"/>
  <c r="A1061" i="7" s="1"/>
  <c r="A1062" i="7" a="1"/>
  <c r="A1062" i="7" s="1"/>
  <c r="A1063" i="7" a="1"/>
  <c r="A1063" i="7" s="1"/>
  <c r="A1064" i="7" a="1"/>
  <c r="A1064" i="7" s="1"/>
  <c r="A1065" i="7" a="1"/>
  <c r="A1065" i="7" s="1"/>
  <c r="A1066" i="7" a="1"/>
  <c r="A1066" i="7" s="1"/>
  <c r="A1067" i="7" a="1"/>
  <c r="A1067" i="7" s="1"/>
  <c r="A1068" i="7" a="1"/>
  <c r="A1068" i="7" s="1"/>
  <c r="A1069" i="7" a="1"/>
  <c r="A1069" i="7" s="1"/>
  <c r="A1070" i="7" a="1"/>
  <c r="A1070" i="7" s="1"/>
  <c r="A1071" i="7" a="1"/>
  <c r="A1071" i="7" s="1"/>
  <c r="A1072" i="7" a="1"/>
  <c r="A1072" i="7" s="1"/>
  <c r="A1073" i="7" a="1"/>
  <c r="A1073" i="7" s="1"/>
  <c r="A1074" i="7" a="1"/>
  <c r="A1074" i="7" s="1"/>
  <c r="A1075" i="7" a="1"/>
  <c r="A1075" i="7" s="1"/>
  <c r="A1076" i="7" a="1"/>
  <c r="A1076" i="7" s="1"/>
  <c r="A1077" i="7" a="1"/>
  <c r="A1077" i="7" s="1"/>
  <c r="A1078" i="7" a="1"/>
  <c r="A1078" i="7" s="1"/>
  <c r="A1079" i="7" a="1"/>
  <c r="A1079" i="7" s="1"/>
  <c r="A1080" i="7" a="1"/>
  <c r="A1080" i="7" s="1"/>
  <c r="A1081" i="7" a="1"/>
  <c r="A1081" i="7" s="1"/>
  <c r="D1081" i="7" s="1"/>
  <c r="A1082" i="7" a="1"/>
  <c r="A1082" i="7" s="1"/>
  <c r="D1082" i="7" s="1"/>
  <c r="A1083" i="7" a="1"/>
  <c r="A1083" i="7" s="1"/>
  <c r="A1084" i="7" a="1"/>
  <c r="A1084" i="7" s="1"/>
  <c r="A1085" i="7" a="1"/>
  <c r="A1085" i="7" s="1"/>
  <c r="A1086" i="7" a="1"/>
  <c r="A1086" i="7" s="1"/>
  <c r="A1087" i="7" a="1"/>
  <c r="A1087" i="7" s="1"/>
  <c r="A1088" i="7" a="1"/>
  <c r="A1088" i="7" s="1"/>
  <c r="A1089" i="7" a="1"/>
  <c r="A1089" i="7" s="1"/>
  <c r="A1090" i="7" a="1"/>
  <c r="A1090" i="7" s="1"/>
  <c r="D1090" i="7" s="1"/>
  <c r="A1091" i="7" a="1"/>
  <c r="A1091" i="7" s="1"/>
  <c r="A1092" i="7" a="1"/>
  <c r="A1092" i="7" s="1"/>
  <c r="A1093" i="7" a="1"/>
  <c r="A1093" i="7" s="1"/>
  <c r="A1094" i="7" a="1"/>
  <c r="A1094" i="7" s="1"/>
  <c r="A1095" i="7" a="1"/>
  <c r="A1095" i="7" s="1"/>
  <c r="A1096" i="7" a="1"/>
  <c r="A1096" i="7" s="1"/>
  <c r="A1097" i="7" a="1"/>
  <c r="A1097" i="7" s="1"/>
  <c r="A1098" i="7" a="1"/>
  <c r="A1098" i="7" s="1"/>
  <c r="A1099" i="7" a="1"/>
  <c r="A1099" i="7" s="1"/>
  <c r="A1100" i="7" a="1"/>
  <c r="A1100" i="7" s="1"/>
  <c r="A1101" i="7" a="1"/>
  <c r="A1101" i="7" s="1"/>
  <c r="A1102" i="7" a="1"/>
  <c r="A1102" i="7" s="1"/>
  <c r="A1103" i="7" a="1"/>
  <c r="A1103" i="7" s="1"/>
  <c r="A1104" i="7" a="1"/>
  <c r="A1104" i="7" s="1"/>
  <c r="A1105" i="7" a="1"/>
  <c r="A1105" i="7" s="1"/>
  <c r="A1106" i="7" a="1"/>
  <c r="A1106" i="7" s="1"/>
  <c r="A1107" i="7" a="1"/>
  <c r="A1107" i="7" s="1"/>
  <c r="A1108" i="7" a="1"/>
  <c r="A1108" i="7" s="1"/>
  <c r="A1109" i="7" a="1"/>
  <c r="A1109" i="7" s="1"/>
  <c r="A1110" i="7" a="1"/>
  <c r="A1110" i="7" s="1"/>
  <c r="A1111" i="7" a="1"/>
  <c r="A1111" i="7" s="1"/>
  <c r="A1112" i="7" a="1"/>
  <c r="A1112" i="7" s="1"/>
  <c r="A1113" i="7" a="1"/>
  <c r="A1113" i="7" s="1"/>
  <c r="A1114" i="7" a="1"/>
  <c r="A1114" i="7" s="1"/>
  <c r="A1115" i="7" a="1"/>
  <c r="A1115" i="7" s="1"/>
  <c r="A1116" i="7" a="1"/>
  <c r="A1116" i="7" s="1"/>
  <c r="A1117" i="7" a="1"/>
  <c r="A1117" i="7" s="1"/>
  <c r="A1118" i="7" a="1"/>
  <c r="A1118" i="7" s="1"/>
  <c r="A1119" i="7" a="1"/>
  <c r="A1119" i="7" s="1"/>
  <c r="A1120" i="7" a="1"/>
  <c r="A1120" i="7" s="1"/>
  <c r="A1121" i="7" a="1"/>
  <c r="A1121" i="7" s="1"/>
  <c r="A1122" i="7" a="1"/>
  <c r="A1122" i="7" s="1"/>
  <c r="A1123" i="7" a="1"/>
  <c r="A1123" i="7" s="1"/>
  <c r="A1124" i="7" a="1"/>
  <c r="A1124" i="7" s="1"/>
  <c r="A1125" i="7" a="1"/>
  <c r="A1125" i="7" s="1"/>
  <c r="A1126" i="7" a="1"/>
  <c r="A1126" i="7" s="1"/>
  <c r="D1126" i="7" s="1"/>
  <c r="A1127" i="7" a="1"/>
  <c r="A1127" i="7" s="1"/>
  <c r="A1128" i="7" a="1"/>
  <c r="A1128" i="7" s="1"/>
  <c r="A1129" i="7" a="1"/>
  <c r="A1129" i="7" s="1"/>
  <c r="A1130" i="7" a="1"/>
  <c r="A1130" i="7" s="1"/>
  <c r="A1131" i="7" a="1"/>
  <c r="A1131" i="7" s="1"/>
  <c r="A1132" i="7" a="1"/>
  <c r="A1132" i="7" s="1"/>
  <c r="A1133" i="7" a="1"/>
  <c r="A1133" i="7" s="1"/>
  <c r="A1134" i="7" a="1"/>
  <c r="A1134" i="7" s="1"/>
  <c r="A1135" i="7" a="1"/>
  <c r="A1135" i="7" s="1"/>
  <c r="A1136" i="7" a="1"/>
  <c r="A1136" i="7" s="1"/>
  <c r="A1137" i="7" a="1"/>
  <c r="A1137" i="7" s="1"/>
  <c r="A1138" i="7" a="1"/>
  <c r="A1138" i="7" s="1"/>
  <c r="A1139" i="7" a="1"/>
  <c r="A1139" i="7" s="1"/>
  <c r="A1140" i="7" a="1"/>
  <c r="A1140" i="7" s="1"/>
  <c r="A1141" i="7" a="1"/>
  <c r="A1141" i="7" s="1"/>
  <c r="A1142" i="7" a="1"/>
  <c r="A1142" i="7" s="1"/>
  <c r="A1143" i="7" a="1"/>
  <c r="A1143" i="7" s="1"/>
  <c r="A1144" i="7" a="1"/>
  <c r="A1144" i="7" s="1"/>
  <c r="A1145" i="7" a="1"/>
  <c r="A1145" i="7" s="1"/>
  <c r="A1146" i="7" a="1"/>
  <c r="A1146" i="7" s="1"/>
  <c r="A1147" i="7" a="1"/>
  <c r="A1147" i="7" s="1"/>
  <c r="A1148" i="7" a="1"/>
  <c r="A1148" i="7" s="1"/>
  <c r="A1149" i="7" a="1"/>
  <c r="A1149" i="7" s="1"/>
  <c r="A1150" i="7" a="1"/>
  <c r="A1150" i="7" s="1"/>
  <c r="A1151" i="7" a="1"/>
  <c r="A1151" i="7" s="1"/>
  <c r="A1152" i="7" a="1"/>
  <c r="A1152" i="7" s="1"/>
  <c r="A1153" i="7" a="1"/>
  <c r="A1153" i="7" s="1"/>
  <c r="A1154" i="7" a="1"/>
  <c r="A1154" i="7" s="1"/>
  <c r="A1155" i="7" a="1"/>
  <c r="A1155" i="7" s="1"/>
  <c r="A1156" i="7" a="1"/>
  <c r="A1156" i="7" s="1"/>
  <c r="A1157" i="7" a="1"/>
  <c r="A1157" i="7" s="1"/>
  <c r="A1158" i="7" a="1"/>
  <c r="A1158" i="7" s="1"/>
  <c r="D1158" i="7" s="1"/>
  <c r="A1159" i="7" a="1"/>
  <c r="A1159" i="7" s="1"/>
  <c r="A1160" i="7" a="1"/>
  <c r="A1160" i="7" s="1"/>
  <c r="A1161" i="7" a="1"/>
  <c r="A1161" i="7" s="1"/>
  <c r="A1162" i="7" a="1"/>
  <c r="A1162" i="7" s="1"/>
  <c r="A1163" i="7" a="1"/>
  <c r="A1163" i="7" s="1"/>
  <c r="A1164" i="7" a="1"/>
  <c r="A1164" i="7" s="1"/>
  <c r="A1165" i="7" a="1"/>
  <c r="A1165" i="7" s="1"/>
  <c r="A1166" i="7" a="1"/>
  <c r="A1166" i="7" s="1"/>
  <c r="A1167" i="7" a="1"/>
  <c r="A1167" i="7" s="1"/>
  <c r="A1168" i="7" a="1"/>
  <c r="A1168" i="7" s="1"/>
  <c r="A1169" i="7" a="1"/>
  <c r="A1169" i="7" s="1"/>
  <c r="A1170" i="7" a="1"/>
  <c r="A1170" i="7" s="1"/>
  <c r="A1171" i="7" a="1"/>
  <c r="A1171" i="7" s="1"/>
  <c r="A1172" i="7" a="1"/>
  <c r="A1172" i="7" s="1"/>
  <c r="A1173" i="7" a="1"/>
  <c r="A1173" i="7" s="1"/>
  <c r="A1174" i="7" a="1"/>
  <c r="A1174" i="7" s="1"/>
  <c r="A1175" i="7" a="1"/>
  <c r="A1175" i="7" s="1"/>
  <c r="A1176" i="7" a="1"/>
  <c r="A1176" i="7" s="1"/>
  <c r="A1177" i="7" a="1"/>
  <c r="A1177" i="7" s="1"/>
  <c r="A1178" i="7" a="1"/>
  <c r="A1178" i="7" s="1"/>
  <c r="A1179" i="7" a="1"/>
  <c r="A1179" i="7" s="1"/>
  <c r="A1180" i="7" a="1"/>
  <c r="A1180" i="7" s="1"/>
  <c r="A1181" i="7" a="1"/>
  <c r="A1181" i="7" s="1"/>
  <c r="A1182" i="7" a="1"/>
  <c r="A1182" i="7" s="1"/>
  <c r="A1183" i="7" a="1"/>
  <c r="A1183" i="7" s="1"/>
  <c r="A1184" i="7" a="1"/>
  <c r="A1184" i="7" s="1"/>
  <c r="A1185" i="7" a="1"/>
  <c r="A1185" i="7" s="1"/>
  <c r="D1185" i="7" s="1"/>
  <c r="A1186" i="7" a="1"/>
  <c r="A1186" i="7" s="1"/>
  <c r="A1187" i="7" a="1"/>
  <c r="A1187" i="7" s="1"/>
  <c r="A1188" i="7" a="1"/>
  <c r="A1188" i="7" s="1"/>
  <c r="A1189" i="7" a="1"/>
  <c r="A1189" i="7" s="1"/>
  <c r="A1190" i="7" a="1"/>
  <c r="A1190" i="7" s="1"/>
  <c r="A1191" i="7" a="1"/>
  <c r="A1191" i="7" s="1"/>
  <c r="A1192" i="7" a="1"/>
  <c r="A1192" i="7" s="1"/>
  <c r="A1193" i="7" a="1"/>
  <c r="A1193" i="7" s="1"/>
  <c r="D1193" i="7" s="1"/>
  <c r="A1194" i="7" a="1"/>
  <c r="A1194" i="7" s="1"/>
  <c r="A1195" i="7" a="1"/>
  <c r="A1195" i="7" s="1"/>
  <c r="D1195" i="7" s="1"/>
  <c r="A1196" i="7" a="1"/>
  <c r="A1196" i="7" s="1"/>
  <c r="A1197" i="7" a="1"/>
  <c r="A1197" i="7" s="1"/>
  <c r="A1198" i="7" a="1"/>
  <c r="A1198" i="7" s="1"/>
  <c r="A1199" i="7" a="1"/>
  <c r="A1199" i="7" s="1"/>
  <c r="A1200" i="7" a="1"/>
  <c r="A1200" i="7" s="1"/>
  <c r="A1201" i="7" a="1"/>
  <c r="A1201" i="7" s="1"/>
  <c r="A1202" i="7" a="1"/>
  <c r="A1202" i="7" s="1"/>
  <c r="A1203" i="7" a="1"/>
  <c r="A1203" i="7" s="1"/>
  <c r="A1204" i="7" a="1"/>
  <c r="A1204" i="7" s="1"/>
  <c r="A1205" i="7" a="1"/>
  <c r="A1205" i="7" s="1"/>
  <c r="A1206" i="7" a="1"/>
  <c r="A1206" i="7" s="1"/>
  <c r="A1207" i="7" a="1"/>
  <c r="A1207" i="7" s="1"/>
  <c r="A1208" i="7" a="1"/>
  <c r="A1208" i="7" s="1"/>
  <c r="A1209" i="7" a="1"/>
  <c r="A1209" i="7" s="1"/>
  <c r="D1209" i="7" s="1"/>
  <c r="A1210" i="7" a="1"/>
  <c r="A1210" i="7" s="1"/>
  <c r="A1211" i="7" a="1"/>
  <c r="A1211" i="7" s="1"/>
  <c r="D1211" i="7" s="1"/>
  <c r="A1212" i="7" a="1"/>
  <c r="A1212" i="7" s="1"/>
  <c r="A1213" i="7" a="1"/>
  <c r="A1213" i="7" s="1"/>
  <c r="D1213" i="7" s="1"/>
  <c r="A1214" i="7" a="1"/>
  <c r="A1214" i="7" s="1"/>
  <c r="A1215" i="7" a="1"/>
  <c r="A1215" i="7" s="1"/>
  <c r="A1216" i="7" a="1"/>
  <c r="A1216" i="7" s="1"/>
  <c r="A1217" i="7" a="1"/>
  <c r="A1217" i="7" s="1"/>
  <c r="D1217" i="7" s="1"/>
  <c r="A1218" i="7" a="1"/>
  <c r="A1218" i="7" s="1"/>
  <c r="A1219" i="7" a="1"/>
  <c r="A1219" i="7" s="1"/>
  <c r="A1220" i="7" a="1"/>
  <c r="A1220" i="7" s="1"/>
  <c r="A1221" i="7" a="1"/>
  <c r="A1221" i="7" s="1"/>
  <c r="A1222" i="7" a="1"/>
  <c r="A1222" i="7" s="1"/>
  <c r="A1223" i="7" a="1"/>
  <c r="A1223" i="7" s="1"/>
  <c r="A1224" i="7" a="1"/>
  <c r="A1224" i="7" s="1"/>
  <c r="A1225" i="7" a="1"/>
  <c r="A1225" i="7" s="1"/>
  <c r="D1225" i="7" s="1"/>
  <c r="A1226" i="7" a="1"/>
  <c r="A1226" i="7" s="1"/>
  <c r="A1227" i="7" a="1"/>
  <c r="A1227" i="7" s="1"/>
  <c r="A1228" i="7" a="1"/>
  <c r="A1228" i="7" s="1"/>
  <c r="A1229" i="7" a="1"/>
  <c r="A1229" i="7" s="1"/>
  <c r="A1230" i="7" a="1"/>
  <c r="A1230" i="7" s="1"/>
  <c r="A1231" i="7" a="1"/>
  <c r="A1231" i="7" s="1"/>
  <c r="A1232" i="7" a="1"/>
  <c r="A1232" i="7" s="1"/>
  <c r="A1233" i="7" a="1"/>
  <c r="A1233" i="7" s="1"/>
  <c r="D1233" i="7" s="1"/>
  <c r="A1234" i="7" a="1"/>
  <c r="A1234" i="7" s="1"/>
  <c r="A1235" i="7" a="1"/>
  <c r="A1235" i="7" s="1"/>
  <c r="D1235" i="7" s="1"/>
  <c r="A1236" i="7" a="1"/>
  <c r="A1236" i="7" s="1"/>
  <c r="A1237" i="7" a="1"/>
  <c r="A1237" i="7" s="1"/>
  <c r="D1237" i="7" s="1"/>
  <c r="A1238" i="7" a="1"/>
  <c r="A1238" i="7" s="1"/>
  <c r="D1238" i="7" s="1"/>
  <c r="A1239" i="7" a="1"/>
  <c r="A1239" i="7" s="1"/>
  <c r="A1240" i="7" a="1"/>
  <c r="A1240" i="7" s="1"/>
  <c r="A1241" i="7" a="1"/>
  <c r="A1241" i="7" s="1"/>
  <c r="A1242" i="7" a="1"/>
  <c r="A1242" i="7" s="1"/>
  <c r="A1243" i="7" a="1"/>
  <c r="A1243" i="7" s="1"/>
  <c r="A1244" i="7" a="1"/>
  <c r="A1244" i="7" s="1"/>
  <c r="A1245" i="7" a="1"/>
  <c r="A1245" i="7" s="1"/>
  <c r="A1246" i="7" a="1"/>
  <c r="A1246" i="7" s="1"/>
  <c r="A1247" i="7" a="1"/>
  <c r="A1247" i="7" s="1"/>
  <c r="A1248" i="7" a="1"/>
  <c r="A1248" i="7" s="1"/>
  <c r="A1249" i="7" a="1"/>
  <c r="A1249" i="7" s="1"/>
  <c r="D1249" i="7" s="1"/>
  <c r="A1250" i="7" a="1"/>
  <c r="A1250" i="7" s="1"/>
  <c r="A1251" i="7" a="1"/>
  <c r="A1251" i="7" s="1"/>
  <c r="D1251" i="7" s="1"/>
  <c r="A1252" i="7" a="1"/>
  <c r="A1252" i="7" s="1"/>
  <c r="A1253" i="7" a="1"/>
  <c r="A1253" i="7" s="1"/>
  <c r="A1254" i="7" a="1"/>
  <c r="A1254" i="7" s="1"/>
  <c r="A1255" i="7" a="1"/>
  <c r="A1255" i="7" s="1"/>
  <c r="A1256" i="7" a="1"/>
  <c r="A1256" i="7" s="1"/>
  <c r="A1257" i="7" a="1"/>
  <c r="A1257" i="7" s="1"/>
  <c r="D1257" i="7" s="1"/>
  <c r="A1258" i="7" a="1"/>
  <c r="A1258" i="7" s="1"/>
  <c r="A1259" i="7" a="1"/>
  <c r="A1259" i="7" s="1"/>
  <c r="D1259" i="7" s="1"/>
  <c r="A1260" i="7" a="1"/>
  <c r="A1260" i="7" s="1"/>
  <c r="A1261" i="7" a="1"/>
  <c r="A1261" i="7" s="1"/>
  <c r="A1262" i="7" a="1"/>
  <c r="A1262" i="7" s="1"/>
  <c r="A1263" i="7" a="1"/>
  <c r="A1263" i="7" s="1"/>
  <c r="D1263" i="7" s="1"/>
  <c r="A1264" i="7" a="1"/>
  <c r="A1264" i="7" s="1"/>
  <c r="A1265" i="7" a="1"/>
  <c r="A1265" i="7" s="1"/>
  <c r="A1266" i="7" a="1"/>
  <c r="A1266" i="7" s="1"/>
  <c r="A1267" i="7" a="1"/>
  <c r="A1267" i="7" s="1"/>
  <c r="A1268" i="7" a="1"/>
  <c r="A1268" i="7" s="1"/>
  <c r="A1269" i="7" a="1"/>
  <c r="A1269" i="7" s="1"/>
  <c r="A1270" i="7" a="1"/>
  <c r="A1270" i="7" s="1"/>
  <c r="D1270" i="7" s="1"/>
  <c r="A1271" i="7" a="1"/>
  <c r="A1271" i="7" s="1"/>
  <c r="D1271" i="7" s="1"/>
  <c r="A1272" i="7" a="1"/>
  <c r="A1272" i="7" s="1"/>
  <c r="A1273" i="7" a="1"/>
  <c r="A1273" i="7" s="1"/>
  <c r="D1273" i="7" s="1"/>
  <c r="A1274" i="7" a="1"/>
  <c r="A1274" i="7" s="1"/>
  <c r="A1275" i="7" a="1"/>
  <c r="A1275" i="7" s="1"/>
  <c r="D1275" i="7" s="1"/>
  <c r="A1276" i="7" a="1"/>
  <c r="A1276" i="7" s="1"/>
  <c r="A1277" i="7" a="1"/>
  <c r="A1277" i="7" s="1"/>
  <c r="A1278" i="7" a="1"/>
  <c r="A1278" i="7" s="1"/>
  <c r="A1279" i="7" a="1"/>
  <c r="A1279" i="7" s="1"/>
  <c r="A1280" i="7" a="1"/>
  <c r="A1280" i="7" s="1"/>
  <c r="A1281" i="7" a="1"/>
  <c r="A1281" i="7" s="1"/>
  <c r="A1282" i="7" a="1"/>
  <c r="A1282" i="7" s="1"/>
  <c r="A1283" i="7" a="1"/>
  <c r="A1283" i="7" s="1"/>
  <c r="A1284" i="7" a="1"/>
  <c r="A1284" i="7" s="1"/>
  <c r="A1285" i="7" a="1"/>
  <c r="A1285" i="7" s="1"/>
  <c r="A1286" i="7" a="1"/>
  <c r="A1286" i="7" s="1"/>
  <c r="D1286" i="7" s="1"/>
  <c r="A1287" i="7" a="1"/>
  <c r="A1287" i="7" s="1"/>
  <c r="D1287" i="7" s="1"/>
  <c r="A1288" i="7" a="1"/>
  <c r="A1288" i="7" s="1"/>
  <c r="A1289" i="7" a="1"/>
  <c r="A1289" i="7" s="1"/>
  <c r="D1289" i="7" s="1"/>
  <c r="A1290" i="7" a="1"/>
  <c r="A1290" i="7" s="1"/>
  <c r="A1291" i="7" a="1"/>
  <c r="A1291" i="7" s="1"/>
  <c r="A1292" i="7" a="1"/>
  <c r="A1292" i="7" s="1"/>
  <c r="A1293" i="7" a="1"/>
  <c r="A1293" i="7" s="1"/>
  <c r="A1294" i="7" a="1"/>
  <c r="A1294" i="7" s="1"/>
  <c r="D1294" i="7" s="1"/>
  <c r="A1295" i="7" a="1"/>
  <c r="A1295" i="7" s="1"/>
  <c r="D1295" i="7" s="1"/>
  <c r="A1296" i="7" a="1"/>
  <c r="A1296" i="7" s="1"/>
  <c r="A1297" i="7" a="1"/>
  <c r="A1297" i="7" s="1"/>
  <c r="D1297" i="7" s="1"/>
  <c r="A1298" i="7" a="1"/>
  <c r="A1298" i="7" s="1"/>
  <c r="A1299" i="7" a="1"/>
  <c r="A1299" i="7" s="1"/>
  <c r="A1300" i="7" a="1"/>
  <c r="A1300" i="7" s="1"/>
  <c r="A1301" i="7" a="1"/>
  <c r="A1301" i="7" s="1"/>
  <c r="A1302" i="7" a="1"/>
  <c r="A1302" i="7" s="1"/>
  <c r="D1302" i="7" s="1"/>
  <c r="A1303" i="7" a="1"/>
  <c r="A1303" i="7" s="1"/>
  <c r="A1304" i="7" a="1"/>
  <c r="A1304" i="7" s="1"/>
  <c r="A1305" i="7" a="1"/>
  <c r="A1305" i="7" s="1"/>
  <c r="A1306" i="7" a="1"/>
  <c r="A1306" i="7" s="1"/>
  <c r="A1307" i="7" a="1"/>
  <c r="A1307" i="7" s="1"/>
  <c r="B1307" i="7" s="1"/>
  <c r="A1308" i="7" a="1"/>
  <c r="A1308" i="7" s="1"/>
  <c r="A1309" i="7" a="1"/>
  <c r="A1309" i="7" s="1"/>
  <c r="A1310" i="7" a="1"/>
  <c r="A1310" i="7" s="1"/>
  <c r="D1310" i="7" s="1"/>
  <c r="A1311" i="7" a="1"/>
  <c r="A1311" i="7" s="1"/>
  <c r="D1311" i="7" s="1"/>
  <c r="A1312" i="7" a="1"/>
  <c r="A1312" i="7" s="1"/>
  <c r="A1313" i="7" a="1"/>
  <c r="A1313" i="7" s="1"/>
  <c r="D1313" i="7" s="1"/>
  <c r="A864" i="7" a="1"/>
  <c r="A864" i="7" s="1"/>
  <c r="A865" i="7" a="1"/>
  <c r="A865" i="7" s="1"/>
  <c r="A866" i="7" a="1"/>
  <c r="A866" i="7" s="1"/>
  <c r="A867" i="7" a="1"/>
  <c r="A867" i="7" s="1"/>
  <c r="A868" i="7" a="1"/>
  <c r="A868" i="7" s="1"/>
  <c r="A869" i="7" a="1"/>
  <c r="A869" i="7" s="1"/>
  <c r="A870" i="7" a="1"/>
  <c r="A870" i="7" s="1"/>
  <c r="A871" i="7" a="1"/>
  <c r="A871" i="7" s="1"/>
  <c r="A872" i="7" a="1"/>
  <c r="A872" i="7" s="1"/>
  <c r="A873" i="7" a="1"/>
  <c r="A873" i="7" s="1"/>
  <c r="A874" i="7" a="1"/>
  <c r="A874" i="7" s="1"/>
  <c r="A875" i="7" a="1"/>
  <c r="A875" i="7" s="1"/>
  <c r="A876" i="7" a="1"/>
  <c r="A876" i="7" s="1"/>
  <c r="A877" i="7" a="1"/>
  <c r="A877" i="7" s="1"/>
  <c r="D877" i="7" s="1"/>
  <c r="A878" i="7" a="1"/>
  <c r="A878" i="7" s="1"/>
  <c r="A879" i="7" a="1"/>
  <c r="A879" i="7" s="1"/>
  <c r="A880" i="7" a="1"/>
  <c r="A880" i="7" s="1"/>
  <c r="A881" i="7" a="1"/>
  <c r="A881" i="7" s="1"/>
  <c r="A882" i="7" a="1"/>
  <c r="A882" i="7" s="1"/>
  <c r="A883" i="7" a="1"/>
  <c r="A883" i="7" s="1"/>
  <c r="A884" i="7" a="1"/>
  <c r="A884" i="7" s="1"/>
  <c r="A885" i="7" a="1"/>
  <c r="A885" i="7" s="1"/>
  <c r="A886" i="7" a="1"/>
  <c r="A886" i="7" s="1"/>
  <c r="A887" i="7" a="1"/>
  <c r="A887" i="7" s="1"/>
  <c r="A888" i="7" a="1"/>
  <c r="A888" i="7" s="1"/>
  <c r="A889" i="7" a="1"/>
  <c r="A889" i="7" s="1"/>
  <c r="A890" i="7" a="1"/>
  <c r="A890" i="7" s="1"/>
  <c r="A891" i="7" a="1"/>
  <c r="A891" i="7" s="1"/>
  <c r="A892" i="7" a="1"/>
  <c r="A892" i="7" s="1"/>
  <c r="A893" i="7" a="1"/>
  <c r="A893" i="7" s="1"/>
  <c r="A894" i="7" a="1"/>
  <c r="A894" i="7" s="1"/>
  <c r="A895" i="7" a="1"/>
  <c r="A895" i="7" s="1"/>
  <c r="A896" i="7" a="1"/>
  <c r="A896" i="7" s="1"/>
  <c r="A897" i="7" a="1"/>
  <c r="A897" i="7" s="1"/>
  <c r="A898" i="7" a="1"/>
  <c r="A898" i="7" s="1"/>
  <c r="A899" i="7" a="1"/>
  <c r="A899" i="7" s="1"/>
  <c r="A900" i="7" a="1"/>
  <c r="A900" i="7" s="1"/>
  <c r="A901" i="7" a="1"/>
  <c r="A901" i="7" s="1"/>
  <c r="A902" i="7" a="1"/>
  <c r="A902" i="7" s="1"/>
  <c r="A903" i="7" a="1"/>
  <c r="A903" i="7" s="1"/>
  <c r="A904" i="7" a="1"/>
  <c r="A904" i="7" s="1"/>
  <c r="A905" i="7" a="1"/>
  <c r="A905" i="7" s="1"/>
  <c r="A906" i="7" a="1"/>
  <c r="A906" i="7" s="1"/>
  <c r="A907" i="7" a="1"/>
  <c r="A907" i="7" s="1"/>
  <c r="A908" i="7" a="1"/>
  <c r="A908" i="7" s="1"/>
  <c r="A909" i="7" a="1"/>
  <c r="A909" i="7" s="1"/>
  <c r="A910" i="7" a="1"/>
  <c r="A910" i="7" s="1"/>
  <c r="A911" i="7" a="1"/>
  <c r="A911" i="7" s="1"/>
  <c r="A912" i="7" a="1"/>
  <c r="A912" i="7" s="1"/>
  <c r="A913" i="7" a="1"/>
  <c r="A913" i="7" s="1"/>
  <c r="A914" i="7" a="1"/>
  <c r="A914" i="7" s="1"/>
  <c r="D914" i="7" s="1"/>
  <c r="A915" i="7" a="1"/>
  <c r="A915" i="7" s="1"/>
  <c r="A916" i="7" a="1"/>
  <c r="A916" i="7" s="1"/>
  <c r="A917" i="7" a="1"/>
  <c r="A917" i="7" s="1"/>
  <c r="A918" i="7" a="1"/>
  <c r="A918" i="7" s="1"/>
  <c r="A919" i="7" a="1"/>
  <c r="A919" i="7" s="1"/>
  <c r="A920" i="7" a="1"/>
  <c r="A920" i="7" s="1"/>
  <c r="A921" i="7" a="1"/>
  <c r="A921" i="7" s="1"/>
  <c r="A922" i="7" a="1"/>
  <c r="A922" i="7" s="1"/>
  <c r="A923" i="7" a="1"/>
  <c r="A923" i="7" s="1"/>
  <c r="A924" i="7" a="1"/>
  <c r="A924" i="7" s="1"/>
  <c r="A925" i="7" a="1"/>
  <c r="A925" i="7" s="1"/>
  <c r="D925" i="7" s="1"/>
  <c r="A926" i="7" a="1"/>
  <c r="A926" i="7" s="1"/>
  <c r="A927" i="7" a="1"/>
  <c r="A927" i="7" s="1"/>
  <c r="A928" i="7" a="1"/>
  <c r="A928" i="7" s="1"/>
  <c r="A929" i="7" a="1"/>
  <c r="A929" i="7" s="1"/>
  <c r="A930" i="7" a="1"/>
  <c r="A930" i="7" s="1"/>
  <c r="D930" i="7" s="1"/>
  <c r="A931" i="7" a="1"/>
  <c r="A931" i="7" s="1"/>
  <c r="A932" i="7" a="1"/>
  <c r="A932" i="7" s="1"/>
  <c r="A933" i="7" a="1"/>
  <c r="A933" i="7" s="1"/>
  <c r="A934" i="7" a="1"/>
  <c r="A934" i="7" s="1"/>
  <c r="A935" i="7" a="1"/>
  <c r="A935" i="7" s="1"/>
  <c r="A936" i="7" a="1"/>
  <c r="A936" i="7" s="1"/>
  <c r="A937" i="7" a="1"/>
  <c r="A937" i="7" s="1"/>
  <c r="A938" i="7" a="1"/>
  <c r="A938" i="7" s="1"/>
  <c r="A939" i="7" a="1"/>
  <c r="A939" i="7" s="1"/>
  <c r="A940" i="7" a="1"/>
  <c r="A940" i="7" s="1"/>
  <c r="D940" i="7" s="1"/>
  <c r="A941" i="7" a="1"/>
  <c r="A941" i="7" s="1"/>
  <c r="A942" i="7" a="1"/>
  <c r="A942" i="7" s="1"/>
  <c r="A943" i="7" a="1"/>
  <c r="A943" i="7" s="1"/>
  <c r="A944" i="7" a="1"/>
  <c r="A944" i="7" s="1"/>
  <c r="A945" i="7" a="1"/>
  <c r="A945" i="7" s="1"/>
  <c r="A946" i="7" a="1"/>
  <c r="A946" i="7" s="1"/>
  <c r="A947" i="7" a="1"/>
  <c r="A947" i="7" s="1"/>
  <c r="A948" i="7" a="1"/>
  <c r="A948" i="7" s="1"/>
  <c r="A949" i="7" a="1"/>
  <c r="A949" i="7" s="1"/>
  <c r="A950" i="7" a="1"/>
  <c r="A950" i="7" s="1"/>
  <c r="A951" i="7" a="1"/>
  <c r="A951" i="7" s="1"/>
  <c r="A952" i="7" a="1"/>
  <c r="A952" i="7" s="1"/>
  <c r="A953" i="7" a="1"/>
  <c r="A953" i="7" s="1"/>
  <c r="A954" i="7" a="1"/>
  <c r="A954" i="7" s="1"/>
  <c r="A955" i="7" a="1"/>
  <c r="A955" i="7" s="1"/>
  <c r="A956" i="7" a="1"/>
  <c r="A956" i="7" s="1"/>
  <c r="A957" i="7" a="1"/>
  <c r="A957" i="7" s="1"/>
  <c r="A958" i="7" a="1"/>
  <c r="A958" i="7" s="1"/>
  <c r="A959" i="7" a="1"/>
  <c r="A959" i="7" s="1"/>
  <c r="A960" i="7" a="1"/>
  <c r="A960" i="7" s="1"/>
  <c r="A845" i="7" a="1"/>
  <c r="A845" i="7" s="1"/>
  <c r="A846" i="7" a="1"/>
  <c r="A846" i="7" s="1"/>
  <c r="A847" i="7" a="1"/>
  <c r="A847" i="7" s="1"/>
  <c r="A848" i="7" a="1"/>
  <c r="A848" i="7" s="1"/>
  <c r="A849" i="7" a="1"/>
  <c r="A849" i="7" s="1"/>
  <c r="A850" i="7" a="1"/>
  <c r="A850" i="7" s="1"/>
  <c r="A851" i="7" a="1"/>
  <c r="A851" i="7" s="1"/>
  <c r="A852" i="7" a="1"/>
  <c r="A852" i="7" s="1"/>
  <c r="A853" i="7" a="1"/>
  <c r="A853" i="7" s="1"/>
  <c r="A854" i="7" a="1"/>
  <c r="A854" i="7" s="1"/>
  <c r="A855" i="7" a="1"/>
  <c r="A855" i="7" s="1"/>
  <c r="A856" i="7" a="1"/>
  <c r="A856" i="7" s="1"/>
  <c r="A857" i="7" a="1"/>
  <c r="A857" i="7" s="1"/>
  <c r="A858" i="7" a="1"/>
  <c r="A858" i="7" s="1"/>
  <c r="A859" i="7" a="1"/>
  <c r="A859" i="7" s="1"/>
  <c r="A860" i="7" a="1"/>
  <c r="A860" i="7" s="1"/>
  <c r="A861" i="7" a="1"/>
  <c r="A861" i="7" s="1"/>
  <c r="D861" i="7" s="1"/>
  <c r="A862" i="7" a="1"/>
  <c r="A862" i="7" s="1"/>
  <c r="A863" i="7" a="1"/>
  <c r="A863" i="7" s="1"/>
  <c r="A796" i="7" a="1"/>
  <c r="A796" i="7" s="1"/>
  <c r="A797" i="7" a="1"/>
  <c r="A797" i="7" s="1"/>
  <c r="A798" i="7" a="1"/>
  <c r="A798" i="7" s="1"/>
  <c r="A799" i="7" a="1"/>
  <c r="A799" i="7" s="1"/>
  <c r="A800" i="7" a="1"/>
  <c r="A800" i="7" s="1"/>
  <c r="A801" i="7" a="1"/>
  <c r="A801" i="7" s="1"/>
  <c r="A802" i="7" a="1"/>
  <c r="A802" i="7" s="1"/>
  <c r="A803" i="7" a="1"/>
  <c r="A803" i="7" s="1"/>
  <c r="A804" i="7" a="1"/>
  <c r="A804" i="7" s="1"/>
  <c r="A805" i="7" a="1"/>
  <c r="A805" i="7" s="1"/>
  <c r="A806" i="7" a="1"/>
  <c r="A806" i="7" s="1"/>
  <c r="A807" i="7" a="1"/>
  <c r="A807" i="7" s="1"/>
  <c r="A808" i="7" a="1"/>
  <c r="A808" i="7" s="1"/>
  <c r="A809" i="7" a="1"/>
  <c r="A809" i="7" s="1"/>
  <c r="A810" i="7" a="1"/>
  <c r="A810" i="7" s="1"/>
  <c r="A811" i="7" a="1"/>
  <c r="A811" i="7" s="1"/>
  <c r="A812" i="7" a="1"/>
  <c r="A812" i="7" s="1"/>
  <c r="A813" i="7" a="1"/>
  <c r="A813" i="7" s="1"/>
  <c r="A814" i="7" a="1"/>
  <c r="A814" i="7" s="1"/>
  <c r="A815" i="7" a="1"/>
  <c r="A815" i="7" s="1"/>
  <c r="A816" i="7" a="1"/>
  <c r="A816" i="7" s="1"/>
  <c r="A817" i="7" a="1"/>
  <c r="A817" i="7" s="1"/>
  <c r="A818" i="7" a="1"/>
  <c r="A818" i="7" s="1"/>
  <c r="A819" i="7" a="1"/>
  <c r="A819" i="7" s="1"/>
  <c r="A820" i="7" a="1"/>
  <c r="A820" i="7" s="1"/>
  <c r="A821" i="7" a="1"/>
  <c r="A821" i="7" s="1"/>
  <c r="D821" i="7" s="1"/>
  <c r="A822" i="7" a="1"/>
  <c r="A822" i="7" s="1"/>
  <c r="A823" i="7" a="1"/>
  <c r="A823" i="7" s="1"/>
  <c r="A824" i="7" a="1"/>
  <c r="A824" i="7" s="1"/>
  <c r="A825" i="7" a="1"/>
  <c r="A825" i="7" s="1"/>
  <c r="A826" i="7" a="1"/>
  <c r="A826" i="7" s="1"/>
  <c r="A827" i="7" a="1"/>
  <c r="A827" i="7" s="1"/>
  <c r="A828" i="7" a="1"/>
  <c r="A828" i="7" s="1"/>
  <c r="A829" i="7" a="1"/>
  <c r="A829" i="7" s="1"/>
  <c r="A830" i="7" a="1"/>
  <c r="A830" i="7" s="1"/>
  <c r="A831" i="7" a="1"/>
  <c r="A831" i="7" s="1"/>
  <c r="A832" i="7" a="1"/>
  <c r="A832" i="7" s="1"/>
  <c r="A833" i="7" a="1"/>
  <c r="A833" i="7" s="1"/>
  <c r="A834" i="7" a="1"/>
  <c r="A834" i="7" s="1"/>
  <c r="A835" i="7" a="1"/>
  <c r="A835" i="7" s="1"/>
  <c r="A836" i="7" a="1"/>
  <c r="A836" i="7" s="1"/>
  <c r="A837" i="7" a="1"/>
  <c r="A837" i="7" s="1"/>
  <c r="A838" i="7" a="1"/>
  <c r="A838" i="7" s="1"/>
  <c r="A839" i="7" a="1"/>
  <c r="A839" i="7" s="1"/>
  <c r="A840" i="7" a="1"/>
  <c r="A840" i="7" s="1"/>
  <c r="A841" i="7" a="1"/>
  <c r="A841" i="7" s="1"/>
  <c r="A842" i="7" a="1"/>
  <c r="A842" i="7" s="1"/>
  <c r="A843" i="7" a="1"/>
  <c r="A843" i="7" s="1"/>
  <c r="A844" i="7" a="1"/>
  <c r="A844" i="7" s="1"/>
  <c r="D844" i="7" s="1"/>
  <c r="A388" i="7" a="1"/>
  <c r="A388" i="7" s="1"/>
  <c r="A389" i="7" a="1"/>
  <c r="A389" i="7" s="1"/>
  <c r="A390" i="7" a="1"/>
  <c r="A390" i="7" s="1"/>
  <c r="A391" i="7" a="1"/>
  <c r="A391" i="7" s="1"/>
  <c r="A392" i="7" a="1"/>
  <c r="A392" i="7" s="1"/>
  <c r="A393" i="7" a="1"/>
  <c r="A393" i="7" s="1"/>
  <c r="A394" i="7" a="1"/>
  <c r="A394" i="7" s="1"/>
  <c r="A395" i="7" a="1"/>
  <c r="A395" i="7" s="1"/>
  <c r="A396" i="7" a="1"/>
  <c r="A396" i="7" s="1"/>
  <c r="A397" i="7" a="1"/>
  <c r="A397" i="7" s="1"/>
  <c r="A398" i="7" a="1"/>
  <c r="A398" i="7" s="1"/>
  <c r="A399" i="7" a="1"/>
  <c r="A399" i="7" s="1"/>
  <c r="D399" i="7" s="1"/>
  <c r="A400" i="7" a="1"/>
  <c r="A400" i="7" s="1"/>
  <c r="D400" i="7" s="1"/>
  <c r="A401" i="7" a="1"/>
  <c r="A401" i="7" s="1"/>
  <c r="A402" i="7" a="1"/>
  <c r="A402" i="7" s="1"/>
  <c r="A403" i="7" a="1"/>
  <c r="A403" i="7" s="1"/>
  <c r="A404" i="7" a="1"/>
  <c r="A404" i="7" s="1"/>
  <c r="A405" i="7" a="1"/>
  <c r="A405" i="7" s="1"/>
  <c r="A406" i="7" a="1"/>
  <c r="A406" i="7" s="1"/>
  <c r="A407" i="7" a="1"/>
  <c r="A407" i="7" s="1"/>
  <c r="A408" i="7" a="1"/>
  <c r="A408" i="7" s="1"/>
  <c r="A409" i="7" a="1"/>
  <c r="A409" i="7" s="1"/>
  <c r="A410" i="7" a="1"/>
  <c r="A410" i="7" s="1"/>
  <c r="A411" i="7" a="1"/>
  <c r="A411" i="7" s="1"/>
  <c r="A412" i="7" a="1"/>
  <c r="A412" i="7" s="1"/>
  <c r="A413" i="7" a="1"/>
  <c r="A413" i="7" s="1"/>
  <c r="A414" i="7" a="1"/>
  <c r="A414" i="7" s="1"/>
  <c r="A415" i="7" a="1"/>
  <c r="A415" i="7" s="1"/>
  <c r="A416" i="7" a="1"/>
  <c r="A416" i="7" s="1"/>
  <c r="A417" i="7" a="1"/>
  <c r="A417" i="7" s="1"/>
  <c r="A418" i="7" a="1"/>
  <c r="A418" i="7" s="1"/>
  <c r="A419" i="7" a="1"/>
  <c r="A419" i="7" s="1"/>
  <c r="A420" i="7" a="1"/>
  <c r="A420" i="7" s="1"/>
  <c r="A421" i="7" a="1"/>
  <c r="A421" i="7" s="1"/>
  <c r="A422" i="7" a="1"/>
  <c r="A422" i="7" s="1"/>
  <c r="A423" i="7" a="1"/>
  <c r="A423" i="7" s="1"/>
  <c r="A424" i="7" a="1"/>
  <c r="A424" i="7" s="1"/>
  <c r="A425" i="7" a="1"/>
  <c r="A425" i="7" s="1"/>
  <c r="A426" i="7" a="1"/>
  <c r="A426" i="7" s="1"/>
  <c r="A427" i="7" a="1"/>
  <c r="A427" i="7" s="1"/>
  <c r="A428" i="7" a="1"/>
  <c r="A428" i="7" s="1"/>
  <c r="A429" i="7" a="1"/>
  <c r="A429" i="7" s="1"/>
  <c r="A430" i="7" a="1"/>
  <c r="A430" i="7" s="1"/>
  <c r="A431" i="7" a="1"/>
  <c r="A431" i="7" s="1"/>
  <c r="A432" i="7" a="1"/>
  <c r="A432" i="7" s="1"/>
  <c r="A433" i="7" a="1"/>
  <c r="A433" i="7" s="1"/>
  <c r="A434" i="7" a="1"/>
  <c r="A434" i="7" s="1"/>
  <c r="A435" i="7" a="1"/>
  <c r="A435" i="7" s="1"/>
  <c r="A436" i="7" a="1"/>
  <c r="A436" i="7" s="1"/>
  <c r="A437" i="7" a="1"/>
  <c r="A437" i="7" s="1"/>
  <c r="D437" i="7" s="1"/>
  <c r="A438" i="7" a="1"/>
  <c r="A438" i="7" s="1"/>
  <c r="A439" i="7" a="1"/>
  <c r="A439" i="7" s="1"/>
  <c r="A440" i="7" a="1"/>
  <c r="A440" i="7" s="1"/>
  <c r="A441" i="7" a="1"/>
  <c r="A441" i="7" s="1"/>
  <c r="A442" i="7" a="1"/>
  <c r="A442" i="7" s="1"/>
  <c r="A443" i="7" a="1"/>
  <c r="A443" i="7" s="1"/>
  <c r="A444" i="7" a="1"/>
  <c r="A444" i="7" s="1"/>
  <c r="A445" i="7" a="1"/>
  <c r="A445" i="7" s="1"/>
  <c r="A446" i="7" a="1"/>
  <c r="A446" i="7" s="1"/>
  <c r="A447" i="7" a="1"/>
  <c r="A447" i="7" s="1"/>
  <c r="A448" i="7" a="1"/>
  <c r="A448" i="7" s="1"/>
  <c r="A449" i="7" a="1"/>
  <c r="A449" i="7" s="1"/>
  <c r="A450" i="7" a="1"/>
  <c r="A450" i="7" s="1"/>
  <c r="A451" i="7" a="1"/>
  <c r="A451" i="7" s="1"/>
  <c r="A452" i="7" a="1"/>
  <c r="A452" i="7" s="1"/>
  <c r="A453" i="7" a="1"/>
  <c r="A453" i="7" s="1"/>
  <c r="A454" i="7" a="1"/>
  <c r="A454" i="7" s="1"/>
  <c r="A455" i="7" a="1"/>
  <c r="A455" i="7" s="1"/>
  <c r="A456" i="7" a="1"/>
  <c r="A456" i="7" s="1"/>
  <c r="A457" i="7" a="1"/>
  <c r="A457" i="7" s="1"/>
  <c r="A458" i="7" a="1"/>
  <c r="A458" i="7" s="1"/>
  <c r="A459" i="7" a="1"/>
  <c r="A459" i="7" s="1"/>
  <c r="A460" i="7" a="1"/>
  <c r="A460" i="7" s="1"/>
  <c r="A461" i="7" a="1"/>
  <c r="A461" i="7" s="1"/>
  <c r="A462" i="7" a="1"/>
  <c r="A462" i="7" s="1"/>
  <c r="A463" i="7" a="1"/>
  <c r="A463" i="7" s="1"/>
  <c r="A464" i="7" a="1"/>
  <c r="A464" i="7" s="1"/>
  <c r="A465" i="7" a="1"/>
  <c r="A465" i="7" s="1"/>
  <c r="A466" i="7" a="1"/>
  <c r="A466" i="7" s="1"/>
  <c r="A467" i="7" a="1"/>
  <c r="A467" i="7" s="1"/>
  <c r="A468" i="7" a="1"/>
  <c r="A468" i="7" s="1"/>
  <c r="A469" i="7" a="1"/>
  <c r="A469" i="7" s="1"/>
  <c r="A470" i="7" a="1"/>
  <c r="A470" i="7" s="1"/>
  <c r="A471" i="7" a="1"/>
  <c r="A471" i="7" s="1"/>
  <c r="A472" i="7" a="1"/>
  <c r="A472" i="7" s="1"/>
  <c r="A473" i="7" a="1"/>
  <c r="A473" i="7" s="1"/>
  <c r="A474" i="7" a="1"/>
  <c r="A474" i="7" s="1"/>
  <c r="A475" i="7" a="1"/>
  <c r="A475" i="7" s="1"/>
  <c r="A476" i="7" a="1"/>
  <c r="A476" i="7" s="1"/>
  <c r="A477" i="7" a="1"/>
  <c r="A477" i="7" s="1"/>
  <c r="A478" i="7" a="1"/>
  <c r="A478" i="7" s="1"/>
  <c r="A479" i="7" a="1"/>
  <c r="A479" i="7" s="1"/>
  <c r="A480" i="7" a="1"/>
  <c r="A480" i="7" s="1"/>
  <c r="A481" i="7" a="1"/>
  <c r="A481" i="7" s="1"/>
  <c r="A482" i="7" a="1"/>
  <c r="A482" i="7" s="1"/>
  <c r="A483" i="7" a="1"/>
  <c r="A483" i="7" s="1"/>
  <c r="A484" i="7" a="1"/>
  <c r="A484" i="7" s="1"/>
  <c r="A485" i="7" a="1"/>
  <c r="A485" i="7" s="1"/>
  <c r="A486" i="7" a="1"/>
  <c r="A486" i="7" s="1"/>
  <c r="A487" i="7" a="1"/>
  <c r="A487" i="7" s="1"/>
  <c r="A488" i="7" a="1"/>
  <c r="A488" i="7" s="1"/>
  <c r="A489" i="7" a="1"/>
  <c r="A489" i="7" s="1"/>
  <c r="D489" i="7" s="1"/>
  <c r="A490" i="7" a="1"/>
  <c r="A490" i="7" s="1"/>
  <c r="A491" i="7" a="1"/>
  <c r="A491" i="7" s="1"/>
  <c r="A492" i="7" a="1"/>
  <c r="A492" i="7" s="1"/>
  <c r="A493" i="7" a="1"/>
  <c r="A493" i="7" s="1"/>
  <c r="A494" i="7" a="1"/>
  <c r="A494" i="7" s="1"/>
  <c r="A495" i="7" a="1"/>
  <c r="A495" i="7" s="1"/>
  <c r="A496" i="7" a="1"/>
  <c r="A496" i="7" s="1"/>
  <c r="A497" i="7" a="1"/>
  <c r="A497" i="7" s="1"/>
  <c r="A498" i="7" a="1"/>
  <c r="A498" i="7" s="1"/>
  <c r="A499" i="7" a="1"/>
  <c r="A499" i="7" s="1"/>
  <c r="A500" i="7" a="1"/>
  <c r="A500" i="7" s="1"/>
  <c r="A501" i="7" a="1"/>
  <c r="A501" i="7" s="1"/>
  <c r="A502" i="7" a="1"/>
  <c r="A502" i="7" s="1"/>
  <c r="A503" i="7" a="1"/>
  <c r="A503" i="7" s="1"/>
  <c r="A504" i="7" a="1"/>
  <c r="A504" i="7" s="1"/>
  <c r="A505" i="7" a="1"/>
  <c r="A505" i="7" s="1"/>
  <c r="A506" i="7" a="1"/>
  <c r="A506" i="7" s="1"/>
  <c r="A507" i="7" a="1"/>
  <c r="A507" i="7" s="1"/>
  <c r="A508" i="7" a="1"/>
  <c r="A508" i="7" s="1"/>
  <c r="A509" i="7" a="1"/>
  <c r="A509" i="7" s="1"/>
  <c r="A510" i="7" a="1"/>
  <c r="A510" i="7" s="1"/>
  <c r="A511" i="7" a="1"/>
  <c r="A511" i="7" s="1"/>
  <c r="A512" i="7" a="1"/>
  <c r="A512" i="7" s="1"/>
  <c r="A513" i="7" a="1"/>
  <c r="A513" i="7" s="1"/>
  <c r="A514" i="7" a="1"/>
  <c r="A514" i="7" s="1"/>
  <c r="A515" i="7" a="1"/>
  <c r="A515" i="7" s="1"/>
  <c r="D515" i="7" s="1"/>
  <c r="A516" i="7" a="1"/>
  <c r="A516" i="7" s="1"/>
  <c r="D516" i="7" s="1"/>
  <c r="A517" i="7" a="1"/>
  <c r="A517" i="7" s="1"/>
  <c r="A518" i="7" a="1"/>
  <c r="A518" i="7" s="1"/>
  <c r="A519" i="7" a="1"/>
  <c r="A519" i="7" s="1"/>
  <c r="A520" i="7" a="1"/>
  <c r="A520" i="7" s="1"/>
  <c r="A521" i="7" a="1"/>
  <c r="A521" i="7" s="1"/>
  <c r="A522" i="7" a="1"/>
  <c r="A522" i="7" s="1"/>
  <c r="A523" i="7" a="1"/>
  <c r="A523" i="7" s="1"/>
  <c r="A524" i="7" a="1"/>
  <c r="A524" i="7" s="1"/>
  <c r="A525" i="7" a="1"/>
  <c r="A525" i="7" s="1"/>
  <c r="A526" i="7" a="1"/>
  <c r="A526" i="7" s="1"/>
  <c r="A527" i="7" a="1"/>
  <c r="A527" i="7" s="1"/>
  <c r="A528" i="7" a="1"/>
  <c r="A528" i="7" s="1"/>
  <c r="A529" i="7" a="1"/>
  <c r="A529" i="7" s="1"/>
  <c r="A530" i="7" a="1"/>
  <c r="A530" i="7" s="1"/>
  <c r="A531" i="7" a="1"/>
  <c r="A531" i="7" s="1"/>
  <c r="A532" i="7" a="1"/>
  <c r="A532" i="7" s="1"/>
  <c r="A533" i="7" a="1"/>
  <c r="A533" i="7" s="1"/>
  <c r="A534" i="7" a="1"/>
  <c r="A534" i="7" s="1"/>
  <c r="A535" i="7" a="1"/>
  <c r="A535" i="7" s="1"/>
  <c r="A536" i="7" a="1"/>
  <c r="A536" i="7" s="1"/>
  <c r="A537" i="7" a="1"/>
  <c r="A537" i="7" s="1"/>
  <c r="A538" i="7" a="1"/>
  <c r="A538" i="7" s="1"/>
  <c r="A539" i="7" a="1"/>
  <c r="A539" i="7" s="1"/>
  <c r="A540" i="7" a="1"/>
  <c r="A540" i="7" s="1"/>
  <c r="A541" i="7" a="1"/>
  <c r="A541" i="7" s="1"/>
  <c r="A542" i="7" a="1"/>
  <c r="A542" i="7" s="1"/>
  <c r="A543" i="7" a="1"/>
  <c r="A543" i="7" s="1"/>
  <c r="A544" i="7" a="1"/>
  <c r="A544" i="7" s="1"/>
  <c r="A545" i="7" a="1"/>
  <c r="A545" i="7" s="1"/>
  <c r="A546" i="7" a="1"/>
  <c r="A546" i="7" s="1"/>
  <c r="A547" i="7" a="1"/>
  <c r="A547" i="7" s="1"/>
  <c r="A548" i="7" a="1"/>
  <c r="A548" i="7" s="1"/>
  <c r="A549" i="7" a="1"/>
  <c r="A549" i="7" s="1"/>
  <c r="A550" i="7" a="1"/>
  <c r="A550" i="7" s="1"/>
  <c r="A551" i="7" a="1"/>
  <c r="A551" i="7" s="1"/>
  <c r="A552" i="7" a="1"/>
  <c r="A552" i="7" s="1"/>
  <c r="A553" i="7" a="1"/>
  <c r="A553" i="7" s="1"/>
  <c r="A554" i="7" a="1"/>
  <c r="A554" i="7" s="1"/>
  <c r="A555" i="7" a="1"/>
  <c r="A555" i="7" s="1"/>
  <c r="A556" i="7" a="1"/>
  <c r="A556" i="7" s="1"/>
  <c r="A557" i="7" a="1"/>
  <c r="A557" i="7" s="1"/>
  <c r="A558" i="7" a="1"/>
  <c r="A558" i="7" s="1"/>
  <c r="A559" i="7" a="1"/>
  <c r="A559" i="7" s="1"/>
  <c r="A560" i="7" a="1"/>
  <c r="A560" i="7" s="1"/>
  <c r="A561" i="7" a="1"/>
  <c r="A561" i="7" s="1"/>
  <c r="A562" i="7" a="1"/>
  <c r="A562" i="7" s="1"/>
  <c r="A563" i="7" a="1"/>
  <c r="A563" i="7" s="1"/>
  <c r="A564" i="7" a="1"/>
  <c r="A564" i="7" s="1"/>
  <c r="A565" i="7" a="1"/>
  <c r="A565" i="7" s="1"/>
  <c r="A566" i="7" a="1"/>
  <c r="A566" i="7" s="1"/>
  <c r="A567" i="7" a="1"/>
  <c r="A567" i="7" s="1"/>
  <c r="A568" i="7" a="1"/>
  <c r="A568" i="7" s="1"/>
  <c r="A569" i="7" a="1"/>
  <c r="A569" i="7" s="1"/>
  <c r="A570" i="7" a="1"/>
  <c r="A570" i="7" s="1"/>
  <c r="A571" i="7" a="1"/>
  <c r="A571" i="7" s="1"/>
  <c r="A572" i="7" a="1"/>
  <c r="A572" i="7" s="1"/>
  <c r="A573" i="7" a="1"/>
  <c r="A573" i="7" s="1"/>
  <c r="A574" i="7" a="1"/>
  <c r="A574" i="7" s="1"/>
  <c r="A575" i="7" a="1"/>
  <c r="A575" i="7" s="1"/>
  <c r="A576" i="7" a="1"/>
  <c r="A576" i="7" s="1"/>
  <c r="A577" i="7" a="1"/>
  <c r="A577" i="7" s="1"/>
  <c r="A578" i="7" a="1"/>
  <c r="A578" i="7" s="1"/>
  <c r="A579" i="7" a="1"/>
  <c r="A579" i="7" s="1"/>
  <c r="A580" i="7" a="1"/>
  <c r="A580" i="7" s="1"/>
  <c r="A581" i="7" a="1"/>
  <c r="A581" i="7" s="1"/>
  <c r="A582" i="7" a="1"/>
  <c r="A582" i="7" s="1"/>
  <c r="A583" i="7" a="1"/>
  <c r="A583" i="7" s="1"/>
  <c r="A584" i="7" a="1"/>
  <c r="A584" i="7" s="1"/>
  <c r="A585" i="7" a="1"/>
  <c r="A585" i="7" s="1"/>
  <c r="A586" i="7" a="1"/>
  <c r="A586" i="7" s="1"/>
  <c r="A587" i="7" a="1"/>
  <c r="A587" i="7" s="1"/>
  <c r="A588" i="7" a="1"/>
  <c r="A588" i="7" s="1"/>
  <c r="A589" i="7" a="1"/>
  <c r="A589" i="7" s="1"/>
  <c r="A590" i="7" a="1"/>
  <c r="A590" i="7" s="1"/>
  <c r="A591" i="7" a="1"/>
  <c r="A591" i="7" s="1"/>
  <c r="A592" i="7" a="1"/>
  <c r="A592" i="7" s="1"/>
  <c r="A593" i="7" a="1"/>
  <c r="A593" i="7" s="1"/>
  <c r="A594" i="7" a="1"/>
  <c r="A594" i="7" s="1"/>
  <c r="A595" i="7" a="1"/>
  <c r="A595" i="7" s="1"/>
  <c r="A596" i="7" a="1"/>
  <c r="A596" i="7" s="1"/>
  <c r="A597" i="7" a="1"/>
  <c r="A597" i="7" s="1"/>
  <c r="A598" i="7" a="1"/>
  <c r="A598" i="7" s="1"/>
  <c r="A599" i="7" a="1"/>
  <c r="A599" i="7" s="1"/>
  <c r="A600" i="7" a="1"/>
  <c r="A600" i="7" s="1"/>
  <c r="A601" i="7" a="1"/>
  <c r="A601" i="7" s="1"/>
  <c r="A602" i="7" a="1"/>
  <c r="A602" i="7" s="1"/>
  <c r="A603" i="7" a="1"/>
  <c r="A603" i="7" s="1"/>
  <c r="A604" i="7" a="1"/>
  <c r="A604" i="7" s="1"/>
  <c r="A605" i="7" a="1"/>
  <c r="A605" i="7" s="1"/>
  <c r="A606" i="7" a="1"/>
  <c r="A606" i="7" s="1"/>
  <c r="A607" i="7" a="1"/>
  <c r="A607" i="7" s="1"/>
  <c r="A608" i="7" a="1"/>
  <c r="A608" i="7" s="1"/>
  <c r="A609" i="7" a="1"/>
  <c r="A609" i="7" s="1"/>
  <c r="A610" i="7" a="1"/>
  <c r="A610" i="7" s="1"/>
  <c r="A611" i="7" a="1"/>
  <c r="A611" i="7" s="1"/>
  <c r="D611" i="7" s="1"/>
  <c r="A612" i="7" a="1"/>
  <c r="A612" i="7" s="1"/>
  <c r="A613" i="7" a="1"/>
  <c r="A613" i="7" s="1"/>
  <c r="A614" i="7" a="1"/>
  <c r="A614" i="7" s="1"/>
  <c r="A615" i="7" a="1"/>
  <c r="A615" i="7" s="1"/>
  <c r="A616" i="7" a="1"/>
  <c r="A616" i="7" s="1"/>
  <c r="A617" i="7" a="1"/>
  <c r="A617" i="7" s="1"/>
  <c r="A618" i="7" a="1"/>
  <c r="A618" i="7" s="1"/>
  <c r="A619" i="7" a="1"/>
  <c r="A619" i="7" s="1"/>
  <c r="A620" i="7" a="1"/>
  <c r="A620" i="7" s="1"/>
  <c r="A621" i="7" a="1"/>
  <c r="A621" i="7" s="1"/>
  <c r="A622" i="7" a="1"/>
  <c r="A622" i="7" s="1"/>
  <c r="A623" i="7" a="1"/>
  <c r="A623" i="7" s="1"/>
  <c r="A624" i="7" a="1"/>
  <c r="A624" i="7" s="1"/>
  <c r="A625" i="7" a="1"/>
  <c r="A625" i="7" s="1"/>
  <c r="A626" i="7" a="1"/>
  <c r="A626" i="7" s="1"/>
  <c r="A627" i="7" a="1"/>
  <c r="A627" i="7" s="1"/>
  <c r="A628" i="7" a="1"/>
  <c r="A628" i="7" s="1"/>
  <c r="D628" i="7" s="1"/>
  <c r="A629" i="7" a="1"/>
  <c r="A629" i="7" s="1"/>
  <c r="A630" i="7" a="1"/>
  <c r="A630" i="7" s="1"/>
  <c r="A631" i="7" a="1"/>
  <c r="A631" i="7" s="1"/>
  <c r="A632" i="7" a="1"/>
  <c r="A632" i="7" s="1"/>
  <c r="A633" i="7" a="1"/>
  <c r="A633" i="7" s="1"/>
  <c r="A634" i="7" a="1"/>
  <c r="A634" i="7" s="1"/>
  <c r="A635" i="7" a="1"/>
  <c r="A635" i="7" s="1"/>
  <c r="A636" i="7" a="1"/>
  <c r="A636" i="7" s="1"/>
  <c r="A637" i="7" a="1"/>
  <c r="A637" i="7" s="1"/>
  <c r="A638" i="7" a="1"/>
  <c r="A638" i="7" s="1"/>
  <c r="A639" i="7" a="1"/>
  <c r="A639" i="7" s="1"/>
  <c r="A640" i="7" a="1"/>
  <c r="A640" i="7" s="1"/>
  <c r="A641" i="7" a="1"/>
  <c r="A641" i="7" s="1"/>
  <c r="A642" i="7" a="1"/>
  <c r="A642" i="7" s="1"/>
  <c r="A643" i="7" a="1"/>
  <c r="A643" i="7" s="1"/>
  <c r="A644" i="7" a="1"/>
  <c r="A644" i="7" s="1"/>
  <c r="A645" i="7" a="1"/>
  <c r="A645" i="7" s="1"/>
  <c r="A646" i="7" a="1"/>
  <c r="A646" i="7" s="1"/>
  <c r="A647" i="7" a="1"/>
  <c r="A647" i="7" s="1"/>
  <c r="A648" i="7" a="1"/>
  <c r="A648" i="7" s="1"/>
  <c r="A649" i="7" a="1"/>
  <c r="A649" i="7" s="1"/>
  <c r="A650" i="7" a="1"/>
  <c r="A650" i="7" s="1"/>
  <c r="A651" i="7" a="1"/>
  <c r="A651" i="7" s="1"/>
  <c r="A652" i="7" a="1"/>
  <c r="A652" i="7" s="1"/>
  <c r="A653" i="7" a="1"/>
  <c r="A653" i="7" s="1"/>
  <c r="A654" i="7" a="1"/>
  <c r="A654" i="7" s="1"/>
  <c r="A655" i="7" a="1"/>
  <c r="A655" i="7" s="1"/>
  <c r="A656" i="7" a="1"/>
  <c r="A656" i="7" s="1"/>
  <c r="A657" i="7" a="1"/>
  <c r="A657" i="7" s="1"/>
  <c r="A658" i="7" a="1"/>
  <c r="A658" i="7" s="1"/>
  <c r="A659" i="7" a="1"/>
  <c r="A659" i="7" s="1"/>
  <c r="A660" i="7" a="1"/>
  <c r="A660" i="7" s="1"/>
  <c r="A661" i="7" a="1"/>
  <c r="A661" i="7" s="1"/>
  <c r="A662" i="7" a="1"/>
  <c r="A662" i="7" s="1"/>
  <c r="A663" i="7" a="1"/>
  <c r="A663" i="7" s="1"/>
  <c r="A664" i="7" a="1"/>
  <c r="A664" i="7" s="1"/>
  <c r="A665" i="7" a="1"/>
  <c r="A665" i="7" s="1"/>
  <c r="A666" i="7" a="1"/>
  <c r="A666" i="7" s="1"/>
  <c r="A667" i="7" a="1"/>
  <c r="A667" i="7" s="1"/>
  <c r="A668" i="7" a="1"/>
  <c r="A668" i="7" s="1"/>
  <c r="A669" i="7" a="1"/>
  <c r="A669" i="7" s="1"/>
  <c r="A670" i="7" a="1"/>
  <c r="A670" i="7" s="1"/>
  <c r="A671" i="7" a="1"/>
  <c r="A671" i="7" s="1"/>
  <c r="A672" i="7" a="1"/>
  <c r="A672" i="7" s="1"/>
  <c r="A673" i="7" a="1"/>
  <c r="A673" i="7" s="1"/>
  <c r="A674" i="7" a="1"/>
  <c r="A674" i="7" s="1"/>
  <c r="A675" i="7" a="1"/>
  <c r="A675" i="7" s="1"/>
  <c r="A676" i="7" a="1"/>
  <c r="A676" i="7" s="1"/>
  <c r="A677" i="7" a="1"/>
  <c r="A677" i="7" s="1"/>
  <c r="A678" i="7" a="1"/>
  <c r="A678" i="7" s="1"/>
  <c r="A679" i="7" a="1"/>
  <c r="A679" i="7" s="1"/>
  <c r="A680" i="7" a="1"/>
  <c r="A680" i="7" s="1"/>
  <c r="A681" i="7" a="1"/>
  <c r="A681" i="7" s="1"/>
  <c r="A682" i="7" a="1"/>
  <c r="A682" i="7" s="1"/>
  <c r="A683" i="7" a="1"/>
  <c r="A683" i="7" s="1"/>
  <c r="A684" i="7" a="1"/>
  <c r="A684" i="7" s="1"/>
  <c r="A685" i="7" a="1"/>
  <c r="A685" i="7" s="1"/>
  <c r="A686" i="7" a="1"/>
  <c r="A686" i="7" s="1"/>
  <c r="A687" i="7" a="1"/>
  <c r="A687" i="7" s="1"/>
  <c r="A688" i="7" a="1"/>
  <c r="A688" i="7" s="1"/>
  <c r="A689" i="7" a="1"/>
  <c r="A689" i="7" s="1"/>
  <c r="A690" i="7" a="1"/>
  <c r="A690" i="7" s="1"/>
  <c r="A691" i="7" a="1"/>
  <c r="A691" i="7" s="1"/>
  <c r="A692" i="7" a="1"/>
  <c r="A692" i="7" s="1"/>
  <c r="A693" i="7" a="1"/>
  <c r="A693" i="7" s="1"/>
  <c r="D693" i="7" s="1"/>
  <c r="A694" i="7" a="1"/>
  <c r="A694" i="7" s="1"/>
  <c r="A695" i="7" a="1"/>
  <c r="A695" i="7" s="1"/>
  <c r="A696" i="7" a="1"/>
  <c r="A696" i="7" s="1"/>
  <c r="A697" i="7" a="1"/>
  <c r="A697" i="7" s="1"/>
  <c r="A698" i="7" a="1"/>
  <c r="A698" i="7" s="1"/>
  <c r="A699" i="7" a="1"/>
  <c r="A699" i="7" s="1"/>
  <c r="A700" i="7" a="1"/>
  <c r="A700" i="7" s="1"/>
  <c r="A701" i="7" a="1"/>
  <c r="A701" i="7" s="1"/>
  <c r="A702" i="7" a="1"/>
  <c r="A702" i="7" s="1"/>
  <c r="A703" i="7" a="1"/>
  <c r="A703" i="7" s="1"/>
  <c r="A704" i="7" a="1"/>
  <c r="A704" i="7" s="1"/>
  <c r="A705" i="7" a="1"/>
  <c r="A705" i="7" s="1"/>
  <c r="A706" i="7" a="1"/>
  <c r="A706" i="7" s="1"/>
  <c r="A707" i="7" a="1"/>
  <c r="A707" i="7" s="1"/>
  <c r="A708" i="7" a="1"/>
  <c r="A708" i="7" s="1"/>
  <c r="A709" i="7" a="1"/>
  <c r="A709" i="7" s="1"/>
  <c r="A710" i="7" a="1"/>
  <c r="A710" i="7" s="1"/>
  <c r="A711" i="7" a="1"/>
  <c r="A711" i="7" s="1"/>
  <c r="A712" i="7" a="1"/>
  <c r="A712" i="7" s="1"/>
  <c r="A713" i="7" a="1"/>
  <c r="A713" i="7" s="1"/>
  <c r="A714" i="7" a="1"/>
  <c r="A714" i="7" s="1"/>
  <c r="A715" i="7" a="1"/>
  <c r="A715" i="7" s="1"/>
  <c r="D715" i="7" s="1"/>
  <c r="A716" i="7" a="1"/>
  <c r="A716" i="7" s="1"/>
  <c r="A717" i="7" a="1"/>
  <c r="A717" i="7" s="1"/>
  <c r="A718" i="7" a="1"/>
  <c r="A718" i="7" s="1"/>
  <c r="A719" i="7" a="1"/>
  <c r="A719" i="7" s="1"/>
  <c r="A720" i="7" a="1"/>
  <c r="A720" i="7" s="1"/>
  <c r="A721" i="7" a="1"/>
  <c r="A721" i="7" s="1"/>
  <c r="A722" i="7" a="1"/>
  <c r="A722" i="7" s="1"/>
  <c r="A723" i="7" a="1"/>
  <c r="A723" i="7" s="1"/>
  <c r="A724" i="7" a="1"/>
  <c r="A724" i="7" s="1"/>
  <c r="A725" i="7" a="1"/>
  <c r="A725" i="7" s="1"/>
  <c r="A726" i="7" a="1"/>
  <c r="A726" i="7" s="1"/>
  <c r="A727" i="7" a="1"/>
  <c r="A727" i="7" s="1"/>
  <c r="A728" i="7" a="1"/>
  <c r="A728" i="7" s="1"/>
  <c r="A729" i="7" a="1"/>
  <c r="A729" i="7" s="1"/>
  <c r="A730" i="7" a="1"/>
  <c r="A730" i="7" s="1"/>
  <c r="A731" i="7" a="1"/>
  <c r="A731" i="7" s="1"/>
  <c r="A732" i="7" a="1"/>
  <c r="A732" i="7" s="1"/>
  <c r="A733" i="7" a="1"/>
  <c r="A733" i="7" s="1"/>
  <c r="A734" i="7" a="1"/>
  <c r="A734" i="7" s="1"/>
  <c r="A735" i="7" a="1"/>
  <c r="A735" i="7" s="1"/>
  <c r="A736" i="7" a="1"/>
  <c r="A736" i="7" s="1"/>
  <c r="A737" i="7" a="1"/>
  <c r="A737" i="7" s="1"/>
  <c r="A738" i="7" a="1"/>
  <c r="A738" i="7" s="1"/>
  <c r="A739" i="7" a="1"/>
  <c r="A739" i="7" s="1"/>
  <c r="D739" i="7" s="1"/>
  <c r="A740" i="7" a="1"/>
  <c r="A740" i="7" s="1"/>
  <c r="A741" i="7" a="1"/>
  <c r="A741" i="7" s="1"/>
  <c r="A742" i="7" a="1"/>
  <c r="A742" i="7" s="1"/>
  <c r="A743" i="7" a="1"/>
  <c r="A743" i="7" s="1"/>
  <c r="A744" i="7" a="1"/>
  <c r="A744" i="7" s="1"/>
  <c r="A745" i="7" a="1"/>
  <c r="A745" i="7" s="1"/>
  <c r="A746" i="7" a="1"/>
  <c r="A746" i="7" s="1"/>
  <c r="A747" i="7" a="1"/>
  <c r="A747" i="7" s="1"/>
  <c r="A748" i="7" a="1"/>
  <c r="A748" i="7" s="1"/>
  <c r="A749" i="7" a="1"/>
  <c r="A749" i="7" s="1"/>
  <c r="A750" i="7" a="1"/>
  <c r="A750" i="7" s="1"/>
  <c r="A751" i="7" a="1"/>
  <c r="A751" i="7" s="1"/>
  <c r="A752" i="7" a="1"/>
  <c r="A752" i="7" s="1"/>
  <c r="A753" i="7" a="1"/>
  <c r="A753" i="7" s="1"/>
  <c r="A754" i="7" a="1"/>
  <c r="A754" i="7" s="1"/>
  <c r="A755" i="7" a="1"/>
  <c r="A755" i="7" s="1"/>
  <c r="A756" i="7" a="1"/>
  <c r="A756" i="7" s="1"/>
  <c r="A757" i="7" a="1"/>
  <c r="A757" i="7" s="1"/>
  <c r="D757" i="7" s="1"/>
  <c r="A758" i="7" a="1"/>
  <c r="A758" i="7" s="1"/>
  <c r="A759" i="7" a="1"/>
  <c r="A759" i="7" s="1"/>
  <c r="A760" i="7" a="1"/>
  <c r="A760" i="7" s="1"/>
  <c r="A761" i="7" a="1"/>
  <c r="A761" i="7" s="1"/>
  <c r="A762" i="7" a="1"/>
  <c r="A762" i="7" s="1"/>
  <c r="A763" i="7" a="1"/>
  <c r="A763" i="7" s="1"/>
  <c r="A764" i="7" a="1"/>
  <c r="A764" i="7" s="1"/>
  <c r="A765" i="7" a="1"/>
  <c r="A765" i="7" s="1"/>
  <c r="A766" i="7" a="1"/>
  <c r="A766" i="7" s="1"/>
  <c r="A767" i="7" a="1"/>
  <c r="A767" i="7" s="1"/>
  <c r="A768" i="7" a="1"/>
  <c r="A768" i="7" s="1"/>
  <c r="A769" i="7" a="1"/>
  <c r="A769" i="7" s="1"/>
  <c r="A770" i="7" a="1"/>
  <c r="A770" i="7" s="1"/>
  <c r="A771" i="7" a="1"/>
  <c r="A771" i="7" s="1"/>
  <c r="A772" i="7" a="1"/>
  <c r="A772" i="7" s="1"/>
  <c r="A773" i="7" a="1"/>
  <c r="A773" i="7" s="1"/>
  <c r="A774" i="7" a="1"/>
  <c r="A774" i="7" s="1"/>
  <c r="A775" i="7" a="1"/>
  <c r="A775" i="7" s="1"/>
  <c r="A776" i="7" a="1"/>
  <c r="A776" i="7" s="1"/>
  <c r="A777" i="7" a="1"/>
  <c r="A777" i="7" s="1"/>
  <c r="A778" i="7" a="1"/>
  <c r="A778" i="7" s="1"/>
  <c r="A779" i="7" a="1"/>
  <c r="A779" i="7" s="1"/>
  <c r="D779" i="7" s="1"/>
  <c r="A780" i="7" a="1"/>
  <c r="A780" i="7" s="1"/>
  <c r="A781" i="7" a="1"/>
  <c r="A781" i="7" s="1"/>
  <c r="A782" i="7" a="1"/>
  <c r="A782" i="7" s="1"/>
  <c r="A783" i="7" a="1"/>
  <c r="A783" i="7" s="1"/>
  <c r="A784" i="7" a="1"/>
  <c r="A784" i="7" s="1"/>
  <c r="A785" i="7" a="1"/>
  <c r="A785" i="7" s="1"/>
  <c r="A786" i="7" a="1"/>
  <c r="A786" i="7" s="1"/>
  <c r="A787" i="7" a="1"/>
  <c r="A787" i="7" s="1"/>
  <c r="A788" i="7" a="1"/>
  <c r="A788" i="7" s="1"/>
  <c r="A789" i="7" a="1"/>
  <c r="A789" i="7" s="1"/>
  <c r="A790" i="7" a="1"/>
  <c r="A790" i="7" s="1"/>
  <c r="A791" i="7" a="1"/>
  <c r="A791" i="7" s="1"/>
  <c r="A792" i="7" a="1"/>
  <c r="A792" i="7" s="1"/>
  <c r="A793" i="7" a="1"/>
  <c r="A793" i="7" s="1"/>
  <c r="A794" i="7" a="1"/>
  <c r="A794" i="7" s="1"/>
  <c r="A795" i="7" a="1"/>
  <c r="A795" i="7" s="1"/>
  <c r="A307" i="7" a="1"/>
  <c r="A307" i="7" s="1"/>
  <c r="A308" i="7" a="1"/>
  <c r="A308" i="7" s="1"/>
  <c r="A309" i="7" a="1"/>
  <c r="A309" i="7" s="1"/>
  <c r="A310" i="7" a="1"/>
  <c r="A310" i="7" s="1"/>
  <c r="A311" i="7" a="1"/>
  <c r="A311" i="7" s="1"/>
  <c r="A312" i="7" a="1"/>
  <c r="A312" i="7" s="1"/>
  <c r="A313" i="7" a="1"/>
  <c r="A313" i="7" s="1"/>
  <c r="A314" i="7" a="1"/>
  <c r="A314" i="7" s="1"/>
  <c r="A315" i="7" a="1"/>
  <c r="A315" i="7" s="1"/>
  <c r="A316" i="7" a="1"/>
  <c r="A316" i="7" s="1"/>
  <c r="A317" i="7" a="1"/>
  <c r="A317" i="7" s="1"/>
  <c r="A318" i="7" a="1"/>
  <c r="A318" i="7" s="1"/>
  <c r="A319" i="7" a="1"/>
  <c r="A319" i="7" s="1"/>
  <c r="A320" i="7" a="1"/>
  <c r="A320" i="7" s="1"/>
  <c r="A321" i="7" a="1"/>
  <c r="A321" i="7" s="1"/>
  <c r="A322" i="7" a="1"/>
  <c r="A322" i="7" s="1"/>
  <c r="A323" i="7" a="1"/>
  <c r="A323" i="7" s="1"/>
  <c r="A324" i="7" a="1"/>
  <c r="A324" i="7" s="1"/>
  <c r="A325" i="7" a="1"/>
  <c r="A325" i="7" s="1"/>
  <c r="A326" i="7" a="1"/>
  <c r="A326" i="7" s="1"/>
  <c r="A327" i="7" a="1"/>
  <c r="A327" i="7" s="1"/>
  <c r="A328" i="7" a="1"/>
  <c r="A328" i="7" s="1"/>
  <c r="A329" i="7" a="1"/>
  <c r="A329" i="7" s="1"/>
  <c r="A330" i="7" a="1"/>
  <c r="A330" i="7" s="1"/>
  <c r="A331" i="7" a="1"/>
  <c r="A331" i="7" s="1"/>
  <c r="A332" i="7" a="1"/>
  <c r="A332" i="7" s="1"/>
  <c r="A333" i="7" a="1"/>
  <c r="A333" i="7" s="1"/>
  <c r="A334" i="7" a="1"/>
  <c r="A334" i="7" s="1"/>
  <c r="A335" i="7" a="1"/>
  <c r="A335" i="7" s="1"/>
  <c r="A336" i="7" a="1"/>
  <c r="A336" i="7" s="1"/>
  <c r="A337" i="7" a="1"/>
  <c r="A337" i="7" s="1"/>
  <c r="A338" i="7" a="1"/>
  <c r="A338" i="7" s="1"/>
  <c r="A339" i="7" a="1"/>
  <c r="A339" i="7" s="1"/>
  <c r="A340" i="7" a="1"/>
  <c r="A340" i="7" s="1"/>
  <c r="A341" i="7" a="1"/>
  <c r="A341" i="7" s="1"/>
  <c r="A342" i="7" a="1"/>
  <c r="A342" i="7" s="1"/>
  <c r="A343" i="7" a="1"/>
  <c r="A343" i="7" s="1"/>
  <c r="A344" i="7" a="1"/>
  <c r="A344" i="7" s="1"/>
  <c r="A345" i="7" a="1"/>
  <c r="A345" i="7" s="1"/>
  <c r="A346" i="7" a="1"/>
  <c r="A346" i="7" s="1"/>
  <c r="A347" i="7" a="1"/>
  <c r="A347" i="7" s="1"/>
  <c r="A348" i="7" a="1"/>
  <c r="A348" i="7" s="1"/>
  <c r="A349" i="7" a="1"/>
  <c r="A349" i="7" s="1"/>
  <c r="A350" i="7" a="1"/>
  <c r="A350" i="7" s="1"/>
  <c r="A351" i="7" a="1"/>
  <c r="A351" i="7" s="1"/>
  <c r="A352" i="7" a="1"/>
  <c r="A352" i="7" s="1"/>
  <c r="A353" i="7" a="1"/>
  <c r="A353" i="7" s="1"/>
  <c r="A354" i="7" a="1"/>
  <c r="A354" i="7" s="1"/>
  <c r="A355" i="7" a="1"/>
  <c r="A355" i="7" s="1"/>
  <c r="A356" i="7" a="1"/>
  <c r="A356" i="7" s="1"/>
  <c r="A357" i="7" a="1"/>
  <c r="A357" i="7" s="1"/>
  <c r="A358" i="7" a="1"/>
  <c r="A358" i="7" s="1"/>
  <c r="A359" i="7" a="1"/>
  <c r="A359" i="7" s="1"/>
  <c r="A360" i="7" a="1"/>
  <c r="A360" i="7" s="1"/>
  <c r="A361" i="7" a="1"/>
  <c r="A361" i="7" s="1"/>
  <c r="A362" i="7" a="1"/>
  <c r="A362" i="7" s="1"/>
  <c r="A363" i="7" a="1"/>
  <c r="A363" i="7" s="1"/>
  <c r="A364" i="7" a="1"/>
  <c r="A364" i="7" s="1"/>
  <c r="A365" i="7" a="1"/>
  <c r="A365" i="7" s="1"/>
  <c r="A366" i="7" a="1"/>
  <c r="A366" i="7" s="1"/>
  <c r="A367" i="7" a="1"/>
  <c r="A367" i="7" s="1"/>
  <c r="A368" i="7" a="1"/>
  <c r="A368" i="7" s="1"/>
  <c r="A369" i="7" a="1"/>
  <c r="A369" i="7" s="1"/>
  <c r="A370" i="7" a="1"/>
  <c r="A370" i="7" s="1"/>
  <c r="A371" i="7" a="1"/>
  <c r="A371" i="7" s="1"/>
  <c r="A372" i="7" a="1"/>
  <c r="A372" i="7" s="1"/>
  <c r="A373" i="7" a="1"/>
  <c r="A373" i="7" s="1"/>
  <c r="A374" i="7" a="1"/>
  <c r="A374" i="7" s="1"/>
  <c r="A375" i="7" a="1"/>
  <c r="A375" i="7" s="1"/>
  <c r="A376" i="7" a="1"/>
  <c r="A376" i="7" s="1"/>
  <c r="A377" i="7" a="1"/>
  <c r="A377" i="7" s="1"/>
  <c r="A378" i="7" a="1"/>
  <c r="A378" i="7" s="1"/>
  <c r="A379" i="7" a="1"/>
  <c r="A379" i="7" s="1"/>
  <c r="A380" i="7" a="1"/>
  <c r="A380" i="7" s="1"/>
  <c r="A381" i="7" a="1"/>
  <c r="A381" i="7" s="1"/>
  <c r="A382" i="7" a="1"/>
  <c r="A382" i="7" s="1"/>
  <c r="A383" i="7" a="1"/>
  <c r="A383" i="7" s="1"/>
  <c r="A384" i="7" a="1"/>
  <c r="A384" i="7" s="1"/>
  <c r="A385" i="7" a="1"/>
  <c r="A385" i="7" s="1"/>
  <c r="A386" i="7" a="1"/>
  <c r="A386" i="7" s="1"/>
  <c r="A387" i="7" a="1"/>
  <c r="A387" i="7" s="1"/>
  <c r="A289" i="7" a="1"/>
  <c r="A289" i="7" s="1"/>
  <c r="A290" i="7" a="1"/>
  <c r="A290" i="7" s="1"/>
  <c r="A291" i="7" a="1"/>
  <c r="A291" i="7" s="1"/>
  <c r="A292" i="7" a="1"/>
  <c r="A292" i="7" s="1"/>
  <c r="A293" i="7" a="1"/>
  <c r="A293" i="7" s="1"/>
  <c r="A294" i="7" a="1"/>
  <c r="A294" i="7" s="1"/>
  <c r="A295" i="7" a="1"/>
  <c r="A295" i="7" s="1"/>
  <c r="A296" i="7" a="1"/>
  <c r="A296" i="7" s="1"/>
  <c r="A297" i="7" a="1"/>
  <c r="A297" i="7" s="1"/>
  <c r="A298" i="7" a="1"/>
  <c r="A298" i="7" s="1"/>
  <c r="A299" i="7" a="1"/>
  <c r="A299" i="7" s="1"/>
  <c r="A300" i="7" a="1"/>
  <c r="A300" i="7" s="1"/>
  <c r="A301" i="7" a="1"/>
  <c r="A301" i="7" s="1"/>
  <c r="A302" i="7" a="1"/>
  <c r="A302" i="7" s="1"/>
  <c r="A303" i="7" a="1"/>
  <c r="A303" i="7" s="1"/>
  <c r="A304" i="7" a="1"/>
  <c r="A304" i="7" s="1"/>
  <c r="A305" i="7" a="1"/>
  <c r="A305" i="7" s="1"/>
  <c r="A306" i="7" a="1"/>
  <c r="A306" i="7" s="1"/>
  <c r="A9" i="7" a="1"/>
  <c r="A9" i="7" s="1"/>
  <c r="D9" i="7" s="1"/>
  <c r="A10" i="7" a="1"/>
  <c r="A10" i="7" s="1"/>
  <c r="A11" i="7" a="1"/>
  <c r="A11" i="7" s="1"/>
  <c r="A12" i="7" a="1"/>
  <c r="A12" i="7" s="1"/>
  <c r="A13" i="7" a="1"/>
  <c r="A13" i="7" s="1"/>
  <c r="A14" i="7" a="1"/>
  <c r="A14" i="7" s="1"/>
  <c r="D14" i="7" s="1"/>
  <c r="A15" i="7" a="1"/>
  <c r="A15" i="7" s="1"/>
  <c r="A16" i="7" a="1"/>
  <c r="A16" i="7" s="1"/>
  <c r="D16" i="7" s="1"/>
  <c r="A17" i="7" a="1"/>
  <c r="A17" i="7" s="1"/>
  <c r="A18" i="7" a="1"/>
  <c r="A18" i="7" s="1"/>
  <c r="D18" i="7" s="1"/>
  <c r="A19" i="7" a="1"/>
  <c r="A19" i="7" s="1"/>
  <c r="A20" i="7" a="1"/>
  <c r="A20" i="7" s="1"/>
  <c r="A21" i="7" a="1"/>
  <c r="A21" i="7" s="1"/>
  <c r="A22" i="7" a="1"/>
  <c r="A22" i="7" s="1"/>
  <c r="A23" i="7" a="1"/>
  <c r="A23" i="7" s="1"/>
  <c r="A24" i="7" a="1"/>
  <c r="A24" i="7" s="1"/>
  <c r="A25" i="7" a="1"/>
  <c r="A25" i="7" s="1"/>
  <c r="A26" i="7" a="1"/>
  <c r="A26" i="7" s="1"/>
  <c r="A27" i="7" a="1"/>
  <c r="A27" i="7" s="1"/>
  <c r="A28" i="7" a="1"/>
  <c r="A28" i="7" s="1"/>
  <c r="A29" i="7" a="1"/>
  <c r="A29" i="7" s="1"/>
  <c r="A30" i="7" a="1"/>
  <c r="A30" i="7" s="1"/>
  <c r="A31" i="7" a="1"/>
  <c r="A31" i="7" s="1"/>
  <c r="A32" i="7" a="1"/>
  <c r="A32" i="7" s="1"/>
  <c r="A33" i="7" a="1"/>
  <c r="A33" i="7" s="1"/>
  <c r="A34" i="7" a="1"/>
  <c r="A34" i="7" s="1"/>
  <c r="A35" i="7" a="1"/>
  <c r="A35" i="7" s="1"/>
  <c r="A36" i="7" a="1"/>
  <c r="A36" i="7" s="1"/>
  <c r="A37" i="7" a="1"/>
  <c r="A37" i="7" s="1"/>
  <c r="A38" i="7" a="1"/>
  <c r="A38" i="7" s="1"/>
  <c r="A39" i="7" a="1"/>
  <c r="A39" i="7" s="1"/>
  <c r="A40" i="7" a="1"/>
  <c r="A40" i="7" s="1"/>
  <c r="A41" i="7" a="1"/>
  <c r="A41" i="7" s="1"/>
  <c r="D41" i="7" s="1"/>
  <c r="A42" i="7" a="1"/>
  <c r="A42" i="7" s="1"/>
  <c r="A43" i="7" a="1"/>
  <c r="A43" i="7" s="1"/>
  <c r="A44" i="7" a="1"/>
  <c r="A44" i="7" s="1"/>
  <c r="A45" i="7" a="1"/>
  <c r="A45" i="7" s="1"/>
  <c r="A46" i="7" a="1"/>
  <c r="A46" i="7" s="1"/>
  <c r="A47" i="7" a="1"/>
  <c r="A47" i="7" s="1"/>
  <c r="A48" i="7" a="1"/>
  <c r="A48" i="7" s="1"/>
  <c r="A49" i="7" a="1"/>
  <c r="A49" i="7" s="1"/>
  <c r="A50" i="7" a="1"/>
  <c r="A50" i="7" s="1"/>
  <c r="A51" i="7" a="1"/>
  <c r="A51" i="7" s="1"/>
  <c r="A52" i="7" a="1"/>
  <c r="A52" i="7" s="1"/>
  <c r="A53" i="7" a="1"/>
  <c r="A53" i="7" s="1"/>
  <c r="A54" i="7" a="1"/>
  <c r="A54" i="7" s="1"/>
  <c r="A55" i="7" a="1"/>
  <c r="A55" i="7" s="1"/>
  <c r="A56" i="7" a="1"/>
  <c r="A56" i="7" s="1"/>
  <c r="A57" i="7" a="1"/>
  <c r="A57" i="7" s="1"/>
  <c r="A58" i="7" a="1"/>
  <c r="A58" i="7" s="1"/>
  <c r="A59" i="7" a="1"/>
  <c r="A59" i="7" s="1"/>
  <c r="A60" i="7" a="1"/>
  <c r="A60" i="7" s="1"/>
  <c r="A61" i="7" a="1"/>
  <c r="A61" i="7" s="1"/>
  <c r="A62" i="7" a="1"/>
  <c r="A62" i="7" s="1"/>
  <c r="A63" i="7" a="1"/>
  <c r="A63" i="7" s="1"/>
  <c r="A64" i="7" a="1"/>
  <c r="A64" i="7" s="1"/>
  <c r="A65" i="7" a="1"/>
  <c r="A65" i="7" s="1"/>
  <c r="A66" i="7" a="1"/>
  <c r="A66" i="7" s="1"/>
  <c r="A67" i="7" a="1"/>
  <c r="A67" i="7" s="1"/>
  <c r="A68" i="7" a="1"/>
  <c r="A68" i="7" s="1"/>
  <c r="A69" i="7" a="1"/>
  <c r="A69" i="7" s="1"/>
  <c r="A70" i="7" a="1"/>
  <c r="A70" i="7" s="1"/>
  <c r="A71" i="7" a="1"/>
  <c r="A71" i="7" s="1"/>
  <c r="A72" i="7" a="1"/>
  <c r="A72" i="7" s="1"/>
  <c r="A73" i="7" a="1"/>
  <c r="A73" i="7" s="1"/>
  <c r="A74" i="7" a="1"/>
  <c r="A74" i="7" s="1"/>
  <c r="A75" i="7" a="1"/>
  <c r="A75" i="7" s="1"/>
  <c r="A76" i="7" a="1"/>
  <c r="A76" i="7" s="1"/>
  <c r="A77" i="7" a="1"/>
  <c r="A77" i="7" s="1"/>
  <c r="A78" i="7" a="1"/>
  <c r="A78" i="7" s="1"/>
  <c r="A79" i="7" a="1"/>
  <c r="A79" i="7" s="1"/>
  <c r="A80" i="7" a="1"/>
  <c r="A80" i="7" s="1"/>
  <c r="A81" i="7" a="1"/>
  <c r="A81" i="7" s="1"/>
  <c r="A82" i="7" a="1"/>
  <c r="A82" i="7" s="1"/>
  <c r="A83" i="7" a="1"/>
  <c r="A83" i="7" s="1"/>
  <c r="A84" i="7" a="1"/>
  <c r="A84" i="7" s="1"/>
  <c r="A85" i="7" a="1"/>
  <c r="A85" i="7" s="1"/>
  <c r="A86" i="7" a="1"/>
  <c r="A86" i="7" s="1"/>
  <c r="A87" i="7" a="1"/>
  <c r="A87" i="7" s="1"/>
  <c r="A88" i="7" a="1"/>
  <c r="A88" i="7" s="1"/>
  <c r="A89" i="7" a="1"/>
  <c r="A89" i="7" s="1"/>
  <c r="A90" i="7" a="1"/>
  <c r="A90" i="7" s="1"/>
  <c r="A91" i="7" a="1"/>
  <c r="A91" i="7" s="1"/>
  <c r="A92" i="7" a="1"/>
  <c r="A92" i="7" s="1"/>
  <c r="A93" i="7" a="1"/>
  <c r="A93" i="7" s="1"/>
  <c r="A94" i="7" a="1"/>
  <c r="A94" i="7" s="1"/>
  <c r="A95" i="7" a="1"/>
  <c r="A95" i="7" s="1"/>
  <c r="A96" i="7" a="1"/>
  <c r="A96" i="7" s="1"/>
  <c r="D96" i="7" s="1"/>
  <c r="A97" i="7" a="1"/>
  <c r="A97" i="7" s="1"/>
  <c r="A98" i="7" a="1"/>
  <c r="A98" i="7" s="1"/>
  <c r="A99" i="7" a="1"/>
  <c r="A99" i="7" s="1"/>
  <c r="A100" i="7" a="1"/>
  <c r="A100" i="7" s="1"/>
  <c r="A101" i="7" a="1"/>
  <c r="A101" i="7" s="1"/>
  <c r="A102" i="7" a="1"/>
  <c r="A102" i="7" s="1"/>
  <c r="A103" i="7" a="1"/>
  <c r="A103" i="7" s="1"/>
  <c r="A104" i="7" a="1"/>
  <c r="A104" i="7" s="1"/>
  <c r="A105" i="7" a="1"/>
  <c r="A105" i="7" s="1"/>
  <c r="A106" i="7" a="1"/>
  <c r="A106" i="7" s="1"/>
  <c r="A107" i="7" a="1"/>
  <c r="A107" i="7" s="1"/>
  <c r="A108" i="7" a="1"/>
  <c r="A108" i="7" s="1"/>
  <c r="A109" i="7" a="1"/>
  <c r="A109" i="7" s="1"/>
  <c r="A110" i="7" a="1"/>
  <c r="A110" i="7" s="1"/>
  <c r="A111" i="7" a="1"/>
  <c r="A111" i="7" s="1"/>
  <c r="A112" i="7" a="1"/>
  <c r="A112" i="7" s="1"/>
  <c r="A113" i="7" a="1"/>
  <c r="A113" i="7" s="1"/>
  <c r="A114" i="7" a="1"/>
  <c r="A114" i="7" s="1"/>
  <c r="A115" i="7" a="1"/>
  <c r="A115" i="7" s="1"/>
  <c r="A116" i="7" a="1"/>
  <c r="A116" i="7" s="1"/>
  <c r="A117" i="7" a="1"/>
  <c r="A117" i="7" s="1"/>
  <c r="A118" i="7" a="1"/>
  <c r="A118" i="7" s="1"/>
  <c r="A119" i="7" a="1"/>
  <c r="A119" i="7" s="1"/>
  <c r="A120" i="7" a="1"/>
  <c r="A120" i="7" s="1"/>
  <c r="A121" i="7" a="1"/>
  <c r="A121" i="7" s="1"/>
  <c r="A122" i="7" a="1"/>
  <c r="A122" i="7" s="1"/>
  <c r="A123" i="7" a="1"/>
  <c r="A123" i="7" s="1"/>
  <c r="A124" i="7" a="1"/>
  <c r="A124" i="7" s="1"/>
  <c r="A125" i="7" a="1"/>
  <c r="A125" i="7" s="1"/>
  <c r="A126" i="7" a="1"/>
  <c r="A126" i="7" s="1"/>
  <c r="A127" i="7" a="1"/>
  <c r="A127" i="7" s="1"/>
  <c r="A128" i="7" a="1"/>
  <c r="A128" i="7" s="1"/>
  <c r="A129" i="7" a="1"/>
  <c r="A129" i="7" s="1"/>
  <c r="A130" i="7" a="1"/>
  <c r="A130" i="7" s="1"/>
  <c r="A131" i="7" a="1"/>
  <c r="A131" i="7" s="1"/>
  <c r="A132" i="7" a="1"/>
  <c r="A132" i="7" s="1"/>
  <c r="A133" i="7" a="1"/>
  <c r="A133" i="7" s="1"/>
  <c r="A134" i="7" a="1"/>
  <c r="A134" i="7" s="1"/>
  <c r="A135" i="7" a="1"/>
  <c r="A135" i="7" s="1"/>
  <c r="A136" i="7" a="1"/>
  <c r="A136" i="7" s="1"/>
  <c r="A137" i="7" a="1"/>
  <c r="A137" i="7" s="1"/>
  <c r="A138" i="7" a="1"/>
  <c r="A138" i="7" s="1"/>
  <c r="A139" i="7" a="1"/>
  <c r="A139" i="7" s="1"/>
  <c r="A140" i="7" a="1"/>
  <c r="A140" i="7" s="1"/>
  <c r="A141" i="7" a="1"/>
  <c r="A141" i="7" s="1"/>
  <c r="A142" i="7" a="1"/>
  <c r="A142" i="7" s="1"/>
  <c r="A143" i="7" a="1"/>
  <c r="A143" i="7" s="1"/>
  <c r="A144" i="7" a="1"/>
  <c r="A144" i="7" s="1"/>
  <c r="A145" i="7" a="1"/>
  <c r="A145" i="7" s="1"/>
  <c r="A146" i="7" a="1"/>
  <c r="A146" i="7" s="1"/>
  <c r="A147" i="7" a="1"/>
  <c r="A147" i="7" s="1"/>
  <c r="A148" i="7" a="1"/>
  <c r="A148" i="7" s="1"/>
  <c r="A149" i="7" a="1"/>
  <c r="A149" i="7" s="1"/>
  <c r="A150" i="7" a="1"/>
  <c r="A150" i="7" s="1"/>
  <c r="A151" i="7" a="1"/>
  <c r="A151" i="7" s="1"/>
  <c r="A152" i="7" a="1"/>
  <c r="A152" i="7" s="1"/>
  <c r="A153" i="7" a="1"/>
  <c r="A153" i="7" s="1"/>
  <c r="A154" i="7" a="1"/>
  <c r="A154" i="7" s="1"/>
  <c r="A155" i="7" a="1"/>
  <c r="A155" i="7" s="1"/>
  <c r="A156" i="7" a="1"/>
  <c r="A156" i="7" s="1"/>
  <c r="A157" i="7" a="1"/>
  <c r="A157" i="7" s="1"/>
  <c r="A158" i="7" a="1"/>
  <c r="A158" i="7" s="1"/>
  <c r="A159" i="7" a="1"/>
  <c r="A159" i="7" s="1"/>
  <c r="A160" i="7" a="1"/>
  <c r="A160" i="7" s="1"/>
  <c r="A161" i="7" a="1"/>
  <c r="A161" i="7" s="1"/>
  <c r="A162" i="7" a="1"/>
  <c r="A162" i="7" s="1"/>
  <c r="A163" i="7" a="1"/>
  <c r="A163" i="7" s="1"/>
  <c r="A164" i="7" a="1"/>
  <c r="A164" i="7" s="1"/>
  <c r="A165" i="7" a="1"/>
  <c r="A165" i="7" s="1"/>
  <c r="A166" i="7" a="1"/>
  <c r="A166" i="7" s="1"/>
  <c r="A167" i="7" a="1"/>
  <c r="A167" i="7" s="1"/>
  <c r="A168" i="7" a="1"/>
  <c r="A168" i="7" s="1"/>
  <c r="A169" i="7" a="1"/>
  <c r="A169" i="7" s="1"/>
  <c r="A170" i="7" a="1"/>
  <c r="A170" i="7" s="1"/>
  <c r="A171" i="7" a="1"/>
  <c r="A171" i="7" s="1"/>
  <c r="A172" i="7" a="1"/>
  <c r="A172" i="7" s="1"/>
  <c r="A173" i="7" a="1"/>
  <c r="A173" i="7" s="1"/>
  <c r="A174" i="7" a="1"/>
  <c r="A174" i="7" s="1"/>
  <c r="A175" i="7" a="1"/>
  <c r="A175" i="7" s="1"/>
  <c r="A176" i="7" a="1"/>
  <c r="A176" i="7"/>
  <c r="A177" i="7" a="1"/>
  <c r="A177" i="7" s="1"/>
  <c r="D177" i="7" s="1"/>
  <c r="A178" i="7" a="1"/>
  <c r="A178" i="7" s="1"/>
  <c r="A179" i="7" a="1"/>
  <c r="A179" i="7" s="1"/>
  <c r="A180" i="7" a="1"/>
  <c r="A180" i="7" s="1"/>
  <c r="A181" i="7" a="1"/>
  <c r="A181" i="7" s="1"/>
  <c r="A182" i="7" a="1"/>
  <c r="A182" i="7" s="1"/>
  <c r="A183" i="7" a="1"/>
  <c r="A183" i="7" s="1"/>
  <c r="A184" i="7" a="1"/>
  <c r="A184" i="7" s="1"/>
  <c r="A185" i="7" a="1"/>
  <c r="A185" i="7" s="1"/>
  <c r="A186" i="7" a="1"/>
  <c r="A186" i="7" s="1"/>
  <c r="A187" i="7" a="1"/>
  <c r="A187" i="7" s="1"/>
  <c r="A188" i="7" a="1"/>
  <c r="A188" i="7" s="1"/>
  <c r="A189" i="7" a="1"/>
  <c r="A189" i="7" s="1"/>
  <c r="A190" i="7" a="1"/>
  <c r="A190" i="7" s="1"/>
  <c r="A191" i="7" a="1"/>
  <c r="A191" i="7" s="1"/>
  <c r="A192" i="7" a="1"/>
  <c r="A192" i="7" s="1"/>
  <c r="A193" i="7" a="1"/>
  <c r="A193" i="7" s="1"/>
  <c r="A194" i="7" a="1"/>
  <c r="A194" i="7" s="1"/>
  <c r="A195" i="7" a="1"/>
  <c r="A195" i="7" s="1"/>
  <c r="A196" i="7" a="1"/>
  <c r="A196" i="7" s="1"/>
  <c r="A197" i="7" a="1"/>
  <c r="A197" i="7" s="1"/>
  <c r="A198" i="7" a="1"/>
  <c r="A198" i="7" s="1"/>
  <c r="A199" i="7" a="1"/>
  <c r="A199" i="7" s="1"/>
  <c r="A200" i="7" a="1"/>
  <c r="A200" i="7" s="1"/>
  <c r="A201" i="7" a="1"/>
  <c r="A201" i="7" s="1"/>
  <c r="A202" i="7" a="1"/>
  <c r="A202" i="7" s="1"/>
  <c r="A203" i="7" a="1"/>
  <c r="A203" i="7" s="1"/>
  <c r="A204" i="7" a="1"/>
  <c r="A204" i="7" s="1"/>
  <c r="A205" i="7" a="1"/>
  <c r="A205" i="7" s="1"/>
  <c r="A206" i="7" a="1"/>
  <c r="A206" i="7" s="1"/>
  <c r="A207" i="7" a="1"/>
  <c r="A207" i="7" s="1"/>
  <c r="A208" i="7" a="1"/>
  <c r="A208" i="7" s="1"/>
  <c r="A209" i="7" a="1"/>
  <c r="A209" i="7" s="1"/>
  <c r="A210" i="7" a="1"/>
  <c r="A210" i="7" s="1"/>
  <c r="A211" i="7" a="1"/>
  <c r="A211" i="7" s="1"/>
  <c r="A212" i="7" a="1"/>
  <c r="A212" i="7" s="1"/>
  <c r="A213" i="7" a="1"/>
  <c r="A213" i="7" s="1"/>
  <c r="A214" i="7" a="1"/>
  <c r="A214" i="7" s="1"/>
  <c r="A215" i="7" a="1"/>
  <c r="A215" i="7" s="1"/>
  <c r="A216" i="7" a="1"/>
  <c r="A216" i="7" s="1"/>
  <c r="A217" i="7" a="1"/>
  <c r="A217" i="7" s="1"/>
  <c r="A218" i="7" a="1"/>
  <c r="A218" i="7" s="1"/>
  <c r="A219" i="7" a="1"/>
  <c r="A219" i="7" s="1"/>
  <c r="A220" i="7" a="1"/>
  <c r="A220" i="7" s="1"/>
  <c r="A221" i="7" a="1"/>
  <c r="A221" i="7" s="1"/>
  <c r="A222" i="7" a="1"/>
  <c r="A222" i="7" s="1"/>
  <c r="A223" i="7" a="1"/>
  <c r="A223" i="7" s="1"/>
  <c r="A224" i="7" a="1"/>
  <c r="A224" i="7" s="1"/>
  <c r="A225" i="7" a="1"/>
  <c r="A225" i="7" s="1"/>
  <c r="D225" i="7" s="1"/>
  <c r="A226" i="7" a="1"/>
  <c r="A226" i="7" s="1"/>
  <c r="A227" i="7" a="1"/>
  <c r="A227" i="7" s="1"/>
  <c r="A228" i="7" a="1"/>
  <c r="A228" i="7" s="1"/>
  <c r="A229" i="7" a="1"/>
  <c r="A229" i="7" s="1"/>
  <c r="A230" i="7" a="1"/>
  <c r="A230" i="7" s="1"/>
  <c r="A231" i="7" a="1"/>
  <c r="A231" i="7" s="1"/>
  <c r="A232" i="7" a="1"/>
  <c r="A232" i="7" s="1"/>
  <c r="A233" i="7" a="1"/>
  <c r="A233" i="7" s="1"/>
  <c r="A234" i="7" a="1"/>
  <c r="A234" i="7" s="1"/>
  <c r="A235" i="7" a="1"/>
  <c r="A235" i="7" s="1"/>
  <c r="A236" i="7" a="1"/>
  <c r="A236" i="7" s="1"/>
  <c r="A237" i="7" a="1"/>
  <c r="A237" i="7" s="1"/>
  <c r="A238" i="7" a="1"/>
  <c r="A238" i="7" s="1"/>
  <c r="A239" i="7" a="1"/>
  <c r="A239" i="7" s="1"/>
  <c r="A240" i="7" a="1"/>
  <c r="A240" i="7" s="1"/>
  <c r="A241" i="7" a="1"/>
  <c r="A241" i="7" s="1"/>
  <c r="A242" i="7" a="1"/>
  <c r="A242" i="7" s="1"/>
  <c r="A243" i="7" a="1"/>
  <c r="A243" i="7" s="1"/>
  <c r="A244" i="7" a="1"/>
  <c r="A244" i="7" s="1"/>
  <c r="A245" i="7" a="1"/>
  <c r="A245" i="7" s="1"/>
  <c r="A246" i="7" a="1"/>
  <c r="A246" i="7" s="1"/>
  <c r="A247" i="7" a="1"/>
  <c r="A247" i="7" s="1"/>
  <c r="A248" i="7" a="1"/>
  <c r="A248" i="7" s="1"/>
  <c r="A249" i="7" a="1"/>
  <c r="A249" i="7" s="1"/>
  <c r="A250" i="7" a="1"/>
  <c r="A250" i="7" s="1"/>
  <c r="A251" i="7" a="1"/>
  <c r="A251" i="7" s="1"/>
  <c r="A252" i="7" a="1"/>
  <c r="A252" i="7" s="1"/>
  <c r="A253" i="7" a="1"/>
  <c r="A253" i="7" s="1"/>
  <c r="A254" i="7" a="1"/>
  <c r="A254" i="7" s="1"/>
  <c r="A255" i="7" a="1"/>
  <c r="A255" i="7" s="1"/>
  <c r="A256" i="7" a="1"/>
  <c r="A256" i="7" s="1"/>
  <c r="A257" i="7" a="1"/>
  <c r="A257" i="7" s="1"/>
  <c r="A258" i="7" a="1"/>
  <c r="A258" i="7" s="1"/>
  <c r="A259" i="7" a="1"/>
  <c r="A259" i="7" s="1"/>
  <c r="A260" i="7" a="1"/>
  <c r="A260" i="7" s="1"/>
  <c r="A261" i="7" a="1"/>
  <c r="A261" i="7" s="1"/>
  <c r="A262" i="7" a="1"/>
  <c r="A262" i="7" s="1"/>
  <c r="A263" i="7" a="1"/>
  <c r="A263" i="7" s="1"/>
  <c r="A264" i="7" a="1"/>
  <c r="A264" i="7" s="1"/>
  <c r="A265" i="7" a="1"/>
  <c r="A265" i="7" s="1"/>
  <c r="A266" i="7" a="1"/>
  <c r="A266" i="7" s="1"/>
  <c r="A267" i="7" a="1"/>
  <c r="A267" i="7" s="1"/>
  <c r="A268" i="7" a="1"/>
  <c r="A268" i="7" s="1"/>
  <c r="A269" i="7" a="1"/>
  <c r="A269" i="7" s="1"/>
  <c r="A270" i="7" a="1"/>
  <c r="A270" i="7" s="1"/>
  <c r="A271" i="7" a="1"/>
  <c r="A271" i="7" s="1"/>
  <c r="A272" i="7" a="1"/>
  <c r="A272" i="7" s="1"/>
  <c r="A273" i="7" a="1"/>
  <c r="A273" i="7" s="1"/>
  <c r="A274" i="7" a="1"/>
  <c r="A274" i="7" s="1"/>
  <c r="A275" i="7" a="1"/>
  <c r="A275" i="7" s="1"/>
  <c r="A276" i="7" a="1"/>
  <c r="A276" i="7" s="1"/>
  <c r="A277" i="7" a="1"/>
  <c r="A277" i="7" s="1"/>
  <c r="A278" i="7" a="1"/>
  <c r="A278" i="7" s="1"/>
  <c r="A279" i="7" a="1"/>
  <c r="A279" i="7" s="1"/>
  <c r="A280" i="7" a="1"/>
  <c r="A280" i="7" s="1"/>
  <c r="A281" i="7" a="1"/>
  <c r="A281" i="7" s="1"/>
  <c r="A282" i="7" a="1"/>
  <c r="A282" i="7" s="1"/>
  <c r="A283" i="7" a="1"/>
  <c r="A283" i="7" s="1"/>
  <c r="A284" i="7" a="1"/>
  <c r="A284" i="7" s="1"/>
  <c r="A285" i="7" a="1"/>
  <c r="A285" i="7" s="1"/>
  <c r="A286" i="7" a="1"/>
  <c r="A286" i="7" s="1"/>
  <c r="A287" i="7" a="1"/>
  <c r="A287" i="7" s="1"/>
  <c r="A288" i="7" a="1"/>
  <c r="A288" i="7" s="1"/>
  <c r="A2" i="7" a="1"/>
  <c r="A2" i="7" s="1"/>
  <c r="E2" i="7" s="1"/>
  <c r="F2" i="7" s="1"/>
  <c r="A3" i="7" a="1"/>
  <c r="A3" i="7" s="1"/>
  <c r="A4" i="7" a="1"/>
  <c r="A4" i="7" s="1"/>
  <c r="A5" i="7" a="1"/>
  <c r="A5" i="7" s="1"/>
  <c r="A6" i="7" a="1"/>
  <c r="A6" i="7" s="1"/>
  <c r="A7" i="7" a="1"/>
  <c r="A7" i="7" s="1"/>
  <c r="A8" i="7" a="1"/>
  <c r="A8" i="7" s="1"/>
  <c r="A1" i="7" a="1"/>
  <c r="A1" i="7" s="1"/>
  <c r="B80" i="7" l="1"/>
  <c r="E80" i="7"/>
  <c r="F80" i="7" s="1"/>
  <c r="D80" i="7"/>
  <c r="B267" i="7"/>
  <c r="E267" i="7"/>
  <c r="F267" i="7" s="1"/>
  <c r="D267" i="7"/>
  <c r="B235" i="7"/>
  <c r="E235" i="7"/>
  <c r="F235" i="7" s="1"/>
  <c r="D235" i="7"/>
  <c r="B280" i="7"/>
  <c r="E280" i="7"/>
  <c r="F280" i="7" s="1"/>
  <c r="D280" i="7"/>
  <c r="B279" i="7"/>
  <c r="E279" i="7"/>
  <c r="F279" i="7" s="1"/>
  <c r="D279" i="7"/>
  <c r="B4" i="7"/>
  <c r="E4" i="7"/>
  <c r="F4" i="7" s="1"/>
  <c r="D4" i="7"/>
  <c r="B284" i="7"/>
  <c r="E284" i="7"/>
  <c r="F284" i="7" s="1"/>
  <c r="D284" i="7"/>
  <c r="B272" i="7"/>
  <c r="E272" i="7"/>
  <c r="F272" i="7" s="1"/>
  <c r="D272" i="7"/>
  <c r="B257" i="7"/>
  <c r="E257" i="7"/>
  <c r="F257" i="7" s="1"/>
  <c r="D257" i="7"/>
  <c r="B241" i="7"/>
  <c r="E241" i="7"/>
  <c r="F241" i="7" s="1"/>
  <c r="D241" i="7"/>
  <c r="B234" i="7"/>
  <c r="E234" i="7"/>
  <c r="F234" i="7" s="1"/>
  <c r="D234" i="7"/>
  <c r="B219" i="7"/>
  <c r="E219" i="7"/>
  <c r="F219" i="7" s="1"/>
  <c r="D219" i="7"/>
  <c r="B211" i="7"/>
  <c r="E211" i="7"/>
  <c r="F211" i="7" s="1"/>
  <c r="D211" i="7"/>
  <c r="B195" i="7"/>
  <c r="E195" i="7"/>
  <c r="F195" i="7" s="1"/>
  <c r="D195" i="7"/>
  <c r="B149" i="7"/>
  <c r="E149" i="7"/>
  <c r="F149" i="7" s="1"/>
  <c r="D149" i="7"/>
  <c r="B141" i="7"/>
  <c r="E141" i="7"/>
  <c r="F141" i="7" s="1"/>
  <c r="D141" i="7"/>
  <c r="B133" i="7"/>
  <c r="E133" i="7"/>
  <c r="F133" i="7" s="1"/>
  <c r="D133" i="7"/>
  <c r="B125" i="7"/>
  <c r="E125" i="7"/>
  <c r="F125" i="7" s="1"/>
  <c r="D125" i="7"/>
  <c r="B109" i="7"/>
  <c r="E109" i="7"/>
  <c r="F109" i="7" s="1"/>
  <c r="D109" i="7"/>
  <c r="B93" i="7"/>
  <c r="E93" i="7"/>
  <c r="F93" i="7" s="1"/>
  <c r="D93" i="7"/>
  <c r="B35" i="7"/>
  <c r="E35" i="7"/>
  <c r="F35" i="7" s="1"/>
  <c r="D35" i="7"/>
  <c r="B27" i="7"/>
  <c r="E27" i="7"/>
  <c r="F27" i="7" s="1"/>
  <c r="D27" i="7"/>
  <c r="B12" i="7"/>
  <c r="E12" i="7"/>
  <c r="F12" i="7" s="1"/>
  <c r="D12" i="7"/>
  <c r="B295" i="7"/>
  <c r="E295" i="7"/>
  <c r="F295" i="7" s="1"/>
  <c r="D295" i="7"/>
  <c r="B373" i="7"/>
  <c r="E373" i="7"/>
  <c r="F373" i="7" s="1"/>
  <c r="D373" i="7"/>
  <c r="B365" i="7"/>
  <c r="E365" i="7"/>
  <c r="F365" i="7" s="1"/>
  <c r="D365" i="7"/>
  <c r="B420" i="7"/>
  <c r="E420" i="7"/>
  <c r="F420" i="7" s="1"/>
  <c r="D420" i="7"/>
  <c r="B412" i="7"/>
  <c r="E412" i="7"/>
  <c r="F412" i="7" s="1"/>
  <c r="D412" i="7"/>
  <c r="B396" i="7"/>
  <c r="E396" i="7"/>
  <c r="F396" i="7" s="1"/>
  <c r="D396" i="7"/>
  <c r="B388" i="7"/>
  <c r="E388" i="7"/>
  <c r="F388" i="7" s="1"/>
  <c r="D388" i="7"/>
  <c r="B837" i="7"/>
  <c r="E837" i="7"/>
  <c r="F837" i="7" s="1"/>
  <c r="D837" i="7"/>
  <c r="B1266" i="7"/>
  <c r="E1266" i="7"/>
  <c r="F1266" i="7" s="1"/>
  <c r="D1266" i="7"/>
  <c r="B1381" i="7"/>
  <c r="E1381" i="7"/>
  <c r="F1381" i="7" s="1"/>
  <c r="D1381" i="7"/>
  <c r="B1373" i="7"/>
  <c r="E1373" i="7"/>
  <c r="F1373" i="7" s="1"/>
  <c r="D1373" i="7"/>
  <c r="B1365" i="7"/>
  <c r="E1365" i="7"/>
  <c r="F1365" i="7" s="1"/>
  <c r="D1365" i="7"/>
  <c r="B3" i="7"/>
  <c r="E3" i="7"/>
  <c r="F3" i="7" s="1"/>
  <c r="D3" i="7"/>
  <c r="B278" i="7"/>
  <c r="E278" i="7"/>
  <c r="F278" i="7" s="1"/>
  <c r="D278" i="7"/>
  <c r="B271" i="7"/>
  <c r="E271" i="7"/>
  <c r="F271" i="7" s="1"/>
  <c r="D271" i="7"/>
  <c r="B1396" i="7"/>
  <c r="E1396" i="7"/>
  <c r="F1396" i="7" s="1"/>
  <c r="D1396" i="7"/>
  <c r="B1388" i="7"/>
  <c r="E1388" i="7"/>
  <c r="F1388" i="7" s="1"/>
  <c r="D1388" i="7"/>
  <c r="B2" i="7"/>
  <c r="D2" i="7"/>
  <c r="B283" i="7"/>
  <c r="E283" i="7"/>
  <c r="F283" i="7" s="1"/>
  <c r="D283" i="7"/>
  <c r="B277" i="7"/>
  <c r="E277" i="7"/>
  <c r="F277" i="7" s="1"/>
  <c r="D277" i="7"/>
  <c r="B270" i="7"/>
  <c r="E270" i="7"/>
  <c r="F270" i="7" s="1"/>
  <c r="D270" i="7"/>
  <c r="B263" i="7"/>
  <c r="E263" i="7"/>
  <c r="F263" i="7" s="1"/>
  <c r="D263" i="7"/>
  <c r="B255" i="7"/>
  <c r="E255" i="7"/>
  <c r="F255" i="7" s="1"/>
  <c r="D255" i="7"/>
  <c r="B247" i="7"/>
  <c r="E247" i="7"/>
  <c r="F247" i="7" s="1"/>
  <c r="D247" i="7"/>
  <c r="B239" i="7"/>
  <c r="E239" i="7"/>
  <c r="F239" i="7" s="1"/>
  <c r="D239" i="7"/>
  <c r="B232" i="7"/>
  <c r="E232" i="7"/>
  <c r="F232" i="7" s="1"/>
  <c r="D232" i="7"/>
  <c r="B224" i="7"/>
  <c r="E224" i="7"/>
  <c r="F224" i="7" s="1"/>
  <c r="D224" i="7"/>
  <c r="B217" i="7"/>
  <c r="E217" i="7"/>
  <c r="F217" i="7" s="1"/>
  <c r="D217" i="7"/>
  <c r="B209" i="7"/>
  <c r="E209" i="7"/>
  <c r="F209" i="7" s="1"/>
  <c r="D209" i="7"/>
  <c r="B201" i="7"/>
  <c r="E201" i="7"/>
  <c r="F201" i="7" s="1"/>
  <c r="D201" i="7"/>
  <c r="B193" i="7"/>
  <c r="E193" i="7"/>
  <c r="F193" i="7" s="1"/>
  <c r="D193" i="7"/>
  <c r="B155" i="7"/>
  <c r="E155" i="7"/>
  <c r="F155" i="7" s="1"/>
  <c r="D155" i="7"/>
  <c r="B147" i="7"/>
  <c r="E147" i="7"/>
  <c r="F147" i="7" s="1"/>
  <c r="D147" i="7"/>
  <c r="B139" i="7"/>
  <c r="E139" i="7"/>
  <c r="F139" i="7" s="1"/>
  <c r="D139" i="7"/>
  <c r="B131" i="7"/>
  <c r="E131" i="7"/>
  <c r="F131" i="7" s="1"/>
  <c r="D131" i="7"/>
  <c r="B123" i="7"/>
  <c r="E123" i="7"/>
  <c r="F123" i="7" s="1"/>
  <c r="D123" i="7"/>
  <c r="B115" i="7"/>
  <c r="E115" i="7"/>
  <c r="F115" i="7" s="1"/>
  <c r="D115" i="7"/>
  <c r="B107" i="7"/>
  <c r="E107" i="7"/>
  <c r="F107" i="7" s="1"/>
  <c r="D107" i="7"/>
  <c r="B99" i="7"/>
  <c r="E99" i="7"/>
  <c r="F99" i="7" s="1"/>
  <c r="D99" i="7"/>
  <c r="B69" i="7"/>
  <c r="E69" i="7"/>
  <c r="F69" i="7" s="1"/>
  <c r="D69" i="7"/>
  <c r="B33" i="7"/>
  <c r="E33" i="7"/>
  <c r="F33" i="7" s="1"/>
  <c r="D33" i="7"/>
  <c r="B25" i="7"/>
  <c r="E25" i="7"/>
  <c r="F25" i="7" s="1"/>
  <c r="D25" i="7"/>
  <c r="B18" i="7"/>
  <c r="E18" i="7"/>
  <c r="F18" i="7" s="1"/>
  <c r="B10" i="7"/>
  <c r="E10" i="7"/>
  <c r="F10" i="7" s="1"/>
  <c r="D10" i="7"/>
  <c r="B301" i="7"/>
  <c r="E301" i="7"/>
  <c r="F301" i="7" s="1"/>
  <c r="D301" i="7"/>
  <c r="B386" i="7"/>
  <c r="E386" i="7"/>
  <c r="F386" i="7" s="1"/>
  <c r="D386" i="7"/>
  <c r="B378" i="7"/>
  <c r="E378" i="7"/>
  <c r="F378" i="7" s="1"/>
  <c r="D378" i="7"/>
  <c r="B371" i="7"/>
  <c r="E371" i="7"/>
  <c r="F371" i="7" s="1"/>
  <c r="D371" i="7"/>
  <c r="B363" i="7"/>
  <c r="E363" i="7"/>
  <c r="F363" i="7" s="1"/>
  <c r="D363" i="7"/>
  <c r="B355" i="7"/>
  <c r="E355" i="7"/>
  <c r="F355" i="7" s="1"/>
  <c r="D355" i="7"/>
  <c r="B694" i="7"/>
  <c r="E694" i="7"/>
  <c r="F694" i="7" s="1"/>
  <c r="D694" i="7"/>
  <c r="B686" i="7"/>
  <c r="E686" i="7"/>
  <c r="F686" i="7" s="1"/>
  <c r="D686" i="7"/>
  <c r="B679" i="7"/>
  <c r="E679" i="7"/>
  <c r="F679" i="7" s="1"/>
  <c r="D679" i="7"/>
  <c r="B671" i="7"/>
  <c r="E671" i="7"/>
  <c r="F671" i="7" s="1"/>
  <c r="D671" i="7"/>
  <c r="B663" i="7"/>
  <c r="E663" i="7"/>
  <c r="F663" i="7" s="1"/>
  <c r="D663" i="7"/>
  <c r="B655" i="7"/>
  <c r="E655" i="7"/>
  <c r="F655" i="7" s="1"/>
  <c r="D655" i="7"/>
  <c r="B647" i="7"/>
  <c r="E647" i="7"/>
  <c r="F647" i="7" s="1"/>
  <c r="D647" i="7"/>
  <c r="B640" i="7"/>
  <c r="E640" i="7"/>
  <c r="F640" i="7" s="1"/>
  <c r="D640" i="7"/>
  <c r="B632" i="7"/>
  <c r="E632" i="7"/>
  <c r="F632" i="7" s="1"/>
  <c r="D632" i="7"/>
  <c r="B624" i="7"/>
  <c r="E624" i="7"/>
  <c r="F624" i="7" s="1"/>
  <c r="D624" i="7"/>
  <c r="B616" i="7"/>
  <c r="E616" i="7"/>
  <c r="F616" i="7" s="1"/>
  <c r="D616" i="7"/>
  <c r="B608" i="7"/>
  <c r="E608" i="7"/>
  <c r="F608" i="7" s="1"/>
  <c r="D608" i="7"/>
  <c r="B600" i="7"/>
  <c r="E600" i="7"/>
  <c r="F600" i="7" s="1"/>
  <c r="D600" i="7"/>
  <c r="B592" i="7"/>
  <c r="E592" i="7"/>
  <c r="F592" i="7" s="1"/>
  <c r="D592" i="7"/>
  <c r="B584" i="7"/>
  <c r="E584" i="7"/>
  <c r="F584" i="7" s="1"/>
  <c r="D584" i="7"/>
  <c r="B576" i="7"/>
  <c r="E576" i="7"/>
  <c r="F576" i="7" s="1"/>
  <c r="D576" i="7"/>
  <c r="B568" i="7"/>
  <c r="E568" i="7"/>
  <c r="F568" i="7" s="1"/>
  <c r="D568" i="7"/>
  <c r="B560" i="7"/>
  <c r="E560" i="7"/>
  <c r="F560" i="7" s="1"/>
  <c r="D560" i="7"/>
  <c r="B552" i="7"/>
  <c r="E552" i="7"/>
  <c r="F552" i="7" s="1"/>
  <c r="D552" i="7"/>
  <c r="B545" i="7"/>
  <c r="E545" i="7"/>
  <c r="F545" i="7" s="1"/>
  <c r="D545" i="7"/>
  <c r="B537" i="7"/>
  <c r="E537" i="7"/>
  <c r="F537" i="7" s="1"/>
  <c r="D537" i="7"/>
  <c r="B529" i="7"/>
  <c r="E529" i="7"/>
  <c r="F529" i="7" s="1"/>
  <c r="D529" i="7"/>
  <c r="B521" i="7"/>
  <c r="E521" i="7"/>
  <c r="F521" i="7" s="1"/>
  <c r="D521" i="7"/>
  <c r="B513" i="7"/>
  <c r="E513" i="7"/>
  <c r="F513" i="7" s="1"/>
  <c r="D513" i="7"/>
  <c r="B418" i="7"/>
  <c r="E418" i="7"/>
  <c r="F418" i="7" s="1"/>
  <c r="D418" i="7"/>
  <c r="B410" i="7"/>
  <c r="E410" i="7"/>
  <c r="F410" i="7" s="1"/>
  <c r="D410" i="7"/>
  <c r="B402" i="7"/>
  <c r="E402" i="7"/>
  <c r="F402" i="7" s="1"/>
  <c r="D402" i="7"/>
  <c r="B394" i="7"/>
  <c r="E394" i="7"/>
  <c r="F394" i="7" s="1"/>
  <c r="D394" i="7"/>
  <c r="B843" i="7"/>
  <c r="E843" i="7"/>
  <c r="F843" i="7" s="1"/>
  <c r="D843" i="7"/>
  <c r="B835" i="7"/>
  <c r="E835" i="7"/>
  <c r="F835" i="7" s="1"/>
  <c r="D835" i="7"/>
  <c r="B827" i="7"/>
  <c r="E827" i="7"/>
  <c r="F827" i="7" s="1"/>
  <c r="D827" i="7"/>
  <c r="B820" i="7"/>
  <c r="E820" i="7"/>
  <c r="F820" i="7" s="1"/>
  <c r="D820" i="7"/>
  <c r="B812" i="7"/>
  <c r="E812" i="7"/>
  <c r="F812" i="7" s="1"/>
  <c r="D812" i="7"/>
  <c r="B848" i="7"/>
  <c r="E848" i="7"/>
  <c r="F848" i="7" s="1"/>
  <c r="D848" i="7"/>
  <c r="B969" i="7"/>
  <c r="E969" i="7"/>
  <c r="F969" i="7" s="1"/>
  <c r="D969" i="7"/>
  <c r="B961" i="7"/>
  <c r="E961" i="7"/>
  <c r="F961" i="7" s="1"/>
  <c r="D961" i="7"/>
  <c r="B1403" i="7"/>
  <c r="E1403" i="7"/>
  <c r="F1403" i="7" s="1"/>
  <c r="D1403" i="7"/>
  <c r="B504" i="7"/>
  <c r="E504" i="7"/>
  <c r="F504" i="7" s="1"/>
  <c r="D504" i="7"/>
  <c r="B496" i="7"/>
  <c r="E496" i="7"/>
  <c r="F496" i="7" s="1"/>
  <c r="D496" i="7"/>
  <c r="B488" i="7"/>
  <c r="E488" i="7"/>
  <c r="F488" i="7" s="1"/>
  <c r="D488" i="7"/>
  <c r="B480" i="7"/>
  <c r="E480" i="7"/>
  <c r="F480" i="7" s="1"/>
  <c r="D480" i="7"/>
  <c r="B472" i="7"/>
  <c r="E472" i="7"/>
  <c r="F472" i="7" s="1"/>
  <c r="D472" i="7"/>
  <c r="B464" i="7"/>
  <c r="E464" i="7"/>
  <c r="F464" i="7" s="1"/>
  <c r="D464" i="7"/>
  <c r="B456" i="7"/>
  <c r="E456" i="7"/>
  <c r="F456" i="7" s="1"/>
  <c r="D456" i="7"/>
  <c r="B448" i="7"/>
  <c r="E448" i="7"/>
  <c r="F448" i="7" s="1"/>
  <c r="D448" i="7"/>
  <c r="B440" i="7"/>
  <c r="E440" i="7"/>
  <c r="F440" i="7" s="1"/>
  <c r="D440" i="7"/>
  <c r="B433" i="7"/>
  <c r="E433" i="7"/>
  <c r="F433" i="7" s="1"/>
  <c r="D433" i="7"/>
  <c r="B425" i="7"/>
  <c r="E425" i="7"/>
  <c r="F425" i="7" s="1"/>
  <c r="D425" i="7"/>
  <c r="B811" i="7"/>
  <c r="E811" i="7"/>
  <c r="F811" i="7" s="1"/>
  <c r="D811" i="7"/>
  <c r="B847" i="7"/>
  <c r="E847" i="7"/>
  <c r="F847" i="7" s="1"/>
  <c r="D847" i="7"/>
  <c r="B1263" i="7"/>
  <c r="E1263" i="7"/>
  <c r="F1263" i="7" s="1"/>
  <c r="B1255" i="7"/>
  <c r="E1255" i="7"/>
  <c r="F1255" i="7" s="1"/>
  <c r="D1255" i="7"/>
  <c r="B1247" i="7"/>
  <c r="E1247" i="7"/>
  <c r="F1247" i="7" s="1"/>
  <c r="D1247" i="7"/>
  <c r="B1239" i="7"/>
  <c r="E1239" i="7"/>
  <c r="F1239" i="7" s="1"/>
  <c r="D1239" i="7"/>
  <c r="B1231" i="7"/>
  <c r="E1231" i="7"/>
  <c r="F1231" i="7" s="1"/>
  <c r="D1231" i="7"/>
  <c r="B1223" i="7"/>
  <c r="E1223" i="7"/>
  <c r="F1223" i="7" s="1"/>
  <c r="D1223" i="7"/>
  <c r="B1215" i="7"/>
  <c r="E1215" i="7"/>
  <c r="F1215" i="7" s="1"/>
  <c r="D1215" i="7"/>
  <c r="B1207" i="7"/>
  <c r="E1207" i="7"/>
  <c r="F1207" i="7" s="1"/>
  <c r="D1207" i="7"/>
  <c r="B1199" i="7"/>
  <c r="E1199" i="7"/>
  <c r="F1199" i="7" s="1"/>
  <c r="D1199" i="7"/>
  <c r="B1191" i="7"/>
  <c r="E1191" i="7"/>
  <c r="F1191" i="7" s="1"/>
  <c r="D1191" i="7"/>
  <c r="B1183" i="7"/>
  <c r="E1183" i="7"/>
  <c r="F1183" i="7" s="1"/>
  <c r="D1183" i="7"/>
  <c r="B1175" i="7"/>
  <c r="E1175" i="7"/>
  <c r="F1175" i="7" s="1"/>
  <c r="D1175" i="7"/>
  <c r="B1167" i="7"/>
  <c r="E1167" i="7"/>
  <c r="F1167" i="7" s="1"/>
  <c r="D1167" i="7"/>
  <c r="B1159" i="7"/>
  <c r="E1159" i="7"/>
  <c r="F1159" i="7" s="1"/>
  <c r="D1159" i="7"/>
  <c r="B1151" i="7"/>
  <c r="E1151" i="7"/>
  <c r="F1151" i="7" s="1"/>
  <c r="D1151" i="7"/>
  <c r="B1143" i="7"/>
  <c r="E1143" i="7"/>
  <c r="F1143" i="7" s="1"/>
  <c r="D1143" i="7"/>
  <c r="B1135" i="7"/>
  <c r="E1135" i="7"/>
  <c r="F1135" i="7" s="1"/>
  <c r="D1135" i="7"/>
  <c r="B1127" i="7"/>
  <c r="E1127" i="7"/>
  <c r="F1127" i="7" s="1"/>
  <c r="D1127" i="7"/>
  <c r="B1119" i="7"/>
  <c r="E1119" i="7"/>
  <c r="F1119" i="7" s="1"/>
  <c r="D1119" i="7"/>
  <c r="B1111" i="7"/>
  <c r="E1111" i="7"/>
  <c r="F1111" i="7" s="1"/>
  <c r="D1111" i="7"/>
  <c r="B1103" i="7"/>
  <c r="E1103" i="7"/>
  <c r="F1103" i="7" s="1"/>
  <c r="D1103" i="7"/>
  <c r="B1095" i="7"/>
  <c r="E1095" i="7"/>
  <c r="F1095" i="7" s="1"/>
  <c r="D1095" i="7"/>
  <c r="B1087" i="7"/>
  <c r="E1087" i="7"/>
  <c r="F1087" i="7" s="1"/>
  <c r="D1087" i="7"/>
  <c r="B1079" i="7"/>
  <c r="E1079" i="7"/>
  <c r="F1079" i="7" s="1"/>
  <c r="D1079" i="7"/>
  <c r="B1071" i="7"/>
  <c r="E1071" i="7"/>
  <c r="F1071" i="7" s="1"/>
  <c r="D1071" i="7"/>
  <c r="B1063" i="7"/>
  <c r="E1063" i="7"/>
  <c r="F1063" i="7" s="1"/>
  <c r="D1063" i="7"/>
  <c r="B1056" i="7"/>
  <c r="E1056" i="7"/>
  <c r="F1056" i="7" s="1"/>
  <c r="D1056" i="7"/>
  <c r="B1048" i="7"/>
  <c r="E1048" i="7"/>
  <c r="F1048" i="7" s="1"/>
  <c r="D1048" i="7"/>
  <c r="B1040" i="7"/>
  <c r="E1040" i="7"/>
  <c r="F1040" i="7" s="1"/>
  <c r="D1040" i="7"/>
  <c r="B1032" i="7"/>
  <c r="E1032" i="7"/>
  <c r="F1032" i="7" s="1"/>
  <c r="D1032" i="7"/>
  <c r="B1024" i="7"/>
  <c r="E1024" i="7"/>
  <c r="F1024" i="7" s="1"/>
  <c r="D1024" i="7"/>
  <c r="B1016" i="7"/>
  <c r="E1016" i="7"/>
  <c r="F1016" i="7" s="1"/>
  <c r="D1016" i="7"/>
  <c r="B1008" i="7"/>
  <c r="E1008" i="7"/>
  <c r="F1008" i="7" s="1"/>
  <c r="D1008" i="7"/>
  <c r="B1000" i="7"/>
  <c r="E1000" i="7"/>
  <c r="F1000" i="7" s="1"/>
  <c r="D1000" i="7"/>
  <c r="B992" i="7"/>
  <c r="E992" i="7"/>
  <c r="F992" i="7" s="1"/>
  <c r="D992" i="7"/>
  <c r="B984" i="7"/>
  <c r="E984" i="7"/>
  <c r="F984" i="7" s="1"/>
  <c r="D984" i="7"/>
  <c r="B976" i="7"/>
  <c r="E976" i="7"/>
  <c r="F976" i="7" s="1"/>
  <c r="D976" i="7"/>
  <c r="B265" i="7"/>
  <c r="E265" i="7"/>
  <c r="F265" i="7" s="1"/>
  <c r="D265" i="7"/>
  <c r="B249" i="7"/>
  <c r="E249" i="7"/>
  <c r="F249" i="7" s="1"/>
  <c r="D249" i="7"/>
  <c r="B226" i="7"/>
  <c r="E226" i="7"/>
  <c r="F226" i="7" s="1"/>
  <c r="D226" i="7"/>
  <c r="B203" i="7"/>
  <c r="E203" i="7"/>
  <c r="F203" i="7" s="1"/>
  <c r="D203" i="7"/>
  <c r="B117" i="7"/>
  <c r="E117" i="7"/>
  <c r="F117" i="7" s="1"/>
  <c r="D117" i="7"/>
  <c r="B101" i="7"/>
  <c r="E101" i="7"/>
  <c r="F101" i="7" s="1"/>
  <c r="D101" i="7"/>
  <c r="B71" i="7"/>
  <c r="E71" i="7"/>
  <c r="F71" i="7" s="1"/>
  <c r="D71" i="7"/>
  <c r="B20" i="7"/>
  <c r="E20" i="7"/>
  <c r="F20" i="7" s="1"/>
  <c r="D20" i="7"/>
  <c r="B303" i="7"/>
  <c r="E303" i="7"/>
  <c r="F303" i="7" s="1"/>
  <c r="D303" i="7"/>
  <c r="B380" i="7"/>
  <c r="E380" i="7"/>
  <c r="F380" i="7" s="1"/>
  <c r="D380" i="7"/>
  <c r="B357" i="7"/>
  <c r="E357" i="7"/>
  <c r="F357" i="7" s="1"/>
  <c r="D357" i="7"/>
  <c r="B404" i="7"/>
  <c r="E404" i="7"/>
  <c r="F404" i="7" s="1"/>
  <c r="D404" i="7"/>
  <c r="B186" i="7"/>
  <c r="E186" i="7"/>
  <c r="F186" i="7" s="1"/>
  <c r="D186" i="7"/>
  <c r="B178" i="7"/>
  <c r="E178" i="7"/>
  <c r="F178" i="7" s="1"/>
  <c r="D178" i="7"/>
  <c r="B171" i="7"/>
  <c r="E171" i="7"/>
  <c r="F171" i="7" s="1"/>
  <c r="D171" i="7"/>
  <c r="B164" i="7"/>
  <c r="E164" i="7"/>
  <c r="F164" i="7" s="1"/>
  <c r="D164" i="7"/>
  <c r="B156" i="7"/>
  <c r="E156" i="7"/>
  <c r="F156" i="7" s="1"/>
  <c r="D156" i="7"/>
  <c r="B148" i="7"/>
  <c r="E148" i="7"/>
  <c r="F148" i="7" s="1"/>
  <c r="D148" i="7"/>
  <c r="B140" i="7"/>
  <c r="E140" i="7"/>
  <c r="F140" i="7" s="1"/>
  <c r="D140" i="7"/>
  <c r="B132" i="7"/>
  <c r="E132" i="7"/>
  <c r="F132" i="7" s="1"/>
  <c r="D132" i="7"/>
  <c r="B92" i="7"/>
  <c r="E92" i="7"/>
  <c r="F92" i="7" s="1"/>
  <c r="D92" i="7"/>
  <c r="B84" i="7"/>
  <c r="E84" i="7"/>
  <c r="F84" i="7" s="1"/>
  <c r="D84" i="7"/>
  <c r="B78" i="7"/>
  <c r="E78" i="7"/>
  <c r="F78" i="7" s="1"/>
  <c r="D78" i="7"/>
  <c r="B62" i="7"/>
  <c r="E62" i="7"/>
  <c r="F62" i="7" s="1"/>
  <c r="D62" i="7"/>
  <c r="B55" i="7"/>
  <c r="E55" i="7"/>
  <c r="F55" i="7" s="1"/>
  <c r="D55" i="7"/>
  <c r="B48" i="7"/>
  <c r="E48" i="7"/>
  <c r="F48" i="7" s="1"/>
  <c r="D48" i="7"/>
  <c r="B42" i="7"/>
  <c r="E42" i="7"/>
  <c r="F42" i="7" s="1"/>
  <c r="D42" i="7"/>
  <c r="B19" i="7"/>
  <c r="E19" i="7"/>
  <c r="F19" i="7" s="1"/>
  <c r="D19" i="7"/>
  <c r="B11" i="7"/>
  <c r="E11" i="7"/>
  <c r="F11" i="7" s="1"/>
  <c r="D11" i="7"/>
  <c r="B302" i="7"/>
  <c r="E302" i="7"/>
  <c r="F302" i="7" s="1"/>
  <c r="D302" i="7"/>
  <c r="B294" i="7"/>
  <c r="E294" i="7"/>
  <c r="F294" i="7" s="1"/>
  <c r="D294" i="7"/>
  <c r="B387" i="7"/>
  <c r="E387" i="7"/>
  <c r="F387" i="7" s="1"/>
  <c r="D387" i="7"/>
  <c r="B348" i="7"/>
  <c r="E348" i="7"/>
  <c r="F348" i="7" s="1"/>
  <c r="D348" i="7"/>
  <c r="B340" i="7"/>
  <c r="E340" i="7"/>
  <c r="F340" i="7" s="1"/>
  <c r="D340" i="7"/>
  <c r="B332" i="7"/>
  <c r="E332" i="7"/>
  <c r="F332" i="7" s="1"/>
  <c r="D332" i="7"/>
  <c r="B325" i="7"/>
  <c r="E325" i="7"/>
  <c r="F325" i="7" s="1"/>
  <c r="D325" i="7"/>
  <c r="B317" i="7"/>
  <c r="E317" i="7"/>
  <c r="F317" i="7" s="1"/>
  <c r="D317" i="7"/>
  <c r="B309" i="7"/>
  <c r="E309" i="7"/>
  <c r="F309" i="7" s="1"/>
  <c r="D309" i="7"/>
  <c r="B790" i="7"/>
  <c r="E790" i="7"/>
  <c r="F790" i="7" s="1"/>
  <c r="D790" i="7"/>
  <c r="B782" i="7"/>
  <c r="E782" i="7"/>
  <c r="F782" i="7" s="1"/>
  <c r="D782" i="7"/>
  <c r="B774" i="7"/>
  <c r="E774" i="7"/>
  <c r="F774" i="7" s="1"/>
  <c r="D774" i="7"/>
  <c r="B766" i="7"/>
  <c r="E766" i="7"/>
  <c r="F766" i="7" s="1"/>
  <c r="D766" i="7"/>
  <c r="B758" i="7"/>
  <c r="E758" i="7"/>
  <c r="F758" i="7" s="1"/>
  <c r="D758" i="7"/>
  <c r="B750" i="7"/>
  <c r="E750" i="7"/>
  <c r="F750" i="7" s="1"/>
  <c r="D750" i="7"/>
  <c r="B742" i="7"/>
  <c r="E742" i="7"/>
  <c r="F742" i="7" s="1"/>
  <c r="D742" i="7"/>
  <c r="B506" i="7"/>
  <c r="D506" i="7"/>
  <c r="E506" i="7"/>
  <c r="F506" i="7" s="1"/>
  <c r="B498" i="7"/>
  <c r="E498" i="7"/>
  <c r="F498" i="7" s="1"/>
  <c r="D498" i="7"/>
  <c r="B490" i="7"/>
  <c r="E490" i="7"/>
  <c r="F490" i="7" s="1"/>
  <c r="D490" i="7"/>
  <c r="B482" i="7"/>
  <c r="E482" i="7"/>
  <c r="F482" i="7" s="1"/>
  <c r="D482" i="7"/>
  <c r="B474" i="7"/>
  <c r="E474" i="7"/>
  <c r="F474" i="7" s="1"/>
  <c r="D474" i="7"/>
  <c r="B466" i="7"/>
  <c r="E466" i="7"/>
  <c r="F466" i="7" s="1"/>
  <c r="D466" i="7"/>
  <c r="B458" i="7"/>
  <c r="E458" i="7"/>
  <c r="F458" i="7" s="1"/>
  <c r="D458" i="7"/>
  <c r="B450" i="7"/>
  <c r="E450" i="7"/>
  <c r="F450" i="7" s="1"/>
  <c r="D450" i="7"/>
  <c r="B442" i="7"/>
  <c r="E442" i="7"/>
  <c r="F442" i="7" s="1"/>
  <c r="D442" i="7"/>
  <c r="B435" i="7"/>
  <c r="E435" i="7"/>
  <c r="F435" i="7" s="1"/>
  <c r="D435" i="7"/>
  <c r="B427" i="7"/>
  <c r="E427" i="7"/>
  <c r="F427" i="7" s="1"/>
  <c r="D427" i="7"/>
  <c r="B805" i="7"/>
  <c r="E805" i="7"/>
  <c r="F805" i="7" s="1"/>
  <c r="D805" i="7"/>
  <c r="B797" i="7"/>
  <c r="E797" i="7"/>
  <c r="F797" i="7" s="1"/>
  <c r="D797" i="7"/>
  <c r="B857" i="7"/>
  <c r="E857" i="7"/>
  <c r="F857" i="7" s="1"/>
  <c r="D857" i="7"/>
  <c r="B849" i="7"/>
  <c r="E849" i="7"/>
  <c r="F849" i="7" s="1"/>
  <c r="D849" i="7"/>
  <c r="B879" i="7"/>
  <c r="E879" i="7"/>
  <c r="F879" i="7" s="1"/>
  <c r="D879" i="7"/>
  <c r="B1265" i="7"/>
  <c r="E1265" i="7"/>
  <c r="F1265" i="7" s="1"/>
  <c r="D1265" i="7"/>
  <c r="B288" i="7"/>
  <c r="E288" i="7"/>
  <c r="F288" i="7" s="1"/>
  <c r="D288" i="7"/>
  <c r="B276" i="7"/>
  <c r="E276" i="7"/>
  <c r="F276" i="7" s="1"/>
  <c r="D276" i="7"/>
  <c r="B184" i="7"/>
  <c r="E184" i="7"/>
  <c r="F184" i="7" s="1"/>
  <c r="D184" i="7"/>
  <c r="B176" i="7"/>
  <c r="E176" i="7"/>
  <c r="F176" i="7" s="1"/>
  <c r="D176" i="7"/>
  <c r="B162" i="7"/>
  <c r="E162" i="7"/>
  <c r="F162" i="7" s="1"/>
  <c r="D162" i="7"/>
  <c r="B90" i="7"/>
  <c r="E90" i="7"/>
  <c r="F90" i="7" s="1"/>
  <c r="D90" i="7"/>
  <c r="B76" i="7"/>
  <c r="E76" i="7"/>
  <c r="F76" i="7" s="1"/>
  <c r="D76" i="7"/>
  <c r="B54" i="7"/>
  <c r="E54" i="7"/>
  <c r="F54" i="7" s="1"/>
  <c r="D54" i="7"/>
  <c r="B32" i="7"/>
  <c r="E32" i="7"/>
  <c r="F32" i="7" s="1"/>
  <c r="D32" i="7"/>
  <c r="B24" i="7"/>
  <c r="E24" i="7"/>
  <c r="F24" i="7" s="1"/>
  <c r="D24" i="7"/>
  <c r="B354" i="7"/>
  <c r="E354" i="7"/>
  <c r="F354" i="7" s="1"/>
  <c r="D354" i="7"/>
  <c r="B338" i="7"/>
  <c r="E338" i="7"/>
  <c r="F338" i="7" s="1"/>
  <c r="D338" i="7"/>
  <c r="B330" i="7"/>
  <c r="E330" i="7"/>
  <c r="F330" i="7" s="1"/>
  <c r="D330" i="7"/>
  <c r="B307" i="7"/>
  <c r="E307" i="7"/>
  <c r="F307" i="7" s="1"/>
  <c r="D307" i="7"/>
  <c r="B780" i="7"/>
  <c r="E780" i="7"/>
  <c r="F780" i="7" s="1"/>
  <c r="D780" i="7"/>
  <c r="B764" i="7"/>
  <c r="E764" i="7"/>
  <c r="F764" i="7" s="1"/>
  <c r="D764" i="7"/>
  <c r="B740" i="7"/>
  <c r="E740" i="7"/>
  <c r="F740" i="7" s="1"/>
  <c r="D740" i="7"/>
  <c r="B724" i="7"/>
  <c r="E724" i="7"/>
  <c r="F724" i="7" s="1"/>
  <c r="D724" i="7"/>
  <c r="B709" i="7"/>
  <c r="E709" i="7"/>
  <c r="F709" i="7" s="1"/>
  <c r="D709" i="7"/>
  <c r="B268" i="7"/>
  <c r="E268" i="7"/>
  <c r="F268" i="7" s="1"/>
  <c r="D268" i="7"/>
  <c r="B253" i="7"/>
  <c r="E253" i="7"/>
  <c r="F253" i="7" s="1"/>
  <c r="D253" i="7"/>
  <c r="B237" i="7"/>
  <c r="E237" i="7"/>
  <c r="F237" i="7" s="1"/>
  <c r="D237" i="7"/>
  <c r="B215" i="7"/>
  <c r="E215" i="7"/>
  <c r="F215" i="7" s="1"/>
  <c r="D215" i="7"/>
  <c r="B199" i="7"/>
  <c r="E199" i="7"/>
  <c r="F199" i="7" s="1"/>
  <c r="D199" i="7"/>
  <c r="B183" i="7"/>
  <c r="E183" i="7"/>
  <c r="F183" i="7" s="1"/>
  <c r="D183" i="7"/>
  <c r="B161" i="7"/>
  <c r="E161" i="7"/>
  <c r="F161" i="7" s="1"/>
  <c r="D161" i="7"/>
  <c r="B137" i="7"/>
  <c r="E137" i="7"/>
  <c r="F137" i="7" s="1"/>
  <c r="D137" i="7"/>
  <c r="B121" i="7"/>
  <c r="E121" i="7"/>
  <c r="F121" i="7" s="1"/>
  <c r="D121" i="7"/>
  <c r="B105" i="7"/>
  <c r="E105" i="7"/>
  <c r="F105" i="7" s="1"/>
  <c r="D105" i="7"/>
  <c r="B97" i="7"/>
  <c r="E97" i="7"/>
  <c r="F97" i="7" s="1"/>
  <c r="D97" i="7"/>
  <c r="B75" i="7"/>
  <c r="E75" i="7"/>
  <c r="F75" i="7" s="1"/>
  <c r="D75" i="7"/>
  <c r="B67" i="7"/>
  <c r="E67" i="7"/>
  <c r="F67" i="7" s="1"/>
  <c r="D67" i="7"/>
  <c r="B46" i="7"/>
  <c r="E46" i="7"/>
  <c r="F46" i="7" s="1"/>
  <c r="D46" i="7"/>
  <c r="B39" i="7"/>
  <c r="E39" i="7"/>
  <c r="F39" i="7" s="1"/>
  <c r="D39" i="7"/>
  <c r="B31" i="7"/>
  <c r="E31" i="7"/>
  <c r="F31" i="7" s="1"/>
  <c r="D31" i="7"/>
  <c r="B306" i="7"/>
  <c r="E306" i="7"/>
  <c r="F306" i="7" s="1"/>
  <c r="D306" i="7"/>
  <c r="B299" i="7"/>
  <c r="E299" i="7"/>
  <c r="F299" i="7" s="1"/>
  <c r="D299" i="7"/>
  <c r="B384" i="7"/>
  <c r="E384" i="7"/>
  <c r="F384" i="7" s="1"/>
  <c r="D384" i="7"/>
  <c r="B377" i="7"/>
  <c r="E377" i="7"/>
  <c r="F377" i="7" s="1"/>
  <c r="D377" i="7"/>
  <c r="B369" i="7"/>
  <c r="E369" i="7"/>
  <c r="F369" i="7" s="1"/>
  <c r="D369" i="7"/>
  <c r="B361" i="7"/>
  <c r="E361" i="7"/>
  <c r="F361" i="7" s="1"/>
  <c r="D361" i="7"/>
  <c r="B692" i="7"/>
  <c r="E692" i="7"/>
  <c r="F692" i="7" s="1"/>
  <c r="D692" i="7"/>
  <c r="B669" i="7"/>
  <c r="E669" i="7"/>
  <c r="F669" i="7" s="1"/>
  <c r="D669" i="7"/>
  <c r="B653" i="7"/>
  <c r="E653" i="7"/>
  <c r="F653" i="7" s="1"/>
  <c r="D653" i="7"/>
  <c r="B622" i="7"/>
  <c r="E622" i="7"/>
  <c r="F622" i="7" s="1"/>
  <c r="D622" i="7"/>
  <c r="B582" i="7"/>
  <c r="E582" i="7"/>
  <c r="F582" i="7" s="1"/>
  <c r="D582" i="7"/>
  <c r="B1401" i="7"/>
  <c r="E1401" i="7"/>
  <c r="F1401" i="7" s="1"/>
  <c r="D1401" i="7"/>
  <c r="B1321" i="7"/>
  <c r="E1321" i="7"/>
  <c r="F1321" i="7" s="1"/>
  <c r="D1321" i="7"/>
  <c r="B677" i="7"/>
  <c r="E677" i="7"/>
  <c r="F677" i="7" s="1"/>
  <c r="D677" i="7"/>
  <c r="B645" i="7"/>
  <c r="E645" i="7"/>
  <c r="F645" i="7" s="1"/>
  <c r="D645" i="7"/>
  <c r="B630" i="7"/>
  <c r="E630" i="7"/>
  <c r="F630" i="7" s="1"/>
  <c r="D630" i="7"/>
  <c r="B606" i="7"/>
  <c r="E606" i="7"/>
  <c r="F606" i="7" s="1"/>
  <c r="D606" i="7"/>
  <c r="B590" i="7"/>
  <c r="E590" i="7"/>
  <c r="F590" i="7" s="1"/>
  <c r="D590" i="7"/>
  <c r="B574" i="7"/>
  <c r="E574" i="7"/>
  <c r="F574" i="7" s="1"/>
  <c r="D574" i="7"/>
  <c r="B558" i="7"/>
  <c r="E558" i="7"/>
  <c r="F558" i="7" s="1"/>
  <c r="D558" i="7"/>
  <c r="B550" i="7"/>
  <c r="E550" i="7"/>
  <c r="F550" i="7" s="1"/>
  <c r="D550" i="7"/>
  <c r="B543" i="7"/>
  <c r="E543" i="7"/>
  <c r="F543" i="7" s="1"/>
  <c r="D543" i="7"/>
  <c r="B535" i="7"/>
  <c r="E535" i="7"/>
  <c r="F535" i="7" s="1"/>
  <c r="D535" i="7"/>
  <c r="B527" i="7"/>
  <c r="E527" i="7"/>
  <c r="F527" i="7" s="1"/>
  <c r="D527" i="7"/>
  <c r="B519" i="7"/>
  <c r="E519" i="7"/>
  <c r="F519" i="7" s="1"/>
  <c r="D519" i="7"/>
  <c r="B511" i="7"/>
  <c r="E511" i="7"/>
  <c r="F511" i="7" s="1"/>
  <c r="D511" i="7"/>
  <c r="B915" i="7"/>
  <c r="E915" i="7"/>
  <c r="F915" i="7" s="1"/>
  <c r="D915" i="7"/>
  <c r="B1361" i="7"/>
  <c r="E1361" i="7"/>
  <c r="F1361" i="7" s="1"/>
  <c r="D1361" i="7"/>
  <c r="B7" i="7"/>
  <c r="E7" i="7"/>
  <c r="F7" i="7" s="1"/>
  <c r="D7" i="7"/>
  <c r="B260" i="7"/>
  <c r="E260" i="7"/>
  <c r="F260" i="7" s="1"/>
  <c r="D260" i="7"/>
  <c r="B252" i="7"/>
  <c r="E252" i="7"/>
  <c r="F252" i="7" s="1"/>
  <c r="D252" i="7"/>
  <c r="B244" i="7"/>
  <c r="E244" i="7"/>
  <c r="F244" i="7" s="1"/>
  <c r="D244" i="7"/>
  <c r="B236" i="7"/>
  <c r="E236" i="7"/>
  <c r="F236" i="7" s="1"/>
  <c r="D236" i="7"/>
  <c r="B229" i="7"/>
  <c r="E229" i="7"/>
  <c r="F229" i="7" s="1"/>
  <c r="D229" i="7"/>
  <c r="B222" i="7"/>
  <c r="E222" i="7"/>
  <c r="F222" i="7" s="1"/>
  <c r="D222" i="7"/>
  <c r="B214" i="7"/>
  <c r="E214" i="7"/>
  <c r="F214" i="7" s="1"/>
  <c r="D214" i="7"/>
  <c r="B206" i="7"/>
  <c r="E206" i="7"/>
  <c r="F206" i="7" s="1"/>
  <c r="D206" i="7"/>
  <c r="B198" i="7"/>
  <c r="E198" i="7"/>
  <c r="F198" i="7" s="1"/>
  <c r="D198" i="7"/>
  <c r="B190" i="7"/>
  <c r="E190" i="7"/>
  <c r="F190" i="7" s="1"/>
  <c r="D190" i="7"/>
  <c r="B182" i="7"/>
  <c r="E182" i="7"/>
  <c r="F182" i="7" s="1"/>
  <c r="D182" i="7"/>
  <c r="B175" i="7"/>
  <c r="E175" i="7"/>
  <c r="F175" i="7" s="1"/>
  <c r="D175" i="7"/>
  <c r="B168" i="7"/>
  <c r="E168" i="7"/>
  <c r="F168" i="7" s="1"/>
  <c r="D168" i="7"/>
  <c r="B160" i="7"/>
  <c r="E160" i="7"/>
  <c r="F160" i="7" s="1"/>
  <c r="D160" i="7"/>
  <c r="B152" i="7"/>
  <c r="E152" i="7"/>
  <c r="F152" i="7" s="1"/>
  <c r="D152" i="7"/>
  <c r="B144" i="7"/>
  <c r="E144" i="7"/>
  <c r="F144" i="7" s="1"/>
  <c r="D144" i="7"/>
  <c r="B128" i="7"/>
  <c r="E128" i="7"/>
  <c r="F128" i="7" s="1"/>
  <c r="D128" i="7"/>
  <c r="B88" i="7"/>
  <c r="E88" i="7"/>
  <c r="F88" i="7" s="1"/>
  <c r="D88" i="7"/>
  <c r="B74" i="7"/>
  <c r="E74" i="7"/>
  <c r="F74" i="7" s="1"/>
  <c r="D74" i="7"/>
  <c r="B66" i="7"/>
  <c r="E66" i="7"/>
  <c r="F66" i="7" s="1"/>
  <c r="D66" i="7"/>
  <c r="B59" i="7"/>
  <c r="E59" i="7"/>
  <c r="F59" i="7" s="1"/>
  <c r="D59" i="7"/>
  <c r="B52" i="7"/>
  <c r="E52" i="7"/>
  <c r="F52" i="7" s="1"/>
  <c r="D52" i="7"/>
  <c r="B45" i="7"/>
  <c r="E45" i="7"/>
  <c r="F45" i="7" s="1"/>
  <c r="D45" i="7"/>
  <c r="B38" i="7"/>
  <c r="E38" i="7"/>
  <c r="F38" i="7" s="1"/>
  <c r="D38" i="7"/>
  <c r="B15" i="7"/>
  <c r="E15" i="7"/>
  <c r="F15" i="7" s="1"/>
  <c r="D15" i="7"/>
  <c r="B298" i="7"/>
  <c r="E298" i="7"/>
  <c r="F298" i="7" s="1"/>
  <c r="D298" i="7"/>
  <c r="B291" i="7"/>
  <c r="E291" i="7"/>
  <c r="F291" i="7" s="1"/>
  <c r="D291" i="7"/>
  <c r="B352" i="7"/>
  <c r="E352" i="7"/>
  <c r="F352" i="7" s="1"/>
  <c r="D352" i="7"/>
  <c r="B344" i="7"/>
  <c r="E344" i="7"/>
  <c r="F344" i="7" s="1"/>
  <c r="D344" i="7"/>
  <c r="B336" i="7"/>
  <c r="E336" i="7"/>
  <c r="F336" i="7" s="1"/>
  <c r="D336" i="7"/>
  <c r="B329" i="7"/>
  <c r="E329" i="7"/>
  <c r="F329" i="7" s="1"/>
  <c r="D329" i="7"/>
  <c r="B321" i="7"/>
  <c r="E321" i="7"/>
  <c r="F321" i="7" s="1"/>
  <c r="D321" i="7"/>
  <c r="B313" i="7"/>
  <c r="E313" i="7"/>
  <c r="F313" i="7" s="1"/>
  <c r="D313" i="7"/>
  <c r="B794" i="7"/>
  <c r="E794" i="7"/>
  <c r="F794" i="7" s="1"/>
  <c r="D794" i="7"/>
  <c r="B786" i="7"/>
  <c r="E786" i="7"/>
  <c r="F786" i="7" s="1"/>
  <c r="D786" i="7"/>
  <c r="B778" i="7"/>
  <c r="E778" i="7"/>
  <c r="F778" i="7" s="1"/>
  <c r="D778" i="7"/>
  <c r="B770" i="7"/>
  <c r="E770" i="7"/>
  <c r="F770" i="7" s="1"/>
  <c r="D770" i="7"/>
  <c r="B762" i="7"/>
  <c r="E762" i="7"/>
  <c r="F762" i="7" s="1"/>
  <c r="D762" i="7"/>
  <c r="B754" i="7"/>
  <c r="E754" i="7"/>
  <c r="F754" i="7" s="1"/>
  <c r="D754" i="7"/>
  <c r="B746" i="7"/>
  <c r="D746" i="7"/>
  <c r="E746" i="7"/>
  <c r="F746" i="7" s="1"/>
  <c r="B738" i="7"/>
  <c r="E738" i="7"/>
  <c r="F738" i="7" s="1"/>
  <c r="D738" i="7"/>
  <c r="B730" i="7"/>
  <c r="E730" i="7"/>
  <c r="F730" i="7" s="1"/>
  <c r="D730" i="7"/>
  <c r="B722" i="7"/>
  <c r="E722" i="7"/>
  <c r="F722" i="7" s="1"/>
  <c r="D722" i="7"/>
  <c r="B714" i="7"/>
  <c r="E714" i="7"/>
  <c r="F714" i="7" s="1"/>
  <c r="D714" i="7"/>
  <c r="B707" i="7"/>
  <c r="E707" i="7"/>
  <c r="F707" i="7" s="1"/>
  <c r="D707" i="7"/>
  <c r="B699" i="7"/>
  <c r="E699" i="7"/>
  <c r="F699" i="7" s="1"/>
  <c r="D699" i="7"/>
  <c r="B875" i="7"/>
  <c r="E875" i="7"/>
  <c r="F875" i="7" s="1"/>
  <c r="D875" i="7"/>
  <c r="B867" i="7"/>
  <c r="E867" i="7"/>
  <c r="F867" i="7" s="1"/>
  <c r="D867" i="7"/>
  <c r="B1309" i="7"/>
  <c r="E1309" i="7"/>
  <c r="F1309" i="7" s="1"/>
  <c r="D1309" i="7"/>
  <c r="B1301" i="7"/>
  <c r="E1301" i="7"/>
  <c r="F1301" i="7" s="1"/>
  <c r="D1301" i="7"/>
  <c r="B1293" i="7"/>
  <c r="E1293" i="7"/>
  <c r="F1293" i="7" s="1"/>
  <c r="D1293" i="7"/>
  <c r="B1285" i="7"/>
  <c r="E1285" i="7"/>
  <c r="F1285" i="7" s="1"/>
  <c r="D1285" i="7"/>
  <c r="B1277" i="7"/>
  <c r="E1277" i="7"/>
  <c r="F1277" i="7" s="1"/>
  <c r="B1269" i="7"/>
  <c r="E1269" i="7"/>
  <c r="F1269" i="7" s="1"/>
  <c r="D1269" i="7"/>
  <c r="B684" i="7"/>
  <c r="E684" i="7"/>
  <c r="F684" i="7" s="1"/>
  <c r="D684" i="7"/>
  <c r="B661" i="7"/>
  <c r="E661" i="7"/>
  <c r="F661" i="7" s="1"/>
  <c r="D661" i="7"/>
  <c r="B638" i="7"/>
  <c r="E638" i="7"/>
  <c r="F638" i="7" s="1"/>
  <c r="D638" i="7"/>
  <c r="B614" i="7"/>
  <c r="E614" i="7"/>
  <c r="F614" i="7" s="1"/>
  <c r="D614" i="7"/>
  <c r="B598" i="7"/>
  <c r="E598" i="7"/>
  <c r="F598" i="7" s="1"/>
  <c r="D598" i="7"/>
  <c r="B566" i="7"/>
  <c r="E566" i="7"/>
  <c r="F566" i="7" s="1"/>
  <c r="D566" i="7"/>
  <c r="B6" i="7"/>
  <c r="E6" i="7"/>
  <c r="F6" i="7" s="1"/>
  <c r="D6" i="7"/>
  <c r="B286" i="7"/>
  <c r="E286" i="7"/>
  <c r="F286" i="7" s="1"/>
  <c r="D286" i="7"/>
  <c r="B274" i="7"/>
  <c r="E274" i="7"/>
  <c r="F274" i="7" s="1"/>
  <c r="D274" i="7"/>
  <c r="B259" i="7"/>
  <c r="E259" i="7"/>
  <c r="F259" i="7" s="1"/>
  <c r="D259" i="7"/>
  <c r="B251" i="7"/>
  <c r="E251" i="7"/>
  <c r="F251" i="7" s="1"/>
  <c r="D251" i="7"/>
  <c r="B243" i="7"/>
  <c r="E243" i="7"/>
  <c r="F243" i="7" s="1"/>
  <c r="D243" i="7"/>
  <c r="B228" i="7"/>
  <c r="E228" i="7"/>
  <c r="F228" i="7" s="1"/>
  <c r="D228" i="7"/>
  <c r="B221" i="7"/>
  <c r="E221" i="7"/>
  <c r="F221" i="7" s="1"/>
  <c r="D221" i="7"/>
  <c r="B213" i="7"/>
  <c r="E213" i="7"/>
  <c r="F213" i="7" s="1"/>
  <c r="D213" i="7"/>
  <c r="B205" i="7"/>
  <c r="E205" i="7"/>
  <c r="F205" i="7" s="1"/>
  <c r="D205" i="7"/>
  <c r="B197" i="7"/>
  <c r="E197" i="7"/>
  <c r="F197" i="7" s="1"/>
  <c r="D197" i="7"/>
  <c r="B189" i="7"/>
  <c r="E189" i="7"/>
  <c r="F189" i="7" s="1"/>
  <c r="D189" i="7"/>
  <c r="B181" i="7"/>
  <c r="E181" i="7"/>
  <c r="F181" i="7" s="1"/>
  <c r="D181" i="7"/>
  <c r="B174" i="7"/>
  <c r="E174" i="7"/>
  <c r="F174" i="7" s="1"/>
  <c r="D174" i="7"/>
  <c r="B167" i="7"/>
  <c r="E167" i="7"/>
  <c r="F167" i="7" s="1"/>
  <c r="D167" i="7"/>
  <c r="B159" i="7"/>
  <c r="E159" i="7"/>
  <c r="F159" i="7" s="1"/>
  <c r="D159" i="7"/>
  <c r="B151" i="7"/>
  <c r="E151" i="7"/>
  <c r="F151" i="7" s="1"/>
  <c r="D151" i="7"/>
  <c r="B143" i="7"/>
  <c r="E143" i="7"/>
  <c r="F143" i="7" s="1"/>
  <c r="D143" i="7"/>
  <c r="B135" i="7"/>
  <c r="E135" i="7"/>
  <c r="F135" i="7" s="1"/>
  <c r="D135" i="7"/>
  <c r="B127" i="7"/>
  <c r="E127" i="7"/>
  <c r="F127" i="7" s="1"/>
  <c r="D127" i="7"/>
  <c r="B119" i="7"/>
  <c r="E119" i="7"/>
  <c r="F119" i="7" s="1"/>
  <c r="D119" i="7"/>
  <c r="B111" i="7"/>
  <c r="E111" i="7"/>
  <c r="F111" i="7" s="1"/>
  <c r="D111" i="7"/>
  <c r="B103" i="7"/>
  <c r="E103" i="7"/>
  <c r="F103" i="7" s="1"/>
  <c r="D103" i="7"/>
  <c r="B95" i="7"/>
  <c r="E95" i="7"/>
  <c r="F95" i="7" s="1"/>
  <c r="D95" i="7"/>
  <c r="B87" i="7"/>
  <c r="E87" i="7"/>
  <c r="F87" i="7" s="1"/>
  <c r="D87" i="7"/>
  <c r="B73" i="7"/>
  <c r="E73" i="7"/>
  <c r="F73" i="7" s="1"/>
  <c r="D73" i="7"/>
  <c r="B29" i="7"/>
  <c r="E29" i="7"/>
  <c r="F29" i="7" s="1"/>
  <c r="D29" i="7"/>
  <c r="B22" i="7"/>
  <c r="E22" i="7"/>
  <c r="F22" i="7" s="1"/>
  <c r="D22" i="7"/>
  <c r="B304" i="7"/>
  <c r="E304" i="7"/>
  <c r="F304" i="7" s="1"/>
  <c r="D304" i="7"/>
  <c r="B382" i="7"/>
  <c r="E382" i="7"/>
  <c r="F382" i="7" s="1"/>
  <c r="D382" i="7"/>
  <c r="B375" i="7"/>
  <c r="E375" i="7"/>
  <c r="F375" i="7" s="1"/>
  <c r="D375" i="7"/>
  <c r="B367" i="7"/>
  <c r="E367" i="7"/>
  <c r="F367" i="7" s="1"/>
  <c r="D367" i="7"/>
  <c r="B359" i="7"/>
  <c r="E359" i="7"/>
  <c r="F359" i="7" s="1"/>
  <c r="D359" i="7"/>
  <c r="B422" i="7"/>
  <c r="E422" i="7"/>
  <c r="F422" i="7" s="1"/>
  <c r="D422" i="7"/>
  <c r="B913" i="7"/>
  <c r="E913" i="7"/>
  <c r="F913" i="7" s="1"/>
  <c r="D913" i="7"/>
  <c r="B906" i="7"/>
  <c r="E906" i="7"/>
  <c r="F906" i="7" s="1"/>
  <c r="D906" i="7"/>
  <c r="B898" i="7"/>
  <c r="E898" i="7"/>
  <c r="F898" i="7" s="1"/>
  <c r="D898" i="7"/>
  <c r="B890" i="7"/>
  <c r="E890" i="7"/>
  <c r="F890" i="7" s="1"/>
  <c r="D890" i="7"/>
  <c r="B882" i="7"/>
  <c r="E882" i="7"/>
  <c r="F882" i="7" s="1"/>
  <c r="D882" i="7"/>
  <c r="B1319" i="7"/>
  <c r="E1319" i="7"/>
  <c r="F1319" i="7" s="1"/>
  <c r="D1319" i="7"/>
  <c r="B1420" i="7"/>
  <c r="E1420" i="7"/>
  <c r="F1420" i="7" s="1"/>
  <c r="B1412" i="7"/>
  <c r="E1412" i="7"/>
  <c r="F1412" i="7" s="1"/>
  <c r="D1412" i="7"/>
  <c r="B282" i="7"/>
  <c r="E282" i="7"/>
  <c r="F282" i="7" s="1"/>
  <c r="D282" i="7"/>
  <c r="B269" i="7"/>
  <c r="E269" i="7"/>
  <c r="F269" i="7" s="1"/>
  <c r="D269" i="7"/>
  <c r="B262" i="7"/>
  <c r="E262" i="7"/>
  <c r="F262" i="7" s="1"/>
  <c r="D262" i="7"/>
  <c r="B192" i="7"/>
  <c r="E192" i="7"/>
  <c r="F192" i="7" s="1"/>
  <c r="D192" i="7"/>
  <c r="B170" i="7"/>
  <c r="E170" i="7"/>
  <c r="F170" i="7" s="1"/>
  <c r="D170" i="7"/>
  <c r="B154" i="7"/>
  <c r="E154" i="7"/>
  <c r="F154" i="7" s="1"/>
  <c r="D154" i="7"/>
  <c r="B146" i="7"/>
  <c r="E146" i="7"/>
  <c r="F146" i="7" s="1"/>
  <c r="D146" i="7"/>
  <c r="B82" i="7"/>
  <c r="E82" i="7"/>
  <c r="F82" i="7" s="1"/>
  <c r="D82" i="7"/>
  <c r="B68" i="7"/>
  <c r="E68" i="7"/>
  <c r="F68" i="7" s="1"/>
  <c r="D68" i="7"/>
  <c r="B60" i="7"/>
  <c r="E60" i="7"/>
  <c r="F60" i="7" s="1"/>
  <c r="D60" i="7"/>
  <c r="B47" i="7"/>
  <c r="E47" i="7"/>
  <c r="F47" i="7" s="1"/>
  <c r="D47" i="7"/>
  <c r="B40" i="7"/>
  <c r="E40" i="7"/>
  <c r="F40" i="7" s="1"/>
  <c r="D40" i="7"/>
  <c r="B17" i="7"/>
  <c r="E17" i="7"/>
  <c r="F17" i="7" s="1"/>
  <c r="D17" i="7"/>
  <c r="B292" i="7"/>
  <c r="E292" i="7"/>
  <c r="F292" i="7" s="1"/>
  <c r="D292" i="7"/>
  <c r="B346" i="7"/>
  <c r="E346" i="7"/>
  <c r="F346" i="7" s="1"/>
  <c r="D346" i="7"/>
  <c r="B323" i="7"/>
  <c r="E323" i="7"/>
  <c r="F323" i="7" s="1"/>
  <c r="D323" i="7"/>
  <c r="B315" i="7"/>
  <c r="E315" i="7"/>
  <c r="F315" i="7" s="1"/>
  <c r="D315" i="7"/>
  <c r="B788" i="7"/>
  <c r="E788" i="7"/>
  <c r="F788" i="7" s="1"/>
  <c r="D788" i="7"/>
  <c r="B772" i="7"/>
  <c r="E772" i="7"/>
  <c r="F772" i="7" s="1"/>
  <c r="D772" i="7"/>
  <c r="B756" i="7"/>
  <c r="E756" i="7"/>
  <c r="F756" i="7" s="1"/>
  <c r="D756" i="7"/>
  <c r="B748" i="7"/>
  <c r="E748" i="7"/>
  <c r="F748" i="7" s="1"/>
  <c r="D748" i="7"/>
  <c r="B732" i="7"/>
  <c r="E732" i="7"/>
  <c r="F732" i="7" s="1"/>
  <c r="D732" i="7"/>
  <c r="B716" i="7"/>
  <c r="E716" i="7"/>
  <c r="F716" i="7" s="1"/>
  <c r="D716" i="7"/>
  <c r="B701" i="7"/>
  <c r="E701" i="7"/>
  <c r="F701" i="7" s="1"/>
  <c r="D701" i="7"/>
  <c r="B8" i="7"/>
  <c r="E8" i="7"/>
  <c r="F8" i="7" s="1"/>
  <c r="D8" i="7"/>
  <c r="B287" i="7"/>
  <c r="E287" i="7"/>
  <c r="F287" i="7" s="1"/>
  <c r="D287" i="7"/>
  <c r="B281" i="7"/>
  <c r="E281" i="7"/>
  <c r="F281" i="7" s="1"/>
  <c r="D281" i="7"/>
  <c r="B275" i="7"/>
  <c r="E275" i="7"/>
  <c r="F275" i="7" s="1"/>
  <c r="D275" i="7"/>
  <c r="B261" i="7"/>
  <c r="E261" i="7"/>
  <c r="F261" i="7" s="1"/>
  <c r="D261" i="7"/>
  <c r="B245" i="7"/>
  <c r="E245" i="7"/>
  <c r="F245" i="7" s="1"/>
  <c r="D245" i="7"/>
  <c r="B230" i="7"/>
  <c r="E230" i="7"/>
  <c r="F230" i="7" s="1"/>
  <c r="D230" i="7"/>
  <c r="B223" i="7"/>
  <c r="E223" i="7"/>
  <c r="F223" i="7" s="1"/>
  <c r="D223" i="7"/>
  <c r="B207" i="7"/>
  <c r="E207" i="7"/>
  <c r="F207" i="7" s="1"/>
  <c r="D207" i="7"/>
  <c r="B191" i="7"/>
  <c r="E191" i="7"/>
  <c r="F191" i="7" s="1"/>
  <c r="D191" i="7"/>
  <c r="B169" i="7"/>
  <c r="E169" i="7"/>
  <c r="F169" i="7" s="1"/>
  <c r="D169" i="7"/>
  <c r="B153" i="7"/>
  <c r="E153" i="7"/>
  <c r="F153" i="7" s="1"/>
  <c r="D153" i="7"/>
  <c r="B145" i="7"/>
  <c r="E145" i="7"/>
  <c r="F145" i="7" s="1"/>
  <c r="D145" i="7"/>
  <c r="B129" i="7"/>
  <c r="E129" i="7"/>
  <c r="F129" i="7" s="1"/>
  <c r="D129" i="7"/>
  <c r="B113" i="7"/>
  <c r="E113" i="7"/>
  <c r="F113" i="7" s="1"/>
  <c r="D113" i="7"/>
  <c r="B53" i="7"/>
  <c r="E53" i="7"/>
  <c r="F53" i="7" s="1"/>
  <c r="D53" i="7"/>
  <c r="B5" i="7"/>
  <c r="E5" i="7"/>
  <c r="F5" i="7" s="1"/>
  <c r="D5" i="7"/>
  <c r="B285" i="7"/>
  <c r="E285" i="7"/>
  <c r="F285" i="7" s="1"/>
  <c r="D285" i="7"/>
  <c r="B273" i="7"/>
  <c r="E273" i="7"/>
  <c r="F273" i="7" s="1"/>
  <c r="D273" i="7"/>
  <c r="B266" i="7"/>
  <c r="E266" i="7"/>
  <c r="F266" i="7" s="1"/>
  <c r="D266" i="7"/>
  <c r="B258" i="7"/>
  <c r="E258" i="7"/>
  <c r="F258" i="7" s="1"/>
  <c r="D258" i="7"/>
  <c r="B250" i="7"/>
  <c r="E250" i="7"/>
  <c r="F250" i="7" s="1"/>
  <c r="D250" i="7"/>
  <c r="B242" i="7"/>
  <c r="E242" i="7"/>
  <c r="F242" i="7" s="1"/>
  <c r="D242" i="7"/>
  <c r="B227" i="7"/>
  <c r="E227" i="7"/>
  <c r="F227" i="7" s="1"/>
  <c r="D227" i="7"/>
  <c r="B220" i="7"/>
  <c r="E220" i="7"/>
  <c r="F220" i="7" s="1"/>
  <c r="D220" i="7"/>
  <c r="B212" i="7"/>
  <c r="E212" i="7"/>
  <c r="F212" i="7" s="1"/>
  <c r="D212" i="7"/>
  <c r="B204" i="7"/>
  <c r="E204" i="7"/>
  <c r="F204" i="7" s="1"/>
  <c r="D204" i="7"/>
  <c r="B196" i="7"/>
  <c r="E196" i="7"/>
  <c r="F196" i="7" s="1"/>
  <c r="D196" i="7"/>
  <c r="B188" i="7"/>
  <c r="E188" i="7"/>
  <c r="F188" i="7" s="1"/>
  <c r="D188" i="7"/>
  <c r="B180" i="7"/>
  <c r="E180" i="7"/>
  <c r="F180" i="7" s="1"/>
  <c r="D180" i="7"/>
  <c r="B173" i="7"/>
  <c r="E173" i="7"/>
  <c r="F173" i="7" s="1"/>
  <c r="D173" i="7"/>
  <c r="B166" i="7"/>
  <c r="E166" i="7"/>
  <c r="F166" i="7" s="1"/>
  <c r="D166" i="7"/>
  <c r="B158" i="7"/>
  <c r="E158" i="7"/>
  <c r="F158" i="7" s="1"/>
  <c r="D158" i="7"/>
  <c r="B126" i="7"/>
  <c r="E126" i="7"/>
  <c r="F126" i="7" s="1"/>
  <c r="D126" i="7"/>
  <c r="B118" i="7"/>
  <c r="E118" i="7"/>
  <c r="F118" i="7" s="1"/>
  <c r="D118" i="7"/>
  <c r="B110" i="7"/>
  <c r="E110" i="7"/>
  <c r="F110" i="7" s="1"/>
  <c r="D110" i="7"/>
  <c r="B102" i="7"/>
  <c r="E102" i="7"/>
  <c r="F102" i="7" s="1"/>
  <c r="D102" i="7"/>
  <c r="B94" i="7"/>
  <c r="E94" i="7"/>
  <c r="F94" i="7" s="1"/>
  <c r="D94" i="7"/>
  <c r="B86" i="7"/>
  <c r="E86" i="7"/>
  <c r="F86" i="7" s="1"/>
  <c r="D86" i="7"/>
  <c r="B79" i="7"/>
  <c r="E79" i="7"/>
  <c r="F79" i="7" s="1"/>
  <c r="D79" i="7"/>
  <c r="B64" i="7"/>
  <c r="E64" i="7"/>
  <c r="F64" i="7" s="1"/>
  <c r="D64" i="7"/>
  <c r="B57" i="7"/>
  <c r="E57" i="7"/>
  <c r="F57" i="7" s="1"/>
  <c r="D57" i="7"/>
  <c r="B50" i="7"/>
  <c r="E50" i="7"/>
  <c r="F50" i="7" s="1"/>
  <c r="D50" i="7"/>
  <c r="B43" i="7"/>
  <c r="E43" i="7"/>
  <c r="F43" i="7" s="1"/>
  <c r="D43" i="7"/>
  <c r="B36" i="7"/>
  <c r="E36" i="7"/>
  <c r="F36" i="7" s="1"/>
  <c r="D36" i="7"/>
  <c r="B13" i="7"/>
  <c r="E13" i="7"/>
  <c r="F13" i="7" s="1"/>
  <c r="D13" i="7"/>
  <c r="B296" i="7"/>
  <c r="E296" i="7"/>
  <c r="F296" i="7" s="1"/>
  <c r="D296" i="7"/>
  <c r="B290" i="7"/>
  <c r="E290" i="7"/>
  <c r="F290" i="7" s="1"/>
  <c r="D290" i="7"/>
  <c r="B350" i="7"/>
  <c r="E350" i="7"/>
  <c r="F350" i="7" s="1"/>
  <c r="D350" i="7"/>
  <c r="B342" i="7"/>
  <c r="E342" i="7"/>
  <c r="F342" i="7" s="1"/>
  <c r="D342" i="7"/>
  <c r="B334" i="7"/>
  <c r="E334" i="7"/>
  <c r="F334" i="7" s="1"/>
  <c r="D334" i="7"/>
  <c r="B327" i="7"/>
  <c r="E327" i="7"/>
  <c r="F327" i="7" s="1"/>
  <c r="D327" i="7"/>
  <c r="B319" i="7"/>
  <c r="E319" i="7"/>
  <c r="F319" i="7" s="1"/>
  <c r="D319" i="7"/>
  <c r="B311" i="7"/>
  <c r="E311" i="7"/>
  <c r="F311" i="7" s="1"/>
  <c r="D311" i="7"/>
  <c r="B792" i="7"/>
  <c r="E792" i="7"/>
  <c r="F792" i="7" s="1"/>
  <c r="D792" i="7"/>
  <c r="B784" i="7"/>
  <c r="E784" i="7"/>
  <c r="F784" i="7" s="1"/>
  <c r="D784" i="7"/>
  <c r="B776" i="7"/>
  <c r="E776" i="7"/>
  <c r="F776" i="7" s="1"/>
  <c r="D776" i="7"/>
  <c r="B768" i="7"/>
  <c r="E768" i="7"/>
  <c r="F768" i="7" s="1"/>
  <c r="D768" i="7"/>
  <c r="B760" i="7"/>
  <c r="E760" i="7"/>
  <c r="F760" i="7" s="1"/>
  <c r="D760" i="7"/>
  <c r="B752" i="7"/>
  <c r="E752" i="7"/>
  <c r="F752" i="7" s="1"/>
  <c r="D752" i="7"/>
  <c r="B744" i="7"/>
  <c r="E744" i="7"/>
  <c r="F744" i="7" s="1"/>
  <c r="D744" i="7"/>
  <c r="B736" i="7"/>
  <c r="E736" i="7"/>
  <c r="F736" i="7" s="1"/>
  <c r="D736" i="7"/>
  <c r="B728" i="7"/>
  <c r="D728" i="7"/>
  <c r="E728" i="7"/>
  <c r="F728" i="7" s="1"/>
  <c r="B959" i="7"/>
  <c r="E959" i="7"/>
  <c r="F959" i="7" s="1"/>
  <c r="D959" i="7"/>
  <c r="B951" i="7"/>
  <c r="E951" i="7"/>
  <c r="F951" i="7" s="1"/>
  <c r="D951" i="7"/>
  <c r="B943" i="7"/>
  <c r="E943" i="7"/>
  <c r="F943" i="7" s="1"/>
  <c r="D943" i="7"/>
  <c r="B936" i="7"/>
  <c r="E936" i="7"/>
  <c r="F936" i="7" s="1"/>
  <c r="D936" i="7"/>
  <c r="B928" i="7"/>
  <c r="E928" i="7"/>
  <c r="F928" i="7" s="1"/>
  <c r="D928" i="7"/>
  <c r="B920" i="7"/>
  <c r="E920" i="7"/>
  <c r="F920" i="7" s="1"/>
  <c r="D920" i="7"/>
  <c r="B1358" i="7"/>
  <c r="E1358" i="7"/>
  <c r="F1358" i="7" s="1"/>
  <c r="D1358" i="7"/>
  <c r="B1350" i="7"/>
  <c r="E1350" i="7"/>
  <c r="F1350" i="7" s="1"/>
  <c r="D1350" i="7"/>
  <c r="B1342" i="7"/>
  <c r="E1342" i="7"/>
  <c r="F1342" i="7" s="1"/>
  <c r="D1342" i="7"/>
  <c r="B1334" i="7"/>
  <c r="E1334" i="7"/>
  <c r="F1334" i="7" s="1"/>
  <c r="D1334" i="7"/>
  <c r="B1326" i="7"/>
  <c r="E1326" i="7"/>
  <c r="F1326" i="7" s="1"/>
  <c r="D1326" i="7"/>
  <c r="D1277" i="7"/>
  <c r="B289" i="7"/>
  <c r="E289" i="7"/>
  <c r="F289" i="7" s="1"/>
  <c r="D289" i="7"/>
  <c r="B381" i="7"/>
  <c r="E381" i="7"/>
  <c r="F381" i="7" s="1"/>
  <c r="D381" i="7"/>
  <c r="B374" i="7"/>
  <c r="E374" i="7"/>
  <c r="F374" i="7" s="1"/>
  <c r="D374" i="7"/>
  <c r="B366" i="7"/>
  <c r="E366" i="7"/>
  <c r="F366" i="7" s="1"/>
  <c r="D366" i="7"/>
  <c r="B358" i="7"/>
  <c r="E358" i="7"/>
  <c r="F358" i="7" s="1"/>
  <c r="D358" i="7"/>
  <c r="B351" i="7"/>
  <c r="E351" i="7"/>
  <c r="F351" i="7" s="1"/>
  <c r="D351" i="7"/>
  <c r="B343" i="7"/>
  <c r="E343" i="7"/>
  <c r="F343" i="7" s="1"/>
  <c r="D343" i="7"/>
  <c r="B335" i="7"/>
  <c r="E335" i="7"/>
  <c r="F335" i="7" s="1"/>
  <c r="B328" i="7"/>
  <c r="E328" i="7"/>
  <c r="F328" i="7" s="1"/>
  <c r="D328" i="7"/>
  <c r="B320" i="7"/>
  <c r="E320" i="7"/>
  <c r="F320" i="7" s="1"/>
  <c r="D320" i="7"/>
  <c r="B312" i="7"/>
  <c r="E312" i="7"/>
  <c r="F312" i="7" s="1"/>
  <c r="D312" i="7"/>
  <c r="B793" i="7"/>
  <c r="E793" i="7"/>
  <c r="F793" i="7" s="1"/>
  <c r="D793" i="7"/>
  <c r="B785" i="7"/>
  <c r="E785" i="7"/>
  <c r="F785" i="7" s="1"/>
  <c r="D785" i="7"/>
  <c r="B777" i="7"/>
  <c r="E777" i="7"/>
  <c r="F777" i="7" s="1"/>
  <c r="D777" i="7"/>
  <c r="B769" i="7"/>
  <c r="E769" i="7"/>
  <c r="F769" i="7" s="1"/>
  <c r="D769" i="7"/>
  <c r="B761" i="7"/>
  <c r="E761" i="7"/>
  <c r="F761" i="7" s="1"/>
  <c r="D761" i="7"/>
  <c r="B753" i="7"/>
  <c r="E753" i="7"/>
  <c r="F753" i="7" s="1"/>
  <c r="D753" i="7"/>
  <c r="B745" i="7"/>
  <c r="E745" i="7"/>
  <c r="F745" i="7" s="1"/>
  <c r="D745" i="7"/>
  <c r="B737" i="7"/>
  <c r="E737" i="7"/>
  <c r="F737" i="7" s="1"/>
  <c r="D737" i="7"/>
  <c r="B729" i="7"/>
  <c r="E729" i="7"/>
  <c r="F729" i="7" s="1"/>
  <c r="D729" i="7"/>
  <c r="B721" i="7"/>
  <c r="E721" i="7"/>
  <c r="F721" i="7" s="1"/>
  <c r="D721" i="7"/>
  <c r="B713" i="7"/>
  <c r="E713" i="7"/>
  <c r="F713" i="7" s="1"/>
  <c r="D713" i="7"/>
  <c r="B706" i="7"/>
  <c r="E706" i="7"/>
  <c r="F706" i="7" s="1"/>
  <c r="D706" i="7"/>
  <c r="B698" i="7"/>
  <c r="E698" i="7"/>
  <c r="F698" i="7" s="1"/>
  <c r="D698" i="7"/>
  <c r="B691" i="7"/>
  <c r="E691" i="7"/>
  <c r="F691" i="7" s="1"/>
  <c r="D691" i="7"/>
  <c r="B683" i="7"/>
  <c r="E683" i="7"/>
  <c r="F683" i="7" s="1"/>
  <c r="D683" i="7"/>
  <c r="B676" i="7"/>
  <c r="E676" i="7"/>
  <c r="F676" i="7" s="1"/>
  <c r="D676" i="7"/>
  <c r="B668" i="7"/>
  <c r="E668" i="7"/>
  <c r="F668" i="7" s="1"/>
  <c r="D668" i="7"/>
  <c r="B660" i="7"/>
  <c r="E660" i="7"/>
  <c r="F660" i="7" s="1"/>
  <c r="D660" i="7"/>
  <c r="B652" i="7"/>
  <c r="E652" i="7"/>
  <c r="F652" i="7" s="1"/>
  <c r="B644" i="7"/>
  <c r="E644" i="7"/>
  <c r="F644" i="7" s="1"/>
  <c r="D644" i="7"/>
  <c r="B637" i="7"/>
  <c r="E637" i="7"/>
  <c r="F637" i="7" s="1"/>
  <c r="D637" i="7"/>
  <c r="B629" i="7"/>
  <c r="E629" i="7"/>
  <c r="F629" i="7" s="1"/>
  <c r="B621" i="7"/>
  <c r="E621" i="7"/>
  <c r="F621" i="7" s="1"/>
  <c r="D621" i="7"/>
  <c r="B613" i="7"/>
  <c r="E613" i="7"/>
  <c r="F613" i="7" s="1"/>
  <c r="D613" i="7"/>
  <c r="B605" i="7"/>
  <c r="E605" i="7"/>
  <c r="F605" i="7" s="1"/>
  <c r="B597" i="7"/>
  <c r="E597" i="7"/>
  <c r="F597" i="7" s="1"/>
  <c r="D597" i="7"/>
  <c r="B589" i="7"/>
  <c r="E589" i="7"/>
  <c r="F589" i="7" s="1"/>
  <c r="D589" i="7"/>
  <c r="B581" i="7"/>
  <c r="E581" i="7"/>
  <c r="F581" i="7" s="1"/>
  <c r="D581" i="7"/>
  <c r="B573" i="7"/>
  <c r="E573" i="7"/>
  <c r="F573" i="7" s="1"/>
  <c r="D573" i="7"/>
  <c r="B565" i="7"/>
  <c r="E565" i="7"/>
  <c r="F565" i="7" s="1"/>
  <c r="D565" i="7"/>
  <c r="B557" i="7"/>
  <c r="E557" i="7"/>
  <c r="F557" i="7" s="1"/>
  <c r="D557" i="7"/>
  <c r="B549" i="7"/>
  <c r="E549" i="7"/>
  <c r="F549" i="7" s="1"/>
  <c r="D549" i="7"/>
  <c r="B542" i="7"/>
  <c r="E542" i="7"/>
  <c r="F542" i="7" s="1"/>
  <c r="B534" i="7"/>
  <c r="E534" i="7"/>
  <c r="F534" i="7" s="1"/>
  <c r="D534" i="7"/>
  <c r="B526" i="7"/>
  <c r="E526" i="7"/>
  <c r="F526" i="7" s="1"/>
  <c r="D526" i="7"/>
  <c r="B518" i="7"/>
  <c r="E518" i="7"/>
  <c r="F518" i="7" s="1"/>
  <c r="D518" i="7"/>
  <c r="B510" i="7"/>
  <c r="E510" i="7"/>
  <c r="F510" i="7" s="1"/>
  <c r="D510" i="7"/>
  <c r="B503" i="7"/>
  <c r="E503" i="7"/>
  <c r="F503" i="7" s="1"/>
  <c r="D503" i="7"/>
  <c r="B495" i="7"/>
  <c r="E495" i="7"/>
  <c r="F495" i="7" s="1"/>
  <c r="D495" i="7"/>
  <c r="B487" i="7"/>
  <c r="E487" i="7"/>
  <c r="F487" i="7" s="1"/>
  <c r="D487" i="7"/>
  <c r="B479" i="7"/>
  <c r="E479" i="7"/>
  <c r="F479" i="7" s="1"/>
  <c r="D479" i="7"/>
  <c r="B471" i="7"/>
  <c r="E471" i="7"/>
  <c r="F471" i="7" s="1"/>
  <c r="D471" i="7"/>
  <c r="B463" i="7"/>
  <c r="E463" i="7"/>
  <c r="F463" i="7" s="1"/>
  <c r="D463" i="7"/>
  <c r="B455" i="7"/>
  <c r="E455" i="7"/>
  <c r="F455" i="7" s="1"/>
  <c r="D455" i="7"/>
  <c r="B447" i="7"/>
  <c r="E447" i="7"/>
  <c r="F447" i="7" s="1"/>
  <c r="D447" i="7"/>
  <c r="B439" i="7"/>
  <c r="E439" i="7"/>
  <c r="F439" i="7" s="1"/>
  <c r="D439" i="7"/>
  <c r="B432" i="7"/>
  <c r="E432" i="7"/>
  <c r="F432" i="7" s="1"/>
  <c r="D432" i="7"/>
  <c r="B424" i="7"/>
  <c r="E424" i="7"/>
  <c r="F424" i="7" s="1"/>
  <c r="D424" i="7"/>
  <c r="B417" i="7"/>
  <c r="E417" i="7"/>
  <c r="F417" i="7" s="1"/>
  <c r="D417" i="7"/>
  <c r="B409" i="7"/>
  <c r="E409" i="7"/>
  <c r="F409" i="7" s="1"/>
  <c r="D409" i="7"/>
  <c r="B401" i="7"/>
  <c r="E401" i="7"/>
  <c r="F401" i="7" s="1"/>
  <c r="D401" i="7"/>
  <c r="B393" i="7"/>
  <c r="E393" i="7"/>
  <c r="F393" i="7" s="1"/>
  <c r="D393" i="7"/>
  <c r="B842" i="7"/>
  <c r="E842" i="7"/>
  <c r="F842" i="7" s="1"/>
  <c r="D842" i="7"/>
  <c r="B834" i="7"/>
  <c r="E834" i="7"/>
  <c r="F834" i="7" s="1"/>
  <c r="D834" i="7"/>
  <c r="B819" i="7"/>
  <c r="E819" i="7"/>
  <c r="F819" i="7" s="1"/>
  <c r="D819" i="7"/>
  <c r="B804" i="7"/>
  <c r="E804" i="7"/>
  <c r="F804" i="7" s="1"/>
  <c r="D804" i="7"/>
  <c r="B796" i="7"/>
  <c r="E796" i="7"/>
  <c r="F796" i="7" s="1"/>
  <c r="D796" i="7"/>
  <c r="B856" i="7"/>
  <c r="E856" i="7"/>
  <c r="F856" i="7" s="1"/>
  <c r="D856" i="7"/>
  <c r="B958" i="7"/>
  <c r="E958" i="7"/>
  <c r="F958" i="7" s="1"/>
  <c r="D958" i="7"/>
  <c r="B950" i="7"/>
  <c r="E950" i="7"/>
  <c r="F950" i="7" s="1"/>
  <c r="D950" i="7"/>
  <c r="B935" i="7"/>
  <c r="E935" i="7"/>
  <c r="F935" i="7" s="1"/>
  <c r="D935" i="7"/>
  <c r="B927" i="7"/>
  <c r="E927" i="7"/>
  <c r="F927" i="7" s="1"/>
  <c r="D927" i="7"/>
  <c r="B919" i="7"/>
  <c r="E919" i="7"/>
  <c r="F919" i="7" s="1"/>
  <c r="D919" i="7"/>
  <c r="B912" i="7"/>
  <c r="E912" i="7"/>
  <c r="F912" i="7" s="1"/>
  <c r="D912" i="7"/>
  <c r="B905" i="7"/>
  <c r="E905" i="7"/>
  <c r="F905" i="7" s="1"/>
  <c r="D905" i="7"/>
  <c r="B897" i="7"/>
  <c r="D897" i="7"/>
  <c r="E897" i="7"/>
  <c r="F897" i="7" s="1"/>
  <c r="B889" i="7"/>
  <c r="E889" i="7"/>
  <c r="F889" i="7" s="1"/>
  <c r="D889" i="7"/>
  <c r="B881" i="7"/>
  <c r="E881" i="7"/>
  <c r="F881" i="7" s="1"/>
  <c r="D881" i="7"/>
  <c r="B874" i="7"/>
  <c r="E874" i="7"/>
  <c r="F874" i="7" s="1"/>
  <c r="D874" i="7"/>
  <c r="B866" i="7"/>
  <c r="E866" i="7"/>
  <c r="F866" i="7" s="1"/>
  <c r="B1308" i="7"/>
  <c r="E1308" i="7"/>
  <c r="F1308" i="7" s="1"/>
  <c r="D1308" i="7"/>
  <c r="B1300" i="7"/>
  <c r="E1300" i="7"/>
  <c r="F1300" i="7" s="1"/>
  <c r="D1300" i="7"/>
  <c r="B1292" i="7"/>
  <c r="E1292" i="7"/>
  <c r="F1292" i="7" s="1"/>
  <c r="D1292" i="7"/>
  <c r="B1284" i="7"/>
  <c r="E1284" i="7"/>
  <c r="F1284" i="7" s="1"/>
  <c r="D1284" i="7"/>
  <c r="B1276" i="7"/>
  <c r="E1276" i="7"/>
  <c r="F1276" i="7" s="1"/>
  <c r="D1276" i="7"/>
  <c r="B1268" i="7"/>
  <c r="E1268" i="7"/>
  <c r="F1268" i="7" s="1"/>
  <c r="D1268" i="7"/>
  <c r="B1262" i="7"/>
  <c r="E1262" i="7"/>
  <c r="F1262" i="7" s="1"/>
  <c r="B1254" i="7"/>
  <c r="E1254" i="7"/>
  <c r="F1254" i="7" s="1"/>
  <c r="B1246" i="7"/>
  <c r="E1246" i="7"/>
  <c r="F1246" i="7" s="1"/>
  <c r="B1238" i="7"/>
  <c r="E1238" i="7"/>
  <c r="F1238" i="7" s="1"/>
  <c r="B1230" i="7"/>
  <c r="E1230" i="7"/>
  <c r="F1230" i="7" s="1"/>
  <c r="B1222" i="7"/>
  <c r="E1222" i="7"/>
  <c r="F1222" i="7" s="1"/>
  <c r="B1214" i="7"/>
  <c r="E1214" i="7"/>
  <c r="F1214" i="7" s="1"/>
  <c r="B1206" i="7"/>
  <c r="E1206" i="7"/>
  <c r="F1206" i="7" s="1"/>
  <c r="B1198" i="7"/>
  <c r="E1198" i="7"/>
  <c r="F1198" i="7" s="1"/>
  <c r="B1190" i="7"/>
  <c r="E1190" i="7"/>
  <c r="F1190" i="7" s="1"/>
  <c r="B1182" i="7"/>
  <c r="E1182" i="7"/>
  <c r="F1182" i="7" s="1"/>
  <c r="B1174" i="7"/>
  <c r="E1174" i="7"/>
  <c r="F1174" i="7" s="1"/>
  <c r="B1166" i="7"/>
  <c r="E1166" i="7"/>
  <c r="F1166" i="7" s="1"/>
  <c r="B1158" i="7"/>
  <c r="E1158" i="7"/>
  <c r="F1158" i="7" s="1"/>
  <c r="B1150" i="7"/>
  <c r="E1150" i="7"/>
  <c r="F1150" i="7" s="1"/>
  <c r="B1142" i="7"/>
  <c r="E1142" i="7"/>
  <c r="F1142" i="7" s="1"/>
  <c r="B1134" i="7"/>
  <c r="E1134" i="7"/>
  <c r="F1134" i="7" s="1"/>
  <c r="B1126" i="7"/>
  <c r="E1126" i="7"/>
  <c r="F1126" i="7" s="1"/>
  <c r="B1118" i="7"/>
  <c r="E1118" i="7"/>
  <c r="F1118" i="7" s="1"/>
  <c r="D1118" i="7"/>
  <c r="B1110" i="7"/>
  <c r="E1110" i="7"/>
  <c r="F1110" i="7" s="1"/>
  <c r="D1110" i="7"/>
  <c r="B1102" i="7"/>
  <c r="E1102" i="7"/>
  <c r="F1102" i="7" s="1"/>
  <c r="D1102" i="7"/>
  <c r="B1094" i="7"/>
  <c r="E1094" i="7"/>
  <c r="F1094" i="7" s="1"/>
  <c r="D1094" i="7"/>
  <c r="B1086" i="7"/>
  <c r="E1086" i="7"/>
  <c r="F1086" i="7" s="1"/>
  <c r="D1086" i="7"/>
  <c r="B1078" i="7"/>
  <c r="E1078" i="7"/>
  <c r="F1078" i="7" s="1"/>
  <c r="D1078" i="7"/>
  <c r="B1070" i="7"/>
  <c r="E1070" i="7"/>
  <c r="F1070" i="7" s="1"/>
  <c r="D1070" i="7"/>
  <c r="B1062" i="7"/>
  <c r="E1062" i="7"/>
  <c r="F1062" i="7" s="1"/>
  <c r="D1062" i="7"/>
  <c r="B1055" i="7"/>
  <c r="E1055" i="7"/>
  <c r="F1055" i="7" s="1"/>
  <c r="D1055" i="7"/>
  <c r="B1047" i="7"/>
  <c r="E1047" i="7"/>
  <c r="F1047" i="7" s="1"/>
  <c r="D1047" i="7"/>
  <c r="B1039" i="7"/>
  <c r="E1039" i="7"/>
  <c r="F1039" i="7" s="1"/>
  <c r="D1039" i="7"/>
  <c r="B1031" i="7"/>
  <c r="E1031" i="7"/>
  <c r="F1031" i="7" s="1"/>
  <c r="D1031" i="7"/>
  <c r="B1023" i="7"/>
  <c r="E1023" i="7"/>
  <c r="F1023" i="7" s="1"/>
  <c r="D1023" i="7"/>
  <c r="B1015" i="7"/>
  <c r="E1015" i="7"/>
  <c r="F1015" i="7" s="1"/>
  <c r="D1015" i="7"/>
  <c r="B1007" i="7"/>
  <c r="E1007" i="7"/>
  <c r="F1007" i="7" s="1"/>
  <c r="D1007" i="7"/>
  <c r="B999" i="7"/>
  <c r="E999" i="7"/>
  <c r="F999" i="7" s="1"/>
  <c r="D999" i="7"/>
  <c r="B991" i="7"/>
  <c r="E991" i="7"/>
  <c r="F991" i="7" s="1"/>
  <c r="D991" i="7"/>
  <c r="B983" i="7"/>
  <c r="E983" i="7"/>
  <c r="F983" i="7" s="1"/>
  <c r="D983" i="7"/>
  <c r="B975" i="7"/>
  <c r="E975" i="7"/>
  <c r="F975" i="7" s="1"/>
  <c r="D975" i="7"/>
  <c r="B968" i="7"/>
  <c r="E968" i="7"/>
  <c r="F968" i="7" s="1"/>
  <c r="B1410" i="7"/>
  <c r="E1410" i="7"/>
  <c r="F1410" i="7" s="1"/>
  <c r="B1402" i="7"/>
  <c r="E1402" i="7"/>
  <c r="F1402" i="7" s="1"/>
  <c r="B1395" i="7"/>
  <c r="E1395" i="7"/>
  <c r="F1395" i="7" s="1"/>
  <c r="B1387" i="7"/>
  <c r="E1387" i="7"/>
  <c r="F1387" i="7" s="1"/>
  <c r="B1380" i="7"/>
  <c r="E1380" i="7"/>
  <c r="F1380" i="7" s="1"/>
  <c r="D1380" i="7"/>
  <c r="B1372" i="7"/>
  <c r="E1372" i="7"/>
  <c r="F1372" i="7" s="1"/>
  <c r="D1372" i="7"/>
  <c r="B1364" i="7"/>
  <c r="E1364" i="7"/>
  <c r="F1364" i="7" s="1"/>
  <c r="D1364" i="7"/>
  <c r="B1357" i="7"/>
  <c r="E1357" i="7"/>
  <c r="F1357" i="7" s="1"/>
  <c r="B1349" i="7"/>
  <c r="E1349" i="7"/>
  <c r="F1349" i="7" s="1"/>
  <c r="B1341" i="7"/>
  <c r="E1341" i="7"/>
  <c r="F1341" i="7" s="1"/>
  <c r="B1333" i="7"/>
  <c r="E1333" i="7"/>
  <c r="F1333" i="7" s="1"/>
  <c r="B1325" i="7"/>
  <c r="E1325" i="7"/>
  <c r="F1325" i="7" s="1"/>
  <c r="B1318" i="7"/>
  <c r="E1318" i="7"/>
  <c r="F1318" i="7" s="1"/>
  <c r="B1419" i="7"/>
  <c r="E1419" i="7"/>
  <c r="F1419" i="7" s="1"/>
  <c r="B1411" i="7"/>
  <c r="E1411" i="7"/>
  <c r="F1411" i="7" s="1"/>
  <c r="D1419" i="7"/>
  <c r="D1410" i="7"/>
  <c r="D1339" i="7"/>
  <c r="D1262" i="7"/>
  <c r="D1198" i="7"/>
  <c r="D866" i="7"/>
  <c r="B720" i="7"/>
  <c r="E720" i="7"/>
  <c r="F720" i="7" s="1"/>
  <c r="D720" i="7"/>
  <c r="B712" i="7"/>
  <c r="E712" i="7"/>
  <c r="F712" i="7" s="1"/>
  <c r="D712" i="7"/>
  <c r="B705" i="7"/>
  <c r="E705" i="7"/>
  <c r="F705" i="7" s="1"/>
  <c r="D705" i="7"/>
  <c r="B697" i="7"/>
  <c r="E697" i="7"/>
  <c r="F697" i="7" s="1"/>
  <c r="D697" i="7"/>
  <c r="B690" i="7"/>
  <c r="E690" i="7"/>
  <c r="F690" i="7" s="1"/>
  <c r="D690" i="7"/>
  <c r="B682" i="7"/>
  <c r="E682" i="7"/>
  <c r="F682" i="7" s="1"/>
  <c r="D682" i="7"/>
  <c r="B675" i="7"/>
  <c r="E675" i="7"/>
  <c r="F675" i="7" s="1"/>
  <c r="B667" i="7"/>
  <c r="E667" i="7"/>
  <c r="F667" i="7" s="1"/>
  <c r="D667" i="7"/>
  <c r="B659" i="7"/>
  <c r="E659" i="7"/>
  <c r="F659" i="7" s="1"/>
  <c r="D659" i="7"/>
  <c r="B651" i="7"/>
  <c r="E651" i="7"/>
  <c r="F651" i="7" s="1"/>
  <c r="B643" i="7"/>
  <c r="E643" i="7"/>
  <c r="F643" i="7" s="1"/>
  <c r="D643" i="7"/>
  <c r="B636" i="7"/>
  <c r="E636" i="7"/>
  <c r="F636" i="7" s="1"/>
  <c r="D636" i="7"/>
  <c r="B628" i="7"/>
  <c r="E628" i="7"/>
  <c r="F628" i="7" s="1"/>
  <c r="B620" i="7"/>
  <c r="E620" i="7"/>
  <c r="F620" i="7" s="1"/>
  <c r="D620" i="7"/>
  <c r="B612" i="7"/>
  <c r="E612" i="7"/>
  <c r="F612" i="7" s="1"/>
  <c r="D612" i="7"/>
  <c r="B604" i="7"/>
  <c r="E604" i="7"/>
  <c r="F604" i="7" s="1"/>
  <c r="D604" i="7"/>
  <c r="B596" i="7"/>
  <c r="E596" i="7"/>
  <c r="F596" i="7" s="1"/>
  <c r="D596" i="7"/>
  <c r="B588" i="7"/>
  <c r="E588" i="7"/>
  <c r="F588" i="7" s="1"/>
  <c r="B580" i="7"/>
  <c r="E580" i="7"/>
  <c r="F580" i="7" s="1"/>
  <c r="D580" i="7"/>
  <c r="B572" i="7"/>
  <c r="E572" i="7"/>
  <c r="F572" i="7" s="1"/>
  <c r="D572" i="7"/>
  <c r="B564" i="7"/>
  <c r="E564" i="7"/>
  <c r="F564" i="7" s="1"/>
  <c r="D564" i="7"/>
  <c r="B556" i="7"/>
  <c r="E556" i="7"/>
  <c r="F556" i="7" s="1"/>
  <c r="D556" i="7"/>
  <c r="B548" i="7"/>
  <c r="E548" i="7"/>
  <c r="F548" i="7" s="1"/>
  <c r="D548" i="7"/>
  <c r="B541" i="7"/>
  <c r="E541" i="7"/>
  <c r="F541" i="7" s="1"/>
  <c r="D541" i="7"/>
  <c r="B533" i="7"/>
  <c r="E533" i="7"/>
  <c r="F533" i="7" s="1"/>
  <c r="D533" i="7"/>
  <c r="B525" i="7"/>
  <c r="E525" i="7"/>
  <c r="F525" i="7" s="1"/>
  <c r="D525" i="7"/>
  <c r="B517" i="7"/>
  <c r="E517" i="7"/>
  <c r="F517" i="7" s="1"/>
  <c r="D517" i="7"/>
  <c r="B509" i="7"/>
  <c r="E509" i="7"/>
  <c r="F509" i="7" s="1"/>
  <c r="D509" i="7"/>
  <c r="B502" i="7"/>
  <c r="E502" i="7"/>
  <c r="F502" i="7" s="1"/>
  <c r="D502" i="7"/>
  <c r="B494" i="7"/>
  <c r="E494" i="7"/>
  <c r="F494" i="7" s="1"/>
  <c r="D494" i="7"/>
  <c r="B486" i="7"/>
  <c r="E486" i="7"/>
  <c r="F486" i="7" s="1"/>
  <c r="D486" i="7"/>
  <c r="B478" i="7"/>
  <c r="E478" i="7"/>
  <c r="F478" i="7" s="1"/>
  <c r="D478" i="7"/>
  <c r="B470" i="7"/>
  <c r="E470" i="7"/>
  <c r="F470" i="7" s="1"/>
  <c r="D470" i="7"/>
  <c r="B462" i="7"/>
  <c r="E462" i="7"/>
  <c r="F462" i="7" s="1"/>
  <c r="B454" i="7"/>
  <c r="E454" i="7"/>
  <c r="F454" i="7" s="1"/>
  <c r="D454" i="7"/>
  <c r="B446" i="7"/>
  <c r="E446" i="7"/>
  <c r="F446" i="7" s="1"/>
  <c r="D446" i="7"/>
  <c r="B438" i="7"/>
  <c r="E438" i="7"/>
  <c r="F438" i="7" s="1"/>
  <c r="B431" i="7"/>
  <c r="E431" i="7"/>
  <c r="F431" i="7" s="1"/>
  <c r="D431" i="7"/>
  <c r="B423" i="7"/>
  <c r="E423" i="7"/>
  <c r="F423" i="7" s="1"/>
  <c r="D423" i="7"/>
  <c r="B416" i="7"/>
  <c r="E416" i="7"/>
  <c r="F416" i="7" s="1"/>
  <c r="D416" i="7"/>
  <c r="B408" i="7"/>
  <c r="E408" i="7"/>
  <c r="F408" i="7" s="1"/>
  <c r="D408" i="7"/>
  <c r="B400" i="7"/>
  <c r="E400" i="7"/>
  <c r="F400" i="7" s="1"/>
  <c r="B392" i="7"/>
  <c r="E392" i="7"/>
  <c r="F392" i="7" s="1"/>
  <c r="D392" i="7"/>
  <c r="B841" i="7"/>
  <c r="E841" i="7"/>
  <c r="F841" i="7" s="1"/>
  <c r="D841" i="7"/>
  <c r="B833" i="7"/>
  <c r="D833" i="7"/>
  <c r="B826" i="7"/>
  <c r="E826" i="7"/>
  <c r="F826" i="7" s="1"/>
  <c r="D826" i="7"/>
  <c r="B818" i="7"/>
  <c r="E818" i="7"/>
  <c r="F818" i="7" s="1"/>
  <c r="D818" i="7"/>
  <c r="B803" i="7"/>
  <c r="E803" i="7"/>
  <c r="F803" i="7" s="1"/>
  <c r="B863" i="7"/>
  <c r="E863" i="7"/>
  <c r="F863" i="7" s="1"/>
  <c r="D863" i="7"/>
  <c r="B855" i="7"/>
  <c r="E855" i="7"/>
  <c r="F855" i="7" s="1"/>
  <c r="D855" i="7"/>
  <c r="B957" i="7"/>
  <c r="E957" i="7"/>
  <c r="F957" i="7" s="1"/>
  <c r="D957" i="7"/>
  <c r="B949" i="7"/>
  <c r="E949" i="7"/>
  <c r="F949" i="7" s="1"/>
  <c r="D949" i="7"/>
  <c r="B942" i="7"/>
  <c r="E942" i="7"/>
  <c r="F942" i="7" s="1"/>
  <c r="D942" i="7"/>
  <c r="B934" i="7"/>
  <c r="E934" i="7"/>
  <c r="F934" i="7" s="1"/>
  <c r="D934" i="7"/>
  <c r="B926" i="7"/>
  <c r="E926" i="7"/>
  <c r="F926" i="7" s="1"/>
  <c r="D926" i="7"/>
  <c r="B918" i="7"/>
  <c r="E918" i="7"/>
  <c r="F918" i="7" s="1"/>
  <c r="D918" i="7"/>
  <c r="B911" i="7"/>
  <c r="E911" i="7"/>
  <c r="F911" i="7" s="1"/>
  <c r="D911" i="7"/>
  <c r="B904" i="7"/>
  <c r="E904" i="7"/>
  <c r="F904" i="7" s="1"/>
  <c r="D904" i="7"/>
  <c r="B896" i="7"/>
  <c r="E896" i="7"/>
  <c r="F896" i="7" s="1"/>
  <c r="D896" i="7"/>
  <c r="B888" i="7"/>
  <c r="E888" i="7"/>
  <c r="F888" i="7" s="1"/>
  <c r="D888" i="7"/>
  <c r="B880" i="7"/>
  <c r="E880" i="7"/>
  <c r="F880" i="7" s="1"/>
  <c r="D880" i="7"/>
  <c r="B873" i="7"/>
  <c r="E873" i="7"/>
  <c r="F873" i="7" s="1"/>
  <c r="D873" i="7"/>
  <c r="B865" i="7"/>
  <c r="E865" i="7"/>
  <c r="F865" i="7" s="1"/>
  <c r="D865" i="7"/>
  <c r="B1299" i="7"/>
  <c r="E1299" i="7"/>
  <c r="F1299" i="7" s="1"/>
  <c r="B1291" i="7"/>
  <c r="E1291" i="7"/>
  <c r="F1291" i="7" s="1"/>
  <c r="B1283" i="7"/>
  <c r="E1283" i="7"/>
  <c r="F1283" i="7" s="1"/>
  <c r="B1275" i="7"/>
  <c r="E1275" i="7"/>
  <c r="F1275" i="7" s="1"/>
  <c r="B1267" i="7"/>
  <c r="E1267" i="7"/>
  <c r="F1267" i="7" s="1"/>
  <c r="B1261" i="7"/>
  <c r="E1261" i="7"/>
  <c r="F1261" i="7" s="1"/>
  <c r="B1253" i="7"/>
  <c r="E1253" i="7"/>
  <c r="F1253" i="7" s="1"/>
  <c r="B1245" i="7"/>
  <c r="E1245" i="7"/>
  <c r="F1245" i="7" s="1"/>
  <c r="B1237" i="7"/>
  <c r="E1237" i="7"/>
  <c r="F1237" i="7" s="1"/>
  <c r="B1229" i="7"/>
  <c r="E1229" i="7"/>
  <c r="F1229" i="7" s="1"/>
  <c r="B1221" i="7"/>
  <c r="E1221" i="7"/>
  <c r="F1221" i="7" s="1"/>
  <c r="B1213" i="7"/>
  <c r="E1213" i="7"/>
  <c r="F1213" i="7" s="1"/>
  <c r="B1205" i="7"/>
  <c r="E1205" i="7"/>
  <c r="F1205" i="7" s="1"/>
  <c r="B1197" i="7"/>
  <c r="E1197" i="7"/>
  <c r="F1197" i="7" s="1"/>
  <c r="B1189" i="7"/>
  <c r="E1189" i="7"/>
  <c r="F1189" i="7" s="1"/>
  <c r="B1181" i="7"/>
  <c r="E1181" i="7"/>
  <c r="F1181" i="7" s="1"/>
  <c r="D1181" i="7"/>
  <c r="B1173" i="7"/>
  <c r="E1173" i="7"/>
  <c r="F1173" i="7" s="1"/>
  <c r="D1173" i="7"/>
  <c r="B1165" i="7"/>
  <c r="E1165" i="7"/>
  <c r="F1165" i="7" s="1"/>
  <c r="D1165" i="7"/>
  <c r="B1157" i="7"/>
  <c r="E1157" i="7"/>
  <c r="F1157" i="7" s="1"/>
  <c r="D1157" i="7"/>
  <c r="B1149" i="7"/>
  <c r="E1149" i="7"/>
  <c r="F1149" i="7" s="1"/>
  <c r="D1149" i="7"/>
  <c r="B1141" i="7"/>
  <c r="E1141" i="7"/>
  <c r="F1141" i="7" s="1"/>
  <c r="D1141" i="7"/>
  <c r="B1133" i="7"/>
  <c r="E1133" i="7"/>
  <c r="F1133" i="7" s="1"/>
  <c r="D1133" i="7"/>
  <c r="B1125" i="7"/>
  <c r="E1125" i="7"/>
  <c r="F1125" i="7" s="1"/>
  <c r="D1125" i="7"/>
  <c r="B1117" i="7"/>
  <c r="E1117" i="7"/>
  <c r="F1117" i="7" s="1"/>
  <c r="B1109" i="7"/>
  <c r="E1109" i="7"/>
  <c r="F1109" i="7" s="1"/>
  <c r="B1101" i="7"/>
  <c r="E1101" i="7"/>
  <c r="F1101" i="7" s="1"/>
  <c r="D1101" i="7"/>
  <c r="B1093" i="7"/>
  <c r="E1093" i="7"/>
  <c r="F1093" i="7" s="1"/>
  <c r="D1093" i="7"/>
  <c r="B1085" i="7"/>
  <c r="E1085" i="7"/>
  <c r="F1085" i="7" s="1"/>
  <c r="D1085" i="7"/>
  <c r="B1077" i="7"/>
  <c r="E1077" i="7"/>
  <c r="F1077" i="7" s="1"/>
  <c r="D1077" i="7"/>
  <c r="B1069" i="7"/>
  <c r="E1069" i="7"/>
  <c r="F1069" i="7" s="1"/>
  <c r="B1061" i="7"/>
  <c r="E1061" i="7"/>
  <c r="F1061" i="7" s="1"/>
  <c r="D1061" i="7"/>
  <c r="B1054" i="7"/>
  <c r="E1054" i="7"/>
  <c r="F1054" i="7" s="1"/>
  <c r="D1054" i="7"/>
  <c r="B1046" i="7"/>
  <c r="E1046" i="7"/>
  <c r="F1046" i="7" s="1"/>
  <c r="D1046" i="7"/>
  <c r="B1038" i="7"/>
  <c r="E1038" i="7"/>
  <c r="F1038" i="7" s="1"/>
  <c r="D1038" i="7"/>
  <c r="B1030" i="7"/>
  <c r="E1030" i="7"/>
  <c r="F1030" i="7" s="1"/>
  <c r="D1030" i="7"/>
  <c r="B1022" i="7"/>
  <c r="E1022" i="7"/>
  <c r="F1022" i="7" s="1"/>
  <c r="D1022" i="7"/>
  <c r="B1014" i="7"/>
  <c r="E1014" i="7"/>
  <c r="F1014" i="7" s="1"/>
  <c r="D1014" i="7"/>
  <c r="B1006" i="7"/>
  <c r="E1006" i="7"/>
  <c r="F1006" i="7" s="1"/>
  <c r="D1006" i="7"/>
  <c r="B998" i="7"/>
  <c r="E998" i="7"/>
  <c r="F998" i="7" s="1"/>
  <c r="D998" i="7"/>
  <c r="B990" i="7"/>
  <c r="E990" i="7"/>
  <c r="F990" i="7" s="1"/>
  <c r="D990" i="7"/>
  <c r="B982" i="7"/>
  <c r="E982" i="7"/>
  <c r="F982" i="7" s="1"/>
  <c r="D982" i="7"/>
  <c r="B974" i="7"/>
  <c r="E974" i="7"/>
  <c r="F974" i="7" s="1"/>
  <c r="D974" i="7"/>
  <c r="B967" i="7"/>
  <c r="E967" i="7"/>
  <c r="F967" i="7" s="1"/>
  <c r="D967" i="7"/>
  <c r="B1409" i="7"/>
  <c r="E1409" i="7"/>
  <c r="F1409" i="7" s="1"/>
  <c r="B1394" i="7"/>
  <c r="E1394" i="7"/>
  <c r="F1394" i="7" s="1"/>
  <c r="D1394" i="7"/>
  <c r="B1386" i="7"/>
  <c r="E1386" i="7"/>
  <c r="F1386" i="7" s="1"/>
  <c r="D1386" i="7"/>
  <c r="B1379" i="7"/>
  <c r="E1379" i="7"/>
  <c r="F1379" i="7" s="1"/>
  <c r="B1371" i="7"/>
  <c r="E1371" i="7"/>
  <c r="F1371" i="7" s="1"/>
  <c r="B1363" i="7"/>
  <c r="E1363" i="7"/>
  <c r="F1363" i="7" s="1"/>
  <c r="B1356" i="7"/>
  <c r="E1356" i="7"/>
  <c r="F1356" i="7" s="1"/>
  <c r="D1356" i="7"/>
  <c r="B1348" i="7"/>
  <c r="E1348" i="7"/>
  <c r="F1348" i="7" s="1"/>
  <c r="D1348" i="7"/>
  <c r="B1340" i="7"/>
  <c r="E1340" i="7"/>
  <c r="F1340" i="7" s="1"/>
  <c r="D1340" i="7"/>
  <c r="E1332" i="7"/>
  <c r="F1332" i="7" s="1"/>
  <c r="D1332" i="7"/>
  <c r="E1324" i="7"/>
  <c r="F1324" i="7" s="1"/>
  <c r="D1324" i="7"/>
  <c r="B1317" i="7"/>
  <c r="E1317" i="7"/>
  <c r="F1317" i="7" s="1"/>
  <c r="B1418" i="7"/>
  <c r="E1418" i="7"/>
  <c r="F1418" i="7" s="1"/>
  <c r="B1332" i="7"/>
  <c r="D1418" i="7"/>
  <c r="D1409" i="7"/>
  <c r="D1363" i="7"/>
  <c r="D1325" i="7"/>
  <c r="D1299" i="7"/>
  <c r="D1261" i="7"/>
  <c r="D1222" i="7"/>
  <c r="D1197" i="7"/>
  <c r="D1182" i="7"/>
  <c r="D1150" i="7"/>
  <c r="D1117" i="7"/>
  <c r="D605" i="7"/>
  <c r="B138" i="7"/>
  <c r="E138" i="7"/>
  <c r="F138" i="7" s="1"/>
  <c r="D138" i="7"/>
  <c r="B130" i="7"/>
  <c r="E130" i="7"/>
  <c r="F130" i="7" s="1"/>
  <c r="D130" i="7"/>
  <c r="B124" i="7"/>
  <c r="E124" i="7"/>
  <c r="F124" i="7" s="1"/>
  <c r="D124" i="7"/>
  <c r="B116" i="7"/>
  <c r="E116" i="7"/>
  <c r="F116" i="7" s="1"/>
  <c r="D116" i="7"/>
  <c r="B108" i="7"/>
  <c r="E108" i="7"/>
  <c r="F108" i="7" s="1"/>
  <c r="D108" i="7"/>
  <c r="B100" i="7"/>
  <c r="E100" i="7"/>
  <c r="F100" i="7" s="1"/>
  <c r="D100" i="7"/>
  <c r="B85" i="7"/>
  <c r="E85" i="7"/>
  <c r="F85" i="7" s="1"/>
  <c r="D85" i="7"/>
  <c r="B72" i="7"/>
  <c r="E72" i="7"/>
  <c r="F72" i="7" s="1"/>
  <c r="D72" i="7"/>
  <c r="B65" i="7"/>
  <c r="E65" i="7"/>
  <c r="F65" i="7" s="1"/>
  <c r="D65" i="7"/>
  <c r="B58" i="7"/>
  <c r="E58" i="7"/>
  <c r="F58" i="7" s="1"/>
  <c r="D58" i="7"/>
  <c r="B51" i="7"/>
  <c r="E51" i="7"/>
  <c r="F51" i="7" s="1"/>
  <c r="D51" i="7"/>
  <c r="B44" i="7"/>
  <c r="E44" i="7"/>
  <c r="F44" i="7" s="1"/>
  <c r="D44" i="7"/>
  <c r="B37" i="7"/>
  <c r="E37" i="7"/>
  <c r="F37" i="7" s="1"/>
  <c r="D37" i="7"/>
  <c r="B30" i="7"/>
  <c r="E30" i="7"/>
  <c r="F30" i="7" s="1"/>
  <c r="D30" i="7"/>
  <c r="B23" i="7"/>
  <c r="E23" i="7"/>
  <c r="F23" i="7" s="1"/>
  <c r="D23" i="7"/>
  <c r="B16" i="7"/>
  <c r="E16" i="7"/>
  <c r="F16" i="7" s="1"/>
  <c r="B9" i="7"/>
  <c r="E9" i="7"/>
  <c r="F9" i="7" s="1"/>
  <c r="B300" i="7"/>
  <c r="E300" i="7"/>
  <c r="F300" i="7" s="1"/>
  <c r="D300" i="7"/>
  <c r="B293" i="7"/>
  <c r="E293" i="7"/>
  <c r="F293" i="7" s="1"/>
  <c r="D293" i="7"/>
  <c r="B379" i="7"/>
  <c r="E379" i="7"/>
  <c r="F379" i="7" s="1"/>
  <c r="D379" i="7"/>
  <c r="B372" i="7"/>
  <c r="E372" i="7"/>
  <c r="F372" i="7" s="1"/>
  <c r="D372" i="7"/>
  <c r="B364" i="7"/>
  <c r="E364" i="7"/>
  <c r="F364" i="7" s="1"/>
  <c r="D364" i="7"/>
  <c r="B356" i="7"/>
  <c r="E356" i="7"/>
  <c r="F356" i="7" s="1"/>
  <c r="D356" i="7"/>
  <c r="B349" i="7"/>
  <c r="E349" i="7"/>
  <c r="F349" i="7" s="1"/>
  <c r="D349" i="7"/>
  <c r="B341" i="7"/>
  <c r="E341" i="7"/>
  <c r="F341" i="7" s="1"/>
  <c r="D341" i="7"/>
  <c r="B333" i="7"/>
  <c r="E333" i="7"/>
  <c r="F333" i="7" s="1"/>
  <c r="D333" i="7"/>
  <c r="B326" i="7"/>
  <c r="E326" i="7"/>
  <c r="F326" i="7" s="1"/>
  <c r="D326" i="7"/>
  <c r="B318" i="7"/>
  <c r="E318" i="7"/>
  <c r="F318" i="7" s="1"/>
  <c r="D318" i="7"/>
  <c r="B310" i="7"/>
  <c r="E310" i="7"/>
  <c r="F310" i="7" s="1"/>
  <c r="D310" i="7"/>
  <c r="B791" i="7"/>
  <c r="E791" i="7"/>
  <c r="F791" i="7" s="1"/>
  <c r="D791" i="7"/>
  <c r="B783" i="7"/>
  <c r="E783" i="7"/>
  <c r="F783" i="7" s="1"/>
  <c r="D783" i="7"/>
  <c r="B775" i="7"/>
  <c r="E775" i="7"/>
  <c r="F775" i="7" s="1"/>
  <c r="D775" i="7"/>
  <c r="B767" i="7"/>
  <c r="E767" i="7"/>
  <c r="F767" i="7" s="1"/>
  <c r="D767" i="7"/>
  <c r="B759" i="7"/>
  <c r="E759" i="7"/>
  <c r="F759" i="7" s="1"/>
  <c r="D759" i="7"/>
  <c r="B751" i="7"/>
  <c r="E751" i="7"/>
  <c r="F751" i="7" s="1"/>
  <c r="D751" i="7"/>
  <c r="B743" i="7"/>
  <c r="E743" i="7"/>
  <c r="F743" i="7" s="1"/>
  <c r="D743" i="7"/>
  <c r="B735" i="7"/>
  <c r="E735" i="7"/>
  <c r="F735" i="7" s="1"/>
  <c r="D735" i="7"/>
  <c r="B727" i="7"/>
  <c r="E727" i="7"/>
  <c r="F727" i="7" s="1"/>
  <c r="D727" i="7"/>
  <c r="B719" i="7"/>
  <c r="E719" i="7"/>
  <c r="F719" i="7" s="1"/>
  <c r="D719" i="7"/>
  <c r="B711" i="7"/>
  <c r="E711" i="7"/>
  <c r="F711" i="7" s="1"/>
  <c r="D711" i="7"/>
  <c r="B704" i="7"/>
  <c r="E704" i="7"/>
  <c r="F704" i="7" s="1"/>
  <c r="D704" i="7"/>
  <c r="B696" i="7"/>
  <c r="E696" i="7"/>
  <c r="F696" i="7" s="1"/>
  <c r="D696" i="7"/>
  <c r="B689" i="7"/>
  <c r="E689" i="7"/>
  <c r="F689" i="7" s="1"/>
  <c r="D689" i="7"/>
  <c r="B674" i="7"/>
  <c r="E674" i="7"/>
  <c r="F674" i="7" s="1"/>
  <c r="D674" i="7"/>
  <c r="B666" i="7"/>
  <c r="E666" i="7"/>
  <c r="F666" i="7" s="1"/>
  <c r="D666" i="7"/>
  <c r="B658" i="7"/>
  <c r="E658" i="7"/>
  <c r="F658" i="7" s="1"/>
  <c r="D658" i="7"/>
  <c r="B650" i="7"/>
  <c r="E650" i="7"/>
  <c r="F650" i="7" s="1"/>
  <c r="D650" i="7"/>
  <c r="B635" i="7"/>
  <c r="E635" i="7"/>
  <c r="F635" i="7" s="1"/>
  <c r="D635" i="7"/>
  <c r="B627" i="7"/>
  <c r="E627" i="7"/>
  <c r="F627" i="7" s="1"/>
  <c r="D627" i="7"/>
  <c r="B619" i="7"/>
  <c r="E619" i="7"/>
  <c r="F619" i="7" s="1"/>
  <c r="D619" i="7"/>
  <c r="B611" i="7"/>
  <c r="E611" i="7"/>
  <c r="F611" i="7" s="1"/>
  <c r="B603" i="7"/>
  <c r="E603" i="7"/>
  <c r="F603" i="7" s="1"/>
  <c r="D603" i="7"/>
  <c r="B595" i="7"/>
  <c r="E595" i="7"/>
  <c r="F595" i="7" s="1"/>
  <c r="D595" i="7"/>
  <c r="B587" i="7"/>
  <c r="E587" i="7"/>
  <c r="F587" i="7" s="1"/>
  <c r="B579" i="7"/>
  <c r="E579" i="7"/>
  <c r="F579" i="7" s="1"/>
  <c r="D579" i="7"/>
  <c r="B571" i="7"/>
  <c r="E571" i="7"/>
  <c r="F571" i="7" s="1"/>
  <c r="D571" i="7"/>
  <c r="B563" i="7"/>
  <c r="E563" i="7"/>
  <c r="F563" i="7" s="1"/>
  <c r="B555" i="7"/>
  <c r="E555" i="7"/>
  <c r="F555" i="7" s="1"/>
  <c r="D555" i="7"/>
  <c r="B547" i="7"/>
  <c r="E547" i="7"/>
  <c r="F547" i="7" s="1"/>
  <c r="D547" i="7"/>
  <c r="B540" i="7"/>
  <c r="E540" i="7"/>
  <c r="F540" i="7" s="1"/>
  <c r="D540" i="7"/>
  <c r="B532" i="7"/>
  <c r="E532" i="7"/>
  <c r="F532" i="7" s="1"/>
  <c r="D532" i="7"/>
  <c r="B524" i="7"/>
  <c r="E524" i="7"/>
  <c r="F524" i="7" s="1"/>
  <c r="D524" i="7"/>
  <c r="B516" i="7"/>
  <c r="E516" i="7"/>
  <c r="F516" i="7" s="1"/>
  <c r="B508" i="7"/>
  <c r="E508" i="7"/>
  <c r="F508" i="7" s="1"/>
  <c r="D508" i="7"/>
  <c r="B501" i="7"/>
  <c r="E501" i="7"/>
  <c r="F501" i="7" s="1"/>
  <c r="D501" i="7"/>
  <c r="B493" i="7"/>
  <c r="E493" i="7"/>
  <c r="F493" i="7" s="1"/>
  <c r="D493" i="7"/>
  <c r="B485" i="7"/>
  <c r="E485" i="7"/>
  <c r="F485" i="7" s="1"/>
  <c r="D485" i="7"/>
  <c r="B477" i="7"/>
  <c r="E477" i="7"/>
  <c r="F477" i="7" s="1"/>
  <c r="D477" i="7"/>
  <c r="B469" i="7"/>
  <c r="E469" i="7"/>
  <c r="F469" i="7" s="1"/>
  <c r="B461" i="7"/>
  <c r="E461" i="7"/>
  <c r="F461" i="7" s="1"/>
  <c r="D461" i="7"/>
  <c r="B453" i="7"/>
  <c r="E453" i="7"/>
  <c r="F453" i="7" s="1"/>
  <c r="D453" i="7"/>
  <c r="B445" i="7"/>
  <c r="E445" i="7"/>
  <c r="F445" i="7" s="1"/>
  <c r="D445" i="7"/>
  <c r="B430" i="7"/>
  <c r="E430" i="7"/>
  <c r="F430" i="7" s="1"/>
  <c r="D430" i="7"/>
  <c r="B415" i="7"/>
  <c r="E415" i="7"/>
  <c r="F415" i="7" s="1"/>
  <c r="D415" i="7"/>
  <c r="B407" i="7"/>
  <c r="E407" i="7"/>
  <c r="F407" i="7" s="1"/>
  <c r="D407" i="7"/>
  <c r="B399" i="7"/>
  <c r="E399" i="7"/>
  <c r="F399" i="7" s="1"/>
  <c r="B391" i="7"/>
  <c r="E391" i="7"/>
  <c r="F391" i="7" s="1"/>
  <c r="D391" i="7"/>
  <c r="B840" i="7"/>
  <c r="E840" i="7"/>
  <c r="F840" i="7" s="1"/>
  <c r="D840" i="7"/>
  <c r="B832" i="7"/>
  <c r="E832" i="7"/>
  <c r="F832" i="7" s="1"/>
  <c r="D832" i="7"/>
  <c r="B825" i="7"/>
  <c r="E825" i="7"/>
  <c r="F825" i="7" s="1"/>
  <c r="D825" i="7"/>
  <c r="B817" i="7"/>
  <c r="E817" i="7"/>
  <c r="F817" i="7" s="1"/>
  <c r="D817" i="7"/>
  <c r="B810" i="7"/>
  <c r="E810" i="7"/>
  <c r="F810" i="7" s="1"/>
  <c r="D810" i="7"/>
  <c r="B802" i="7"/>
  <c r="E802" i="7"/>
  <c r="F802" i="7" s="1"/>
  <c r="D802" i="7"/>
  <c r="B862" i="7"/>
  <c r="E862" i="7"/>
  <c r="F862" i="7" s="1"/>
  <c r="D862" i="7"/>
  <c r="B854" i="7"/>
  <c r="E854" i="7"/>
  <c r="F854" i="7" s="1"/>
  <c r="D854" i="7"/>
  <c r="B956" i="7"/>
  <c r="E956" i="7"/>
  <c r="F956" i="7" s="1"/>
  <c r="D956" i="7"/>
  <c r="B948" i="7"/>
  <c r="E948" i="7"/>
  <c r="F948" i="7" s="1"/>
  <c r="D948" i="7"/>
  <c r="B941" i="7"/>
  <c r="E941" i="7"/>
  <c r="F941" i="7" s="1"/>
  <c r="B933" i="7"/>
  <c r="E933" i="7"/>
  <c r="F933" i="7" s="1"/>
  <c r="D933" i="7"/>
  <c r="B925" i="7"/>
  <c r="E925" i="7"/>
  <c r="F925" i="7" s="1"/>
  <c r="B917" i="7"/>
  <c r="E917" i="7"/>
  <c r="F917" i="7" s="1"/>
  <c r="D917" i="7"/>
  <c r="B910" i="7"/>
  <c r="E910" i="7"/>
  <c r="F910" i="7" s="1"/>
  <c r="D910" i="7"/>
  <c r="B903" i="7"/>
  <c r="E903" i="7"/>
  <c r="F903" i="7" s="1"/>
  <c r="D903" i="7"/>
  <c r="B895" i="7"/>
  <c r="E895" i="7"/>
  <c r="F895" i="7" s="1"/>
  <c r="D895" i="7"/>
  <c r="B887" i="7"/>
  <c r="E887" i="7"/>
  <c r="F887" i="7" s="1"/>
  <c r="D887" i="7"/>
  <c r="B872" i="7"/>
  <c r="E872" i="7"/>
  <c r="F872" i="7" s="1"/>
  <c r="D872" i="7"/>
  <c r="B864" i="7"/>
  <c r="E864" i="7"/>
  <c r="F864" i="7" s="1"/>
  <c r="D864" i="7"/>
  <c r="B1306" i="7"/>
  <c r="E1306" i="7"/>
  <c r="F1306" i="7" s="1"/>
  <c r="D1306" i="7"/>
  <c r="B1298" i="7"/>
  <c r="E1298" i="7"/>
  <c r="F1298" i="7" s="1"/>
  <c r="D1298" i="7"/>
  <c r="B1290" i="7"/>
  <c r="E1290" i="7"/>
  <c r="F1290" i="7" s="1"/>
  <c r="D1290" i="7"/>
  <c r="B1282" i="7"/>
  <c r="E1282" i="7"/>
  <c r="F1282" i="7" s="1"/>
  <c r="D1282" i="7"/>
  <c r="B1274" i="7"/>
  <c r="E1274" i="7"/>
  <c r="F1274" i="7" s="1"/>
  <c r="D1274" i="7"/>
  <c r="B1260" i="7"/>
  <c r="E1260" i="7"/>
  <c r="F1260" i="7" s="1"/>
  <c r="D1260" i="7"/>
  <c r="B1252" i="7"/>
  <c r="E1252" i="7"/>
  <c r="F1252" i="7" s="1"/>
  <c r="D1252" i="7"/>
  <c r="B1244" i="7"/>
  <c r="E1244" i="7"/>
  <c r="F1244" i="7" s="1"/>
  <c r="D1244" i="7"/>
  <c r="B1236" i="7"/>
  <c r="E1236" i="7"/>
  <c r="F1236" i="7" s="1"/>
  <c r="D1236" i="7"/>
  <c r="B1228" i="7"/>
  <c r="E1228" i="7"/>
  <c r="F1228" i="7" s="1"/>
  <c r="D1228" i="7"/>
  <c r="B1220" i="7"/>
  <c r="E1220" i="7"/>
  <c r="F1220" i="7" s="1"/>
  <c r="D1220" i="7"/>
  <c r="B1212" i="7"/>
  <c r="E1212" i="7"/>
  <c r="F1212" i="7" s="1"/>
  <c r="D1212" i="7"/>
  <c r="B1204" i="7"/>
  <c r="E1204" i="7"/>
  <c r="F1204" i="7" s="1"/>
  <c r="D1204" i="7"/>
  <c r="B1196" i="7"/>
  <c r="E1196" i="7"/>
  <c r="F1196" i="7" s="1"/>
  <c r="D1196" i="7"/>
  <c r="B1188" i="7"/>
  <c r="E1188" i="7"/>
  <c r="F1188" i="7" s="1"/>
  <c r="D1188" i="7"/>
  <c r="B1180" i="7"/>
  <c r="E1180" i="7"/>
  <c r="F1180" i="7" s="1"/>
  <c r="D1180" i="7"/>
  <c r="B1172" i="7"/>
  <c r="E1172" i="7"/>
  <c r="F1172" i="7" s="1"/>
  <c r="D1172" i="7"/>
  <c r="B1164" i="7"/>
  <c r="E1164" i="7"/>
  <c r="F1164" i="7" s="1"/>
  <c r="D1164" i="7"/>
  <c r="E1156" i="7"/>
  <c r="F1156" i="7" s="1"/>
  <c r="D1156" i="7"/>
  <c r="B1148" i="7"/>
  <c r="E1148" i="7"/>
  <c r="F1148" i="7" s="1"/>
  <c r="D1148" i="7"/>
  <c r="B1140" i="7"/>
  <c r="E1140" i="7"/>
  <c r="F1140" i="7" s="1"/>
  <c r="D1140" i="7"/>
  <c r="B1132" i="7"/>
  <c r="E1132" i="7"/>
  <c r="F1132" i="7" s="1"/>
  <c r="D1132" i="7"/>
  <c r="B1124" i="7"/>
  <c r="E1124" i="7"/>
  <c r="F1124" i="7" s="1"/>
  <c r="D1124" i="7"/>
  <c r="B1116" i="7"/>
  <c r="E1116" i="7"/>
  <c r="F1116" i="7" s="1"/>
  <c r="D1116" i="7"/>
  <c r="B1108" i="7"/>
  <c r="E1108" i="7"/>
  <c r="F1108" i="7" s="1"/>
  <c r="B1100" i="7"/>
  <c r="E1100" i="7"/>
  <c r="F1100" i="7" s="1"/>
  <c r="B1092" i="7"/>
  <c r="E1092" i="7"/>
  <c r="F1092" i="7" s="1"/>
  <c r="D1092" i="7"/>
  <c r="B1084" i="7"/>
  <c r="E1084" i="7"/>
  <c r="F1084" i="7" s="1"/>
  <c r="D1084" i="7"/>
  <c r="B1076" i="7"/>
  <c r="E1076" i="7"/>
  <c r="F1076" i="7" s="1"/>
  <c r="D1076" i="7"/>
  <c r="B1068" i="7"/>
  <c r="E1068" i="7"/>
  <c r="F1068" i="7" s="1"/>
  <c r="B1060" i="7"/>
  <c r="E1060" i="7"/>
  <c r="F1060" i="7" s="1"/>
  <c r="D1060" i="7"/>
  <c r="B1053" i="7"/>
  <c r="E1053" i="7"/>
  <c r="F1053" i="7" s="1"/>
  <c r="D1053" i="7"/>
  <c r="B1045" i="7"/>
  <c r="E1045" i="7"/>
  <c r="F1045" i="7" s="1"/>
  <c r="D1045" i="7"/>
  <c r="B1037" i="7"/>
  <c r="E1037" i="7"/>
  <c r="F1037" i="7" s="1"/>
  <c r="D1037" i="7"/>
  <c r="B1029" i="7"/>
  <c r="E1029" i="7"/>
  <c r="F1029" i="7" s="1"/>
  <c r="B1021" i="7"/>
  <c r="E1021" i="7"/>
  <c r="F1021" i="7" s="1"/>
  <c r="D1021" i="7"/>
  <c r="B1013" i="7"/>
  <c r="E1013" i="7"/>
  <c r="F1013" i="7" s="1"/>
  <c r="D1013" i="7"/>
  <c r="B1005" i="7"/>
  <c r="E1005" i="7"/>
  <c r="F1005" i="7" s="1"/>
  <c r="B997" i="7"/>
  <c r="E997" i="7"/>
  <c r="F997" i="7" s="1"/>
  <c r="D997" i="7"/>
  <c r="B989" i="7"/>
  <c r="E989" i="7"/>
  <c r="F989" i="7" s="1"/>
  <c r="D989" i="7"/>
  <c r="B981" i="7"/>
  <c r="E981" i="7"/>
  <c r="F981" i="7" s="1"/>
  <c r="D981" i="7"/>
  <c r="B973" i="7"/>
  <c r="E973" i="7"/>
  <c r="F973" i="7" s="1"/>
  <c r="D973" i="7"/>
  <c r="B966" i="7"/>
  <c r="E966" i="7"/>
  <c r="F966" i="7" s="1"/>
  <c r="D966" i="7"/>
  <c r="B1408" i="7"/>
  <c r="E1408" i="7"/>
  <c r="F1408" i="7" s="1"/>
  <c r="D1408" i="7"/>
  <c r="B1393" i="7"/>
  <c r="E1393" i="7"/>
  <c r="F1393" i="7" s="1"/>
  <c r="B1385" i="7"/>
  <c r="E1385" i="7"/>
  <c r="F1385" i="7" s="1"/>
  <c r="B1378" i="7"/>
  <c r="E1378" i="7"/>
  <c r="F1378" i="7" s="1"/>
  <c r="D1378" i="7"/>
  <c r="B1370" i="7"/>
  <c r="E1370" i="7"/>
  <c r="F1370" i="7" s="1"/>
  <c r="D1370" i="7"/>
  <c r="B1362" i="7"/>
  <c r="E1362" i="7"/>
  <c r="F1362" i="7" s="1"/>
  <c r="D1362" i="7"/>
  <c r="B1355" i="7"/>
  <c r="E1355" i="7"/>
  <c r="F1355" i="7" s="1"/>
  <c r="B1347" i="7"/>
  <c r="E1347" i="7"/>
  <c r="F1347" i="7" s="1"/>
  <c r="B1331" i="7"/>
  <c r="E1331" i="7"/>
  <c r="F1331" i="7" s="1"/>
  <c r="B1323" i="7"/>
  <c r="E1323" i="7"/>
  <c r="F1323" i="7" s="1"/>
  <c r="E1316" i="7"/>
  <c r="F1316" i="7" s="1"/>
  <c r="D1316" i="7"/>
  <c r="B1417" i="7"/>
  <c r="E1417" i="7"/>
  <c r="F1417" i="7" s="1"/>
  <c r="B1324" i="7"/>
  <c r="D1417" i="7"/>
  <c r="D1387" i="7"/>
  <c r="D1349" i="7"/>
  <c r="D1323" i="7"/>
  <c r="D1246" i="7"/>
  <c r="D1221" i="7"/>
  <c r="D1109" i="7"/>
  <c r="D1069" i="7"/>
  <c r="D968" i="7"/>
  <c r="D675" i="7"/>
  <c r="D588" i="7"/>
  <c r="B734" i="7"/>
  <c r="E734" i="7"/>
  <c r="F734" i="7" s="1"/>
  <c r="D734" i="7"/>
  <c r="B726" i="7"/>
  <c r="E726" i="7"/>
  <c r="F726" i="7" s="1"/>
  <c r="D726" i="7"/>
  <c r="B718" i="7"/>
  <c r="E718" i="7"/>
  <c r="F718" i="7" s="1"/>
  <c r="D718" i="7"/>
  <c r="B710" i="7"/>
  <c r="E710" i="7"/>
  <c r="F710" i="7" s="1"/>
  <c r="D710" i="7"/>
  <c r="B703" i="7"/>
  <c r="E703" i="7"/>
  <c r="F703" i="7" s="1"/>
  <c r="D703" i="7"/>
  <c r="B695" i="7"/>
  <c r="E695" i="7"/>
  <c r="F695" i="7" s="1"/>
  <c r="D695" i="7"/>
  <c r="B688" i="7"/>
  <c r="E688" i="7"/>
  <c r="F688" i="7" s="1"/>
  <c r="D688" i="7"/>
  <c r="B681" i="7"/>
  <c r="E681" i="7"/>
  <c r="F681" i="7" s="1"/>
  <c r="D681" i="7"/>
  <c r="B673" i="7"/>
  <c r="E673" i="7"/>
  <c r="F673" i="7" s="1"/>
  <c r="D673" i="7"/>
  <c r="B665" i="7"/>
  <c r="E665" i="7"/>
  <c r="F665" i="7" s="1"/>
  <c r="D665" i="7"/>
  <c r="B657" i="7"/>
  <c r="E657" i="7"/>
  <c r="F657" i="7" s="1"/>
  <c r="D657" i="7"/>
  <c r="B649" i="7"/>
  <c r="E649" i="7"/>
  <c r="F649" i="7" s="1"/>
  <c r="D649" i="7"/>
  <c r="B642" i="7"/>
  <c r="E642" i="7"/>
  <c r="F642" i="7" s="1"/>
  <c r="D642" i="7"/>
  <c r="B634" i="7"/>
  <c r="E634" i="7"/>
  <c r="F634" i="7" s="1"/>
  <c r="D634" i="7"/>
  <c r="B626" i="7"/>
  <c r="E626" i="7"/>
  <c r="F626" i="7" s="1"/>
  <c r="D626" i="7"/>
  <c r="B618" i="7"/>
  <c r="E618" i="7"/>
  <c r="F618" i="7" s="1"/>
  <c r="D618" i="7"/>
  <c r="B610" i="7"/>
  <c r="E610" i="7"/>
  <c r="F610" i="7" s="1"/>
  <c r="D610" i="7"/>
  <c r="B602" i="7"/>
  <c r="E602" i="7"/>
  <c r="F602" i="7" s="1"/>
  <c r="D602" i="7"/>
  <c r="B594" i="7"/>
  <c r="E594" i="7"/>
  <c r="F594" i="7" s="1"/>
  <c r="D594" i="7"/>
  <c r="B586" i="7"/>
  <c r="E586" i="7"/>
  <c r="F586" i="7" s="1"/>
  <c r="D586" i="7"/>
  <c r="B578" i="7"/>
  <c r="E578" i="7"/>
  <c r="F578" i="7" s="1"/>
  <c r="D578" i="7"/>
  <c r="B570" i="7"/>
  <c r="E570" i="7"/>
  <c r="F570" i="7" s="1"/>
  <c r="D570" i="7"/>
  <c r="B562" i="7"/>
  <c r="E562" i="7"/>
  <c r="F562" i="7" s="1"/>
  <c r="D562" i="7"/>
  <c r="B554" i="7"/>
  <c r="E554" i="7"/>
  <c r="F554" i="7" s="1"/>
  <c r="D554" i="7"/>
  <c r="B546" i="7"/>
  <c r="E546" i="7"/>
  <c r="F546" i="7" s="1"/>
  <c r="D546" i="7"/>
  <c r="B539" i="7"/>
  <c r="E539" i="7"/>
  <c r="F539" i="7" s="1"/>
  <c r="D539" i="7"/>
  <c r="B531" i="7"/>
  <c r="E531" i="7"/>
  <c r="F531" i="7" s="1"/>
  <c r="D531" i="7"/>
  <c r="B523" i="7"/>
  <c r="E523" i="7"/>
  <c r="F523" i="7" s="1"/>
  <c r="D523" i="7"/>
  <c r="B515" i="7"/>
  <c r="E515" i="7"/>
  <c r="F515" i="7" s="1"/>
  <c r="B507" i="7"/>
  <c r="E507" i="7"/>
  <c r="F507" i="7" s="1"/>
  <c r="D507" i="7"/>
  <c r="B500" i="7"/>
  <c r="E500" i="7"/>
  <c r="F500" i="7" s="1"/>
  <c r="D500" i="7"/>
  <c r="B492" i="7"/>
  <c r="E492" i="7"/>
  <c r="F492" i="7" s="1"/>
  <c r="D492" i="7"/>
  <c r="B484" i="7"/>
  <c r="E484" i="7"/>
  <c r="F484" i="7" s="1"/>
  <c r="D484" i="7"/>
  <c r="B476" i="7"/>
  <c r="E476" i="7"/>
  <c r="F476" i="7" s="1"/>
  <c r="D476" i="7"/>
  <c r="B468" i="7"/>
  <c r="E468" i="7"/>
  <c r="F468" i="7" s="1"/>
  <c r="D468" i="7"/>
  <c r="B460" i="7"/>
  <c r="E460" i="7"/>
  <c r="F460" i="7" s="1"/>
  <c r="D460" i="7"/>
  <c r="B452" i="7"/>
  <c r="E452" i="7"/>
  <c r="F452" i="7" s="1"/>
  <c r="D452" i="7"/>
  <c r="B444" i="7"/>
  <c r="E444" i="7"/>
  <c r="F444" i="7" s="1"/>
  <c r="D444" i="7"/>
  <c r="B437" i="7"/>
  <c r="E437" i="7"/>
  <c r="F437" i="7" s="1"/>
  <c r="B429" i="7"/>
  <c r="E429" i="7"/>
  <c r="F429" i="7" s="1"/>
  <c r="D429" i="7"/>
  <c r="B414" i="7"/>
  <c r="E414" i="7"/>
  <c r="F414" i="7" s="1"/>
  <c r="D414" i="7"/>
  <c r="B406" i="7"/>
  <c r="E406" i="7"/>
  <c r="F406" i="7" s="1"/>
  <c r="D406" i="7"/>
  <c r="B398" i="7"/>
  <c r="E398" i="7"/>
  <c r="F398" i="7" s="1"/>
  <c r="D398" i="7"/>
  <c r="B390" i="7"/>
  <c r="E390" i="7"/>
  <c r="F390" i="7" s="1"/>
  <c r="D390" i="7"/>
  <c r="B839" i="7"/>
  <c r="E839" i="7"/>
  <c r="F839" i="7" s="1"/>
  <c r="D839" i="7"/>
  <c r="B831" i="7"/>
  <c r="E831" i="7"/>
  <c r="F831" i="7" s="1"/>
  <c r="D831" i="7"/>
  <c r="B824" i="7"/>
  <c r="E824" i="7"/>
  <c r="F824" i="7" s="1"/>
  <c r="D824" i="7"/>
  <c r="B816" i="7"/>
  <c r="E816" i="7"/>
  <c r="F816" i="7" s="1"/>
  <c r="D816" i="7"/>
  <c r="B809" i="7"/>
  <c r="E809" i="7"/>
  <c r="F809" i="7" s="1"/>
  <c r="D809" i="7"/>
  <c r="B801" i="7"/>
  <c r="E801" i="7"/>
  <c r="F801" i="7" s="1"/>
  <c r="D801" i="7"/>
  <c r="B861" i="7"/>
  <c r="E861" i="7"/>
  <c r="F861" i="7" s="1"/>
  <c r="B853" i="7"/>
  <c r="E853" i="7"/>
  <c r="F853" i="7" s="1"/>
  <c r="D853" i="7"/>
  <c r="B955" i="7"/>
  <c r="E955" i="7"/>
  <c r="F955" i="7" s="1"/>
  <c r="B947" i="7"/>
  <c r="E947" i="7"/>
  <c r="F947" i="7" s="1"/>
  <c r="D947" i="7"/>
  <c r="B940" i="7"/>
  <c r="E940" i="7"/>
  <c r="F940" i="7" s="1"/>
  <c r="B932" i="7"/>
  <c r="E932" i="7"/>
  <c r="F932" i="7" s="1"/>
  <c r="D932" i="7"/>
  <c r="B924" i="7"/>
  <c r="E924" i="7"/>
  <c r="F924" i="7" s="1"/>
  <c r="D924" i="7"/>
  <c r="B916" i="7"/>
  <c r="E916" i="7"/>
  <c r="F916" i="7" s="1"/>
  <c r="D916" i="7"/>
  <c r="B909" i="7"/>
  <c r="E909" i="7"/>
  <c r="F909" i="7" s="1"/>
  <c r="B902" i="7"/>
  <c r="E902" i="7"/>
  <c r="F902" i="7" s="1"/>
  <c r="D902" i="7"/>
  <c r="B894" i="7"/>
  <c r="E894" i="7"/>
  <c r="F894" i="7" s="1"/>
  <c r="D894" i="7"/>
  <c r="B886" i="7"/>
  <c r="E886" i="7"/>
  <c r="F886" i="7" s="1"/>
  <c r="D886" i="7"/>
  <c r="B871" i="7"/>
  <c r="E871" i="7"/>
  <c r="F871" i="7" s="1"/>
  <c r="D871" i="7"/>
  <c r="B1313" i="7"/>
  <c r="E1313" i="7"/>
  <c r="F1313" i="7" s="1"/>
  <c r="B1305" i="7"/>
  <c r="E1305" i="7"/>
  <c r="F1305" i="7" s="1"/>
  <c r="B1297" i="7"/>
  <c r="E1297" i="7"/>
  <c r="F1297" i="7" s="1"/>
  <c r="B1289" i="7"/>
  <c r="E1289" i="7"/>
  <c r="F1289" i="7" s="1"/>
  <c r="B1281" i="7"/>
  <c r="E1281" i="7"/>
  <c r="F1281" i="7" s="1"/>
  <c r="B1273" i="7"/>
  <c r="E1273" i="7"/>
  <c r="F1273" i="7" s="1"/>
  <c r="B1259" i="7"/>
  <c r="E1259" i="7"/>
  <c r="F1259" i="7" s="1"/>
  <c r="B1251" i="7"/>
  <c r="E1251" i="7"/>
  <c r="F1251" i="7" s="1"/>
  <c r="B1243" i="7"/>
  <c r="E1243" i="7"/>
  <c r="F1243" i="7" s="1"/>
  <c r="B1235" i="7"/>
  <c r="E1235" i="7"/>
  <c r="F1235" i="7" s="1"/>
  <c r="B1227" i="7"/>
  <c r="E1227" i="7"/>
  <c r="F1227" i="7" s="1"/>
  <c r="B1219" i="7"/>
  <c r="E1219" i="7"/>
  <c r="F1219" i="7" s="1"/>
  <c r="B1211" i="7"/>
  <c r="E1211" i="7"/>
  <c r="F1211" i="7" s="1"/>
  <c r="B1203" i="7"/>
  <c r="E1203" i="7"/>
  <c r="F1203" i="7" s="1"/>
  <c r="B1195" i="7"/>
  <c r="E1195" i="7"/>
  <c r="F1195" i="7" s="1"/>
  <c r="B1187" i="7"/>
  <c r="E1187" i="7"/>
  <c r="F1187" i="7" s="1"/>
  <c r="D1187" i="7"/>
  <c r="B1179" i="7"/>
  <c r="E1179" i="7"/>
  <c r="F1179" i="7" s="1"/>
  <c r="D1179" i="7"/>
  <c r="B1171" i="7"/>
  <c r="E1171" i="7"/>
  <c r="F1171" i="7" s="1"/>
  <c r="D1171" i="7"/>
  <c r="B1163" i="7"/>
  <c r="E1163" i="7"/>
  <c r="F1163" i="7" s="1"/>
  <c r="D1163" i="7"/>
  <c r="B1155" i="7"/>
  <c r="E1155" i="7"/>
  <c r="F1155" i="7" s="1"/>
  <c r="D1155" i="7"/>
  <c r="B1147" i="7"/>
  <c r="E1147" i="7"/>
  <c r="F1147" i="7" s="1"/>
  <c r="D1147" i="7"/>
  <c r="B1139" i="7"/>
  <c r="E1139" i="7"/>
  <c r="F1139" i="7" s="1"/>
  <c r="D1139" i="7"/>
  <c r="B1131" i="7"/>
  <c r="E1131" i="7"/>
  <c r="F1131" i="7" s="1"/>
  <c r="D1131" i="7"/>
  <c r="B1123" i="7"/>
  <c r="E1123" i="7"/>
  <c r="F1123" i="7" s="1"/>
  <c r="D1123" i="7"/>
  <c r="B1115" i="7"/>
  <c r="E1115" i="7"/>
  <c r="F1115" i="7" s="1"/>
  <c r="D1115" i="7"/>
  <c r="B1107" i="7"/>
  <c r="E1107" i="7"/>
  <c r="F1107" i="7" s="1"/>
  <c r="D1107" i="7"/>
  <c r="B1099" i="7"/>
  <c r="E1099" i="7"/>
  <c r="F1099" i="7" s="1"/>
  <c r="B1091" i="7"/>
  <c r="E1091" i="7"/>
  <c r="F1091" i="7" s="1"/>
  <c r="B1083" i="7"/>
  <c r="E1083" i="7"/>
  <c r="F1083" i="7" s="1"/>
  <c r="D1083" i="7"/>
  <c r="B1075" i="7"/>
  <c r="E1075" i="7"/>
  <c r="F1075" i="7" s="1"/>
  <c r="D1075" i="7"/>
  <c r="B1067" i="7"/>
  <c r="E1067" i="7"/>
  <c r="F1067" i="7" s="1"/>
  <c r="D1067" i="7"/>
  <c r="B1052" i="7"/>
  <c r="E1052" i="7"/>
  <c r="F1052" i="7" s="1"/>
  <c r="D1052" i="7"/>
  <c r="B1044" i="7"/>
  <c r="E1044" i="7"/>
  <c r="F1044" i="7" s="1"/>
  <c r="B1036" i="7"/>
  <c r="E1036" i="7"/>
  <c r="F1036" i="7" s="1"/>
  <c r="D1036" i="7"/>
  <c r="E1028" i="7"/>
  <c r="F1028" i="7" s="1"/>
  <c r="D1028" i="7"/>
  <c r="B1020" i="7"/>
  <c r="E1020" i="7"/>
  <c r="F1020" i="7" s="1"/>
  <c r="D1020" i="7"/>
  <c r="B1012" i="7"/>
  <c r="E1012" i="7"/>
  <c r="F1012" i="7" s="1"/>
  <c r="D1012" i="7"/>
  <c r="B1004" i="7"/>
  <c r="E1004" i="7"/>
  <c r="F1004" i="7" s="1"/>
  <c r="B996" i="7"/>
  <c r="E996" i="7"/>
  <c r="F996" i="7" s="1"/>
  <c r="D996" i="7"/>
  <c r="B988" i="7"/>
  <c r="E988" i="7"/>
  <c r="F988" i="7" s="1"/>
  <c r="D988" i="7"/>
  <c r="B980" i="7"/>
  <c r="E980" i="7"/>
  <c r="F980" i="7" s="1"/>
  <c r="B972" i="7"/>
  <c r="E972" i="7"/>
  <c r="F972" i="7" s="1"/>
  <c r="D972" i="7"/>
  <c r="B965" i="7"/>
  <c r="E965" i="7"/>
  <c r="F965" i="7" s="1"/>
  <c r="B1407" i="7"/>
  <c r="E1407" i="7"/>
  <c r="F1407" i="7" s="1"/>
  <c r="B1400" i="7"/>
  <c r="E1400" i="7"/>
  <c r="F1400" i="7" s="1"/>
  <c r="D1400" i="7"/>
  <c r="B1392" i="7"/>
  <c r="E1392" i="7"/>
  <c r="F1392" i="7" s="1"/>
  <c r="D1392" i="7"/>
  <c r="B1384" i="7"/>
  <c r="E1384" i="7"/>
  <c r="F1384" i="7" s="1"/>
  <c r="D1384" i="7"/>
  <c r="B1377" i="7"/>
  <c r="E1377" i="7"/>
  <c r="F1377" i="7" s="1"/>
  <c r="B1369" i="7"/>
  <c r="E1369" i="7"/>
  <c r="F1369" i="7" s="1"/>
  <c r="B1354" i="7"/>
  <c r="E1354" i="7"/>
  <c r="F1354" i="7" s="1"/>
  <c r="D1354" i="7"/>
  <c r="B1346" i="7"/>
  <c r="E1346" i="7"/>
  <c r="F1346" i="7" s="1"/>
  <c r="D1346" i="7"/>
  <c r="B1338" i="7"/>
  <c r="E1338" i="7"/>
  <c r="F1338" i="7" s="1"/>
  <c r="D1338" i="7"/>
  <c r="B1330" i="7"/>
  <c r="E1330" i="7"/>
  <c r="F1330" i="7" s="1"/>
  <c r="D1330" i="7"/>
  <c r="B1322" i="7"/>
  <c r="E1322" i="7"/>
  <c r="F1322" i="7" s="1"/>
  <c r="D1322" i="7"/>
  <c r="B1315" i="7"/>
  <c r="E1315" i="7"/>
  <c r="F1315" i="7" s="1"/>
  <c r="B1416" i="7"/>
  <c r="E1416" i="7"/>
  <c r="F1416" i="7" s="1"/>
  <c r="D1416" i="7"/>
  <c r="B1316" i="7"/>
  <c r="D1385" i="7"/>
  <c r="D1347" i="7"/>
  <c r="D1283" i="7"/>
  <c r="D1245" i="7"/>
  <c r="D1219" i="7"/>
  <c r="D1206" i="7"/>
  <c r="D1174" i="7"/>
  <c r="D1142" i="7"/>
  <c r="D1108" i="7"/>
  <c r="D1068" i="7"/>
  <c r="D965" i="7"/>
  <c r="D909" i="7"/>
  <c r="D587" i="7"/>
  <c r="B264" i="7"/>
  <c r="E264" i="7"/>
  <c r="F264" i="7" s="1"/>
  <c r="D264" i="7"/>
  <c r="B256" i="7"/>
  <c r="E256" i="7"/>
  <c r="F256" i="7" s="1"/>
  <c r="D256" i="7"/>
  <c r="B248" i="7"/>
  <c r="E248" i="7"/>
  <c r="F248" i="7" s="1"/>
  <c r="D248" i="7"/>
  <c r="B240" i="7"/>
  <c r="E240" i="7"/>
  <c r="F240" i="7" s="1"/>
  <c r="D240" i="7"/>
  <c r="B233" i="7"/>
  <c r="E233" i="7"/>
  <c r="F233" i="7" s="1"/>
  <c r="D233" i="7"/>
  <c r="B225" i="7"/>
  <c r="E225" i="7"/>
  <c r="F225" i="7" s="1"/>
  <c r="B218" i="7"/>
  <c r="E218" i="7"/>
  <c r="F218" i="7" s="1"/>
  <c r="D218" i="7"/>
  <c r="B210" i="7"/>
  <c r="E210" i="7"/>
  <c r="F210" i="7" s="1"/>
  <c r="D210" i="7"/>
  <c r="B202" i="7"/>
  <c r="E202" i="7"/>
  <c r="F202" i="7" s="1"/>
  <c r="D202" i="7"/>
  <c r="B194" i="7"/>
  <c r="E194" i="7"/>
  <c r="F194" i="7" s="1"/>
  <c r="D194" i="7"/>
  <c r="B187" i="7"/>
  <c r="E187" i="7"/>
  <c r="F187" i="7" s="1"/>
  <c r="D187" i="7"/>
  <c r="B179" i="7"/>
  <c r="E179" i="7"/>
  <c r="F179" i="7" s="1"/>
  <c r="D179" i="7"/>
  <c r="B172" i="7"/>
  <c r="E172" i="7"/>
  <c r="F172" i="7" s="1"/>
  <c r="D172" i="7"/>
  <c r="B165" i="7"/>
  <c r="E165" i="7"/>
  <c r="F165" i="7" s="1"/>
  <c r="D165" i="7"/>
  <c r="B157" i="7"/>
  <c r="E157" i="7"/>
  <c r="F157" i="7" s="1"/>
  <c r="D157" i="7"/>
  <c r="B150" i="7"/>
  <c r="E150" i="7"/>
  <c r="F150" i="7" s="1"/>
  <c r="D150" i="7"/>
  <c r="B136" i="7"/>
  <c r="E136" i="7"/>
  <c r="F136" i="7" s="1"/>
  <c r="D136" i="7"/>
  <c r="B122" i="7"/>
  <c r="E122" i="7"/>
  <c r="F122" i="7" s="1"/>
  <c r="D122" i="7"/>
  <c r="B114" i="7"/>
  <c r="E114" i="7"/>
  <c r="F114" i="7" s="1"/>
  <c r="D114" i="7"/>
  <c r="B106" i="7"/>
  <c r="E106" i="7"/>
  <c r="F106" i="7" s="1"/>
  <c r="D106" i="7"/>
  <c r="B98" i="7"/>
  <c r="E98" i="7"/>
  <c r="F98" i="7" s="1"/>
  <c r="D98" i="7"/>
  <c r="B91" i="7"/>
  <c r="E91" i="7"/>
  <c r="F91" i="7" s="1"/>
  <c r="D91" i="7"/>
  <c r="B83" i="7"/>
  <c r="E83" i="7"/>
  <c r="F83" i="7" s="1"/>
  <c r="D83" i="7"/>
  <c r="B77" i="7"/>
  <c r="E77" i="7"/>
  <c r="F77" i="7" s="1"/>
  <c r="D77" i="7"/>
  <c r="B70" i="7"/>
  <c r="E70" i="7"/>
  <c r="F70" i="7" s="1"/>
  <c r="D70" i="7"/>
  <c r="B63" i="7"/>
  <c r="E63" i="7"/>
  <c r="F63" i="7" s="1"/>
  <c r="D63" i="7"/>
  <c r="B56" i="7"/>
  <c r="E56" i="7"/>
  <c r="F56" i="7" s="1"/>
  <c r="D56" i="7"/>
  <c r="B49" i="7"/>
  <c r="E49" i="7"/>
  <c r="F49" i="7" s="1"/>
  <c r="D49" i="7"/>
  <c r="B28" i="7"/>
  <c r="E28" i="7"/>
  <c r="F28" i="7" s="1"/>
  <c r="D28" i="7"/>
  <c r="B21" i="7"/>
  <c r="E21" i="7"/>
  <c r="F21" i="7" s="1"/>
  <c r="D21" i="7"/>
  <c r="B14" i="7"/>
  <c r="E14" i="7"/>
  <c r="F14" i="7" s="1"/>
  <c r="B305" i="7"/>
  <c r="E305" i="7"/>
  <c r="F305" i="7" s="1"/>
  <c r="D305" i="7"/>
  <c r="B385" i="7"/>
  <c r="E385" i="7"/>
  <c r="F385" i="7" s="1"/>
  <c r="D385" i="7"/>
  <c r="B370" i="7"/>
  <c r="E370" i="7"/>
  <c r="F370" i="7" s="1"/>
  <c r="D370" i="7"/>
  <c r="B362" i="7"/>
  <c r="E362" i="7"/>
  <c r="F362" i="7" s="1"/>
  <c r="D362" i="7"/>
  <c r="B347" i="7"/>
  <c r="E347" i="7"/>
  <c r="F347" i="7" s="1"/>
  <c r="D347" i="7"/>
  <c r="B339" i="7"/>
  <c r="E339" i="7"/>
  <c r="F339" i="7" s="1"/>
  <c r="D339" i="7"/>
  <c r="B331" i="7"/>
  <c r="E331" i="7"/>
  <c r="F331" i="7" s="1"/>
  <c r="D331" i="7"/>
  <c r="B324" i="7"/>
  <c r="E324" i="7"/>
  <c r="F324" i="7" s="1"/>
  <c r="D324" i="7"/>
  <c r="B316" i="7"/>
  <c r="E316" i="7"/>
  <c r="F316" i="7" s="1"/>
  <c r="D316" i="7"/>
  <c r="B308" i="7"/>
  <c r="E308" i="7"/>
  <c r="F308" i="7" s="1"/>
  <c r="D308" i="7"/>
  <c r="B789" i="7"/>
  <c r="E789" i="7"/>
  <c r="F789" i="7" s="1"/>
  <c r="D789" i="7"/>
  <c r="B781" i="7"/>
  <c r="E781" i="7"/>
  <c r="F781" i="7" s="1"/>
  <c r="D781" i="7"/>
  <c r="B773" i="7"/>
  <c r="E773" i="7"/>
  <c r="F773" i="7" s="1"/>
  <c r="D773" i="7"/>
  <c r="B765" i="7"/>
  <c r="E765" i="7"/>
  <c r="F765" i="7" s="1"/>
  <c r="D765" i="7"/>
  <c r="B757" i="7"/>
  <c r="E757" i="7"/>
  <c r="F757" i="7" s="1"/>
  <c r="B749" i="7"/>
  <c r="E749" i="7"/>
  <c r="F749" i="7" s="1"/>
  <c r="D749" i="7"/>
  <c r="B741" i="7"/>
  <c r="E741" i="7"/>
  <c r="F741" i="7" s="1"/>
  <c r="D741" i="7"/>
  <c r="B733" i="7"/>
  <c r="E733" i="7"/>
  <c r="F733" i="7" s="1"/>
  <c r="B725" i="7"/>
  <c r="E725" i="7"/>
  <c r="F725" i="7" s="1"/>
  <c r="D725" i="7"/>
  <c r="B717" i="7"/>
  <c r="E717" i="7"/>
  <c r="F717" i="7" s="1"/>
  <c r="D717" i="7"/>
  <c r="B702" i="7"/>
  <c r="E702" i="7"/>
  <c r="F702" i="7" s="1"/>
  <c r="D702" i="7"/>
  <c r="B687" i="7"/>
  <c r="E687" i="7"/>
  <c r="F687" i="7" s="1"/>
  <c r="D687" i="7"/>
  <c r="B680" i="7"/>
  <c r="E680" i="7"/>
  <c r="F680" i="7" s="1"/>
  <c r="D680" i="7"/>
  <c r="B672" i="7"/>
  <c r="E672" i="7"/>
  <c r="F672" i="7" s="1"/>
  <c r="D672" i="7"/>
  <c r="B664" i="7"/>
  <c r="E664" i="7"/>
  <c r="F664" i="7" s="1"/>
  <c r="D664" i="7"/>
  <c r="B656" i="7"/>
  <c r="E656" i="7"/>
  <c r="F656" i="7" s="1"/>
  <c r="D656" i="7"/>
  <c r="B648" i="7"/>
  <c r="E648" i="7"/>
  <c r="F648" i="7" s="1"/>
  <c r="D648" i="7"/>
  <c r="B641" i="7"/>
  <c r="E641" i="7"/>
  <c r="F641" i="7" s="1"/>
  <c r="D641" i="7"/>
  <c r="B633" i="7"/>
  <c r="E633" i="7"/>
  <c r="F633" i="7" s="1"/>
  <c r="D633" i="7"/>
  <c r="B625" i="7"/>
  <c r="E625" i="7"/>
  <c r="F625" i="7" s="1"/>
  <c r="D625" i="7"/>
  <c r="B617" i="7"/>
  <c r="E617" i="7"/>
  <c r="F617" i="7" s="1"/>
  <c r="D617" i="7"/>
  <c r="B609" i="7"/>
  <c r="E609" i="7"/>
  <c r="F609" i="7" s="1"/>
  <c r="D609" i="7"/>
  <c r="B601" i="7"/>
  <c r="E601" i="7"/>
  <c r="F601" i="7" s="1"/>
  <c r="D601" i="7"/>
  <c r="B593" i="7"/>
  <c r="E593" i="7"/>
  <c r="F593" i="7" s="1"/>
  <c r="D593" i="7"/>
  <c r="B585" i="7"/>
  <c r="E585" i="7"/>
  <c r="F585" i="7" s="1"/>
  <c r="D585" i="7"/>
  <c r="B577" i="7"/>
  <c r="E577" i="7"/>
  <c r="F577" i="7" s="1"/>
  <c r="D577" i="7"/>
  <c r="B569" i="7"/>
  <c r="E569" i="7"/>
  <c r="F569" i="7" s="1"/>
  <c r="D569" i="7"/>
  <c r="B561" i="7"/>
  <c r="E561" i="7"/>
  <c r="F561" i="7" s="1"/>
  <c r="B553" i="7"/>
  <c r="E553" i="7"/>
  <c r="F553" i="7" s="1"/>
  <c r="D553" i="7"/>
  <c r="B538" i="7"/>
  <c r="E538" i="7"/>
  <c r="F538" i="7" s="1"/>
  <c r="D538" i="7"/>
  <c r="B530" i="7"/>
  <c r="E530" i="7"/>
  <c r="F530" i="7" s="1"/>
  <c r="D530" i="7"/>
  <c r="B522" i="7"/>
  <c r="E522" i="7"/>
  <c r="F522" i="7" s="1"/>
  <c r="D522" i="7"/>
  <c r="B514" i="7"/>
  <c r="E514" i="7"/>
  <c r="F514" i="7" s="1"/>
  <c r="D514" i="7"/>
  <c r="B499" i="7"/>
  <c r="E499" i="7"/>
  <c r="F499" i="7" s="1"/>
  <c r="D499" i="7"/>
  <c r="B491" i="7"/>
  <c r="E491" i="7"/>
  <c r="F491" i="7" s="1"/>
  <c r="D491" i="7"/>
  <c r="B483" i="7"/>
  <c r="E483" i="7"/>
  <c r="F483" i="7" s="1"/>
  <c r="D483" i="7"/>
  <c r="B475" i="7"/>
  <c r="E475" i="7"/>
  <c r="F475" i="7" s="1"/>
  <c r="D475" i="7"/>
  <c r="B467" i="7"/>
  <c r="E467" i="7"/>
  <c r="F467" i="7" s="1"/>
  <c r="D467" i="7"/>
  <c r="B459" i="7"/>
  <c r="E459" i="7"/>
  <c r="F459" i="7" s="1"/>
  <c r="D459" i="7"/>
  <c r="B451" i="7"/>
  <c r="E451" i="7"/>
  <c r="F451" i="7" s="1"/>
  <c r="D451" i="7"/>
  <c r="B443" i="7"/>
  <c r="E443" i="7"/>
  <c r="F443" i="7" s="1"/>
  <c r="D443" i="7"/>
  <c r="B436" i="7"/>
  <c r="E436" i="7"/>
  <c r="F436" i="7" s="1"/>
  <c r="D436" i="7"/>
  <c r="B428" i="7"/>
  <c r="E428" i="7"/>
  <c r="F428" i="7" s="1"/>
  <c r="D428" i="7"/>
  <c r="B421" i="7"/>
  <c r="E421" i="7"/>
  <c r="F421" i="7" s="1"/>
  <c r="D421" i="7"/>
  <c r="B413" i="7"/>
  <c r="E413" i="7"/>
  <c r="F413" i="7" s="1"/>
  <c r="D413" i="7"/>
  <c r="B405" i="7"/>
  <c r="E405" i="7"/>
  <c r="F405" i="7" s="1"/>
  <c r="D405" i="7"/>
  <c r="B397" i="7"/>
  <c r="E397" i="7"/>
  <c r="F397" i="7" s="1"/>
  <c r="D397" i="7"/>
  <c r="B389" i="7"/>
  <c r="E389" i="7"/>
  <c r="F389" i="7" s="1"/>
  <c r="D389" i="7"/>
  <c r="B838" i="7"/>
  <c r="E838" i="7"/>
  <c r="F838" i="7" s="1"/>
  <c r="D838" i="7"/>
  <c r="B830" i="7"/>
  <c r="E830" i="7"/>
  <c r="F830" i="7" s="1"/>
  <c r="D830" i="7"/>
  <c r="B823" i="7"/>
  <c r="E823" i="7"/>
  <c r="F823" i="7" s="1"/>
  <c r="D823" i="7"/>
  <c r="B815" i="7"/>
  <c r="E815" i="7"/>
  <c r="F815" i="7" s="1"/>
  <c r="D815" i="7"/>
  <c r="B808" i="7"/>
  <c r="E808" i="7"/>
  <c r="F808" i="7" s="1"/>
  <c r="D808" i="7"/>
  <c r="B800" i="7"/>
  <c r="E800" i="7"/>
  <c r="F800" i="7" s="1"/>
  <c r="D800" i="7"/>
  <c r="B860" i="7"/>
  <c r="E860" i="7"/>
  <c r="F860" i="7" s="1"/>
  <c r="D860" i="7"/>
  <c r="B852" i="7"/>
  <c r="E852" i="7"/>
  <c r="F852" i="7" s="1"/>
  <c r="D852" i="7"/>
  <c r="B846" i="7"/>
  <c r="E846" i="7"/>
  <c r="F846" i="7" s="1"/>
  <c r="D846" i="7"/>
  <c r="B954" i="7"/>
  <c r="E954" i="7"/>
  <c r="F954" i="7" s="1"/>
  <c r="B946" i="7"/>
  <c r="E946" i="7"/>
  <c r="F946" i="7" s="1"/>
  <c r="D946" i="7"/>
  <c r="B939" i="7"/>
  <c r="E939" i="7"/>
  <c r="F939" i="7" s="1"/>
  <c r="D939" i="7"/>
  <c r="B931" i="7"/>
  <c r="E931" i="7"/>
  <c r="F931" i="7" s="1"/>
  <c r="D931" i="7"/>
  <c r="B923" i="7"/>
  <c r="E923" i="7"/>
  <c r="F923" i="7" s="1"/>
  <c r="D923" i="7"/>
  <c r="B908" i="7"/>
  <c r="E908" i="7"/>
  <c r="F908" i="7" s="1"/>
  <c r="D908" i="7"/>
  <c r="B901" i="7"/>
  <c r="E901" i="7"/>
  <c r="F901" i="7" s="1"/>
  <c r="D901" i="7"/>
  <c r="B893" i="7"/>
  <c r="E893" i="7"/>
  <c r="F893" i="7" s="1"/>
  <c r="B885" i="7"/>
  <c r="E885" i="7"/>
  <c r="F885" i="7" s="1"/>
  <c r="D885" i="7"/>
  <c r="B878" i="7"/>
  <c r="E878" i="7"/>
  <c r="F878" i="7" s="1"/>
  <c r="D878" i="7"/>
  <c r="B870" i="7"/>
  <c r="E870" i="7"/>
  <c r="F870" i="7" s="1"/>
  <c r="D870" i="7"/>
  <c r="B1312" i="7"/>
  <c r="E1312" i="7"/>
  <c r="F1312" i="7" s="1"/>
  <c r="D1312" i="7"/>
  <c r="B1304" i="7"/>
  <c r="E1304" i="7"/>
  <c r="F1304" i="7" s="1"/>
  <c r="D1304" i="7"/>
  <c r="B1296" i="7"/>
  <c r="E1296" i="7"/>
  <c r="F1296" i="7" s="1"/>
  <c r="D1296" i="7"/>
  <c r="B1288" i="7"/>
  <c r="E1288" i="7"/>
  <c r="F1288" i="7" s="1"/>
  <c r="D1288" i="7"/>
  <c r="B1280" i="7"/>
  <c r="E1280" i="7"/>
  <c r="F1280" i="7" s="1"/>
  <c r="D1280" i="7"/>
  <c r="B1272" i="7"/>
  <c r="E1272" i="7"/>
  <c r="F1272" i="7" s="1"/>
  <c r="D1272" i="7"/>
  <c r="B1258" i="7"/>
  <c r="E1258" i="7"/>
  <c r="F1258" i="7" s="1"/>
  <c r="D1258" i="7"/>
  <c r="B1250" i="7"/>
  <c r="E1250" i="7"/>
  <c r="F1250" i="7" s="1"/>
  <c r="D1250" i="7"/>
  <c r="B1242" i="7"/>
  <c r="E1242" i="7"/>
  <c r="F1242" i="7" s="1"/>
  <c r="D1242" i="7"/>
  <c r="B1234" i="7"/>
  <c r="E1234" i="7"/>
  <c r="F1234" i="7" s="1"/>
  <c r="D1234" i="7"/>
  <c r="B1226" i="7"/>
  <c r="E1226" i="7"/>
  <c r="F1226" i="7" s="1"/>
  <c r="D1226" i="7"/>
  <c r="B1218" i="7"/>
  <c r="E1218" i="7"/>
  <c r="F1218" i="7" s="1"/>
  <c r="D1218" i="7"/>
  <c r="B1210" i="7"/>
  <c r="E1210" i="7"/>
  <c r="F1210" i="7" s="1"/>
  <c r="D1210" i="7"/>
  <c r="B1202" i="7"/>
  <c r="E1202" i="7"/>
  <c r="F1202" i="7" s="1"/>
  <c r="D1202" i="7"/>
  <c r="B1194" i="7"/>
  <c r="E1194" i="7"/>
  <c r="F1194" i="7" s="1"/>
  <c r="D1194" i="7"/>
  <c r="B1186" i="7"/>
  <c r="E1186" i="7"/>
  <c r="F1186" i="7" s="1"/>
  <c r="D1186" i="7"/>
  <c r="B1178" i="7"/>
  <c r="E1178" i="7"/>
  <c r="F1178" i="7" s="1"/>
  <c r="D1178" i="7"/>
  <c r="B1170" i="7"/>
  <c r="E1170" i="7"/>
  <c r="F1170" i="7" s="1"/>
  <c r="D1170" i="7"/>
  <c r="B1162" i="7"/>
  <c r="E1162" i="7"/>
  <c r="F1162" i="7" s="1"/>
  <c r="D1162" i="7"/>
  <c r="B1154" i="7"/>
  <c r="E1154" i="7"/>
  <c r="F1154" i="7" s="1"/>
  <c r="D1154" i="7"/>
  <c r="B1146" i="7"/>
  <c r="E1146" i="7"/>
  <c r="F1146" i="7" s="1"/>
  <c r="D1146" i="7"/>
  <c r="B1138" i="7"/>
  <c r="E1138" i="7"/>
  <c r="F1138" i="7" s="1"/>
  <c r="D1138" i="7"/>
  <c r="B1130" i="7"/>
  <c r="E1130" i="7"/>
  <c r="F1130" i="7" s="1"/>
  <c r="D1130" i="7"/>
  <c r="B1122" i="7"/>
  <c r="E1122" i="7"/>
  <c r="F1122" i="7" s="1"/>
  <c r="D1122" i="7"/>
  <c r="B1114" i="7"/>
  <c r="E1114" i="7"/>
  <c r="F1114" i="7" s="1"/>
  <c r="D1114" i="7"/>
  <c r="B1106" i="7"/>
  <c r="E1106" i="7"/>
  <c r="F1106" i="7" s="1"/>
  <c r="D1106" i="7"/>
  <c r="B1098" i="7"/>
  <c r="E1098" i="7"/>
  <c r="F1098" i="7" s="1"/>
  <c r="D1098" i="7"/>
  <c r="B1090" i="7"/>
  <c r="E1090" i="7"/>
  <c r="F1090" i="7" s="1"/>
  <c r="B1082" i="7"/>
  <c r="E1082" i="7"/>
  <c r="F1082" i="7" s="1"/>
  <c r="B1074" i="7"/>
  <c r="E1074" i="7"/>
  <c r="F1074" i="7" s="1"/>
  <c r="D1074" i="7"/>
  <c r="B1066" i="7"/>
  <c r="E1066" i="7"/>
  <c r="F1066" i="7" s="1"/>
  <c r="D1066" i="7"/>
  <c r="B1059" i="7"/>
  <c r="E1059" i="7"/>
  <c r="F1059" i="7" s="1"/>
  <c r="D1059" i="7"/>
  <c r="B1051" i="7"/>
  <c r="E1051" i="7"/>
  <c r="F1051" i="7" s="1"/>
  <c r="D1051" i="7"/>
  <c r="B1043" i="7"/>
  <c r="E1043" i="7"/>
  <c r="F1043" i="7" s="1"/>
  <c r="B1035" i="7"/>
  <c r="E1035" i="7"/>
  <c r="F1035" i="7" s="1"/>
  <c r="D1035" i="7"/>
  <c r="B1027" i="7"/>
  <c r="E1027" i="7"/>
  <c r="F1027" i="7" s="1"/>
  <c r="D1027" i="7"/>
  <c r="B1019" i="7"/>
  <c r="E1019" i="7"/>
  <c r="F1019" i="7" s="1"/>
  <c r="B1011" i="7"/>
  <c r="E1011" i="7"/>
  <c r="F1011" i="7" s="1"/>
  <c r="D1011" i="7"/>
  <c r="B1003" i="7"/>
  <c r="E1003" i="7"/>
  <c r="F1003" i="7" s="1"/>
  <c r="D1003" i="7"/>
  <c r="B995" i="7"/>
  <c r="E995" i="7"/>
  <c r="F995" i="7" s="1"/>
  <c r="D995" i="7"/>
  <c r="B987" i="7"/>
  <c r="E987" i="7"/>
  <c r="F987" i="7" s="1"/>
  <c r="D987" i="7"/>
  <c r="B979" i="7"/>
  <c r="E979" i="7"/>
  <c r="F979" i="7" s="1"/>
  <c r="B971" i="7"/>
  <c r="E971" i="7"/>
  <c r="F971" i="7" s="1"/>
  <c r="D971" i="7"/>
  <c r="B964" i="7"/>
  <c r="E964" i="7"/>
  <c r="F964" i="7" s="1"/>
  <c r="D964" i="7"/>
  <c r="B1406" i="7"/>
  <c r="E1406" i="7"/>
  <c r="F1406" i="7" s="1"/>
  <c r="B1399" i="7"/>
  <c r="E1399" i="7"/>
  <c r="F1399" i="7" s="1"/>
  <c r="B1391" i="7"/>
  <c r="E1391" i="7"/>
  <c r="F1391" i="7" s="1"/>
  <c r="B1383" i="7"/>
  <c r="E1383" i="7"/>
  <c r="F1383" i="7" s="1"/>
  <c r="B1376" i="7"/>
  <c r="E1376" i="7"/>
  <c r="F1376" i="7" s="1"/>
  <c r="D1376" i="7"/>
  <c r="B1368" i="7"/>
  <c r="E1368" i="7"/>
  <c r="F1368" i="7" s="1"/>
  <c r="D1368" i="7"/>
  <c r="B1353" i="7"/>
  <c r="E1353" i="7"/>
  <c r="F1353" i="7" s="1"/>
  <c r="B1345" i="7"/>
  <c r="E1345" i="7"/>
  <c r="F1345" i="7" s="1"/>
  <c r="B1337" i="7"/>
  <c r="E1337" i="7"/>
  <c r="F1337" i="7" s="1"/>
  <c r="B1329" i="7"/>
  <c r="E1329" i="7"/>
  <c r="F1329" i="7" s="1"/>
  <c r="B1314" i="7"/>
  <c r="E1314" i="7"/>
  <c r="F1314" i="7" s="1"/>
  <c r="D1314" i="7"/>
  <c r="B1415" i="7"/>
  <c r="E1415" i="7"/>
  <c r="F1415" i="7" s="1"/>
  <c r="B1156" i="7"/>
  <c r="D1383" i="7"/>
  <c r="D1371" i="7"/>
  <c r="D1345" i="7"/>
  <c r="D1333" i="7"/>
  <c r="D1307" i="7"/>
  <c r="D1281" i="7"/>
  <c r="D1243" i="7"/>
  <c r="D1230" i="7"/>
  <c r="D1205" i="7"/>
  <c r="D1100" i="7"/>
  <c r="D1005" i="7"/>
  <c r="D955" i="7"/>
  <c r="D652" i="7"/>
  <c r="D563" i="7"/>
  <c r="D469" i="7"/>
  <c r="D335" i="7"/>
  <c r="E1339" i="7"/>
  <c r="F1339" i="7" s="1"/>
  <c r="B829" i="7"/>
  <c r="E829" i="7"/>
  <c r="F829" i="7" s="1"/>
  <c r="D829" i="7"/>
  <c r="B822" i="7"/>
  <c r="E822" i="7"/>
  <c r="F822" i="7" s="1"/>
  <c r="D822" i="7"/>
  <c r="B814" i="7"/>
  <c r="E814" i="7"/>
  <c r="F814" i="7" s="1"/>
  <c r="D814" i="7"/>
  <c r="B807" i="7"/>
  <c r="E807" i="7"/>
  <c r="F807" i="7" s="1"/>
  <c r="D807" i="7"/>
  <c r="B799" i="7"/>
  <c r="E799" i="7"/>
  <c r="F799" i="7" s="1"/>
  <c r="D799" i="7"/>
  <c r="B859" i="7"/>
  <c r="E859" i="7"/>
  <c r="F859" i="7" s="1"/>
  <c r="D859" i="7"/>
  <c r="B851" i="7"/>
  <c r="E851" i="7"/>
  <c r="F851" i="7" s="1"/>
  <c r="D851" i="7"/>
  <c r="B845" i="7"/>
  <c r="E845" i="7"/>
  <c r="F845" i="7" s="1"/>
  <c r="D845" i="7"/>
  <c r="B953" i="7"/>
  <c r="E953" i="7"/>
  <c r="F953" i="7" s="1"/>
  <c r="D953" i="7"/>
  <c r="B945" i="7"/>
  <c r="E945" i="7"/>
  <c r="F945" i="7" s="1"/>
  <c r="D945" i="7"/>
  <c r="B938" i="7"/>
  <c r="E938" i="7"/>
  <c r="F938" i="7" s="1"/>
  <c r="D938" i="7"/>
  <c r="B930" i="7"/>
  <c r="E930" i="7"/>
  <c r="F930" i="7" s="1"/>
  <c r="B922" i="7"/>
  <c r="E922" i="7"/>
  <c r="F922" i="7" s="1"/>
  <c r="D922" i="7"/>
  <c r="B907" i="7"/>
  <c r="E907" i="7"/>
  <c r="F907" i="7" s="1"/>
  <c r="D907" i="7"/>
  <c r="B900" i="7"/>
  <c r="E900" i="7"/>
  <c r="F900" i="7" s="1"/>
  <c r="D900" i="7"/>
  <c r="B892" i="7"/>
  <c r="E892" i="7"/>
  <c r="F892" i="7" s="1"/>
  <c r="D892" i="7"/>
  <c r="B884" i="7"/>
  <c r="E884" i="7"/>
  <c r="F884" i="7" s="1"/>
  <c r="D884" i="7"/>
  <c r="B877" i="7"/>
  <c r="E877" i="7"/>
  <c r="F877" i="7" s="1"/>
  <c r="B869" i="7"/>
  <c r="E869" i="7"/>
  <c r="F869" i="7" s="1"/>
  <c r="D869" i="7"/>
  <c r="B1311" i="7"/>
  <c r="E1311" i="7"/>
  <c r="F1311" i="7" s="1"/>
  <c r="B1303" i="7"/>
  <c r="E1303" i="7"/>
  <c r="F1303" i="7" s="1"/>
  <c r="B1295" i="7"/>
  <c r="E1295" i="7"/>
  <c r="F1295" i="7" s="1"/>
  <c r="B1287" i="7"/>
  <c r="E1287" i="7"/>
  <c r="F1287" i="7" s="1"/>
  <c r="B1279" i="7"/>
  <c r="E1279" i="7"/>
  <c r="F1279" i="7" s="1"/>
  <c r="B1271" i="7"/>
  <c r="E1271" i="7"/>
  <c r="F1271" i="7" s="1"/>
  <c r="B1257" i="7"/>
  <c r="E1257" i="7"/>
  <c r="F1257" i="7" s="1"/>
  <c r="B1249" i="7"/>
  <c r="E1249" i="7"/>
  <c r="F1249" i="7" s="1"/>
  <c r="B1241" i="7"/>
  <c r="E1241" i="7"/>
  <c r="F1241" i="7" s="1"/>
  <c r="B1233" i="7"/>
  <c r="E1233" i="7"/>
  <c r="F1233" i="7" s="1"/>
  <c r="B1225" i="7"/>
  <c r="E1225" i="7"/>
  <c r="F1225" i="7" s="1"/>
  <c r="B1217" i="7"/>
  <c r="E1217" i="7"/>
  <c r="F1217" i="7" s="1"/>
  <c r="B1209" i="7"/>
  <c r="E1209" i="7"/>
  <c r="F1209" i="7" s="1"/>
  <c r="B1201" i="7"/>
  <c r="E1201" i="7"/>
  <c r="F1201" i="7" s="1"/>
  <c r="B1193" i="7"/>
  <c r="E1193" i="7"/>
  <c r="F1193" i="7" s="1"/>
  <c r="B1185" i="7"/>
  <c r="E1185" i="7"/>
  <c r="F1185" i="7" s="1"/>
  <c r="B1177" i="7"/>
  <c r="E1177" i="7"/>
  <c r="F1177" i="7" s="1"/>
  <c r="D1177" i="7"/>
  <c r="B1169" i="7"/>
  <c r="E1169" i="7"/>
  <c r="F1169" i="7" s="1"/>
  <c r="D1169" i="7"/>
  <c r="B1161" i="7"/>
  <c r="E1161" i="7"/>
  <c r="F1161" i="7" s="1"/>
  <c r="D1161" i="7"/>
  <c r="B1153" i="7"/>
  <c r="E1153" i="7"/>
  <c r="F1153" i="7" s="1"/>
  <c r="D1153" i="7"/>
  <c r="B1145" i="7"/>
  <c r="E1145" i="7"/>
  <c r="F1145" i="7" s="1"/>
  <c r="D1145" i="7"/>
  <c r="B1137" i="7"/>
  <c r="E1137" i="7"/>
  <c r="F1137" i="7" s="1"/>
  <c r="D1137" i="7"/>
  <c r="B1129" i="7"/>
  <c r="E1129" i="7"/>
  <c r="F1129" i="7" s="1"/>
  <c r="D1129" i="7"/>
  <c r="B1121" i="7"/>
  <c r="E1121" i="7"/>
  <c r="F1121" i="7" s="1"/>
  <c r="D1121" i="7"/>
  <c r="B1113" i="7"/>
  <c r="E1113" i="7"/>
  <c r="F1113" i="7" s="1"/>
  <c r="D1113" i="7"/>
  <c r="B1105" i="7"/>
  <c r="E1105" i="7"/>
  <c r="F1105" i="7" s="1"/>
  <c r="D1105" i="7"/>
  <c r="B1097" i="7"/>
  <c r="E1097" i="7"/>
  <c r="F1097" i="7" s="1"/>
  <c r="D1097" i="7"/>
  <c r="B1089" i="7"/>
  <c r="E1089" i="7"/>
  <c r="F1089" i="7" s="1"/>
  <c r="D1089" i="7"/>
  <c r="B1081" i="7"/>
  <c r="E1081" i="7"/>
  <c r="F1081" i="7" s="1"/>
  <c r="B1073" i="7"/>
  <c r="E1073" i="7"/>
  <c r="F1073" i="7" s="1"/>
  <c r="D1073" i="7"/>
  <c r="B1065" i="7"/>
  <c r="E1065" i="7"/>
  <c r="F1065" i="7" s="1"/>
  <c r="D1065" i="7"/>
  <c r="B1058" i="7"/>
  <c r="E1058" i="7"/>
  <c r="F1058" i="7" s="1"/>
  <c r="B1050" i="7"/>
  <c r="E1050" i="7"/>
  <c r="F1050" i="7" s="1"/>
  <c r="D1050" i="7"/>
  <c r="B1042" i="7"/>
  <c r="E1042" i="7"/>
  <c r="F1042" i="7" s="1"/>
  <c r="D1042" i="7"/>
  <c r="B1034" i="7"/>
  <c r="E1034" i="7"/>
  <c r="F1034" i="7" s="1"/>
  <c r="D1034" i="7"/>
  <c r="B1026" i="7"/>
  <c r="E1026" i="7"/>
  <c r="F1026" i="7" s="1"/>
  <c r="D1026" i="7"/>
  <c r="B1018" i="7"/>
  <c r="E1018" i="7"/>
  <c r="F1018" i="7" s="1"/>
  <c r="B1010" i="7"/>
  <c r="E1010" i="7"/>
  <c r="F1010" i="7" s="1"/>
  <c r="D1010" i="7"/>
  <c r="B1002" i="7"/>
  <c r="E1002" i="7"/>
  <c r="F1002" i="7" s="1"/>
  <c r="D1002" i="7"/>
  <c r="B994" i="7"/>
  <c r="E994" i="7"/>
  <c r="F994" i="7" s="1"/>
  <c r="B986" i="7"/>
  <c r="E986" i="7"/>
  <c r="F986" i="7" s="1"/>
  <c r="D986" i="7"/>
  <c r="B978" i="7"/>
  <c r="E978" i="7"/>
  <c r="F978" i="7" s="1"/>
  <c r="D978" i="7"/>
  <c r="B970" i="7"/>
  <c r="E970" i="7"/>
  <c r="F970" i="7" s="1"/>
  <c r="D970" i="7"/>
  <c r="B963" i="7"/>
  <c r="E963" i="7"/>
  <c r="F963" i="7" s="1"/>
  <c r="D963" i="7"/>
  <c r="B1405" i="7"/>
  <c r="E1405" i="7"/>
  <c r="F1405" i="7" s="1"/>
  <c r="B1398" i="7"/>
  <c r="E1398" i="7"/>
  <c r="F1398" i="7" s="1"/>
  <c r="B1390" i="7"/>
  <c r="E1390" i="7"/>
  <c r="F1390" i="7" s="1"/>
  <c r="B1382" i="7"/>
  <c r="E1382" i="7"/>
  <c r="F1382" i="7" s="1"/>
  <c r="B1375" i="7"/>
  <c r="E1375" i="7"/>
  <c r="F1375" i="7" s="1"/>
  <c r="B1367" i="7"/>
  <c r="E1367" i="7"/>
  <c r="F1367" i="7" s="1"/>
  <c r="B1360" i="7"/>
  <c r="E1360" i="7"/>
  <c r="F1360" i="7" s="1"/>
  <c r="D1360" i="7"/>
  <c r="B1352" i="7"/>
  <c r="E1352" i="7"/>
  <c r="F1352" i="7" s="1"/>
  <c r="D1352" i="7"/>
  <c r="B1344" i="7"/>
  <c r="E1344" i="7"/>
  <c r="F1344" i="7" s="1"/>
  <c r="D1344" i="7"/>
  <c r="B1336" i="7"/>
  <c r="E1336" i="7"/>
  <c r="F1336" i="7" s="1"/>
  <c r="D1336" i="7"/>
  <c r="B1328" i="7"/>
  <c r="E1328" i="7"/>
  <c r="F1328" i="7" s="1"/>
  <c r="D1328" i="7"/>
  <c r="B1422" i="7"/>
  <c r="E1422" i="7"/>
  <c r="F1422" i="7" s="1"/>
  <c r="B1414" i="7"/>
  <c r="E1414" i="7"/>
  <c r="F1414" i="7" s="1"/>
  <c r="B1028" i="7"/>
  <c r="D1422" i="7"/>
  <c r="D1395" i="7"/>
  <c r="D1382" i="7"/>
  <c r="D1369" i="7"/>
  <c r="D1357" i="7"/>
  <c r="D1331" i="7"/>
  <c r="D1318" i="7"/>
  <c r="D1305" i="7"/>
  <c r="D1279" i="7"/>
  <c r="D1267" i="7"/>
  <c r="D1254" i="7"/>
  <c r="D1241" i="7"/>
  <c r="D1229" i="7"/>
  <c r="D1203" i="7"/>
  <c r="D1190" i="7"/>
  <c r="D1166" i="7"/>
  <c r="D1134" i="7"/>
  <c r="D1099" i="7"/>
  <c r="D1004" i="7"/>
  <c r="D954" i="7"/>
  <c r="D893" i="7"/>
  <c r="D733" i="7"/>
  <c r="D651" i="7"/>
  <c r="D561" i="7"/>
  <c r="D462" i="7"/>
  <c r="E1307" i="7"/>
  <c r="F1307" i="7" s="1"/>
  <c r="B254" i="7"/>
  <c r="E254" i="7"/>
  <c r="F254" i="7" s="1"/>
  <c r="D254" i="7"/>
  <c r="B246" i="7"/>
  <c r="E246" i="7"/>
  <c r="F246" i="7" s="1"/>
  <c r="D246" i="7"/>
  <c r="B238" i="7"/>
  <c r="E238" i="7"/>
  <c r="F238" i="7" s="1"/>
  <c r="D238" i="7"/>
  <c r="B231" i="7"/>
  <c r="E231" i="7"/>
  <c r="F231" i="7" s="1"/>
  <c r="D231" i="7"/>
  <c r="B216" i="7"/>
  <c r="E216" i="7"/>
  <c r="F216" i="7" s="1"/>
  <c r="D216" i="7"/>
  <c r="B208" i="7"/>
  <c r="E208" i="7"/>
  <c r="F208" i="7" s="1"/>
  <c r="D208" i="7"/>
  <c r="B200" i="7"/>
  <c r="E200" i="7"/>
  <c r="F200" i="7" s="1"/>
  <c r="D200" i="7"/>
  <c r="B185" i="7"/>
  <c r="E185" i="7"/>
  <c r="F185" i="7" s="1"/>
  <c r="D185" i="7"/>
  <c r="B177" i="7"/>
  <c r="E177" i="7"/>
  <c r="F177" i="7" s="1"/>
  <c r="B163" i="7"/>
  <c r="E163" i="7"/>
  <c r="F163" i="7" s="1"/>
  <c r="D163" i="7"/>
  <c r="B142" i="7"/>
  <c r="E142" i="7"/>
  <c r="F142" i="7" s="1"/>
  <c r="D142" i="7"/>
  <c r="B134" i="7"/>
  <c r="E134" i="7"/>
  <c r="F134" i="7" s="1"/>
  <c r="D134" i="7"/>
  <c r="B120" i="7"/>
  <c r="E120" i="7"/>
  <c r="F120" i="7" s="1"/>
  <c r="D120" i="7"/>
  <c r="B112" i="7"/>
  <c r="E112" i="7"/>
  <c r="F112" i="7" s="1"/>
  <c r="D112" i="7"/>
  <c r="B104" i="7"/>
  <c r="E104" i="7"/>
  <c r="F104" i="7" s="1"/>
  <c r="D104" i="7"/>
  <c r="B96" i="7"/>
  <c r="E96" i="7"/>
  <c r="F96" i="7" s="1"/>
  <c r="B89" i="7"/>
  <c r="E89" i="7"/>
  <c r="F89" i="7" s="1"/>
  <c r="D89" i="7"/>
  <c r="B81" i="7"/>
  <c r="E81" i="7"/>
  <c r="F81" i="7" s="1"/>
  <c r="D81" i="7"/>
  <c r="B61" i="7"/>
  <c r="E61" i="7"/>
  <c r="F61" i="7" s="1"/>
  <c r="D61" i="7"/>
  <c r="B41" i="7"/>
  <c r="E41" i="7"/>
  <c r="F41" i="7" s="1"/>
  <c r="B34" i="7"/>
  <c r="E34" i="7"/>
  <c r="F34" i="7" s="1"/>
  <c r="D34" i="7"/>
  <c r="B26" i="7"/>
  <c r="E26" i="7"/>
  <c r="F26" i="7" s="1"/>
  <c r="D26" i="7"/>
  <c r="B297" i="7"/>
  <c r="E297" i="7"/>
  <c r="F297" i="7" s="1"/>
  <c r="B383" i="7"/>
  <c r="E383" i="7"/>
  <c r="F383" i="7" s="1"/>
  <c r="D383" i="7"/>
  <c r="B376" i="7"/>
  <c r="E376" i="7"/>
  <c r="F376" i="7" s="1"/>
  <c r="D376" i="7"/>
  <c r="B368" i="7"/>
  <c r="E368" i="7"/>
  <c r="F368" i="7" s="1"/>
  <c r="D368" i="7"/>
  <c r="B360" i="7"/>
  <c r="E360" i="7"/>
  <c r="F360" i="7" s="1"/>
  <c r="D360" i="7"/>
  <c r="B353" i="7"/>
  <c r="E353" i="7"/>
  <c r="F353" i="7" s="1"/>
  <c r="D353" i="7"/>
  <c r="B345" i="7"/>
  <c r="E345" i="7"/>
  <c r="F345" i="7" s="1"/>
  <c r="D345" i="7"/>
  <c r="B337" i="7"/>
  <c r="E337" i="7"/>
  <c r="F337" i="7" s="1"/>
  <c r="D337" i="7"/>
  <c r="B322" i="7"/>
  <c r="E322" i="7"/>
  <c r="F322" i="7" s="1"/>
  <c r="D322" i="7"/>
  <c r="B314" i="7"/>
  <c r="D314" i="7"/>
  <c r="E314" i="7"/>
  <c r="F314" i="7" s="1"/>
  <c r="B795" i="7"/>
  <c r="E795" i="7"/>
  <c r="F795" i="7" s="1"/>
  <c r="D795" i="7"/>
  <c r="B787" i="7"/>
  <c r="E787" i="7"/>
  <c r="F787" i="7" s="1"/>
  <c r="D787" i="7"/>
  <c r="B779" i="7"/>
  <c r="E779" i="7"/>
  <c r="F779" i="7" s="1"/>
  <c r="B771" i="7"/>
  <c r="E771" i="7"/>
  <c r="F771" i="7" s="1"/>
  <c r="D771" i="7"/>
  <c r="B763" i="7"/>
  <c r="E763" i="7"/>
  <c r="F763" i="7" s="1"/>
  <c r="D763" i="7"/>
  <c r="B755" i="7"/>
  <c r="E755" i="7"/>
  <c r="F755" i="7" s="1"/>
  <c r="D755" i="7"/>
  <c r="B747" i="7"/>
  <c r="E747" i="7"/>
  <c r="F747" i="7" s="1"/>
  <c r="D747" i="7"/>
  <c r="B739" i="7"/>
  <c r="E739" i="7"/>
  <c r="F739" i="7" s="1"/>
  <c r="B731" i="7"/>
  <c r="E731" i="7"/>
  <c r="F731" i="7" s="1"/>
  <c r="D731" i="7"/>
  <c r="B723" i="7"/>
  <c r="E723" i="7"/>
  <c r="F723" i="7" s="1"/>
  <c r="D723" i="7"/>
  <c r="B715" i="7"/>
  <c r="E715" i="7"/>
  <c r="F715" i="7" s="1"/>
  <c r="B708" i="7"/>
  <c r="E708" i="7"/>
  <c r="F708" i="7" s="1"/>
  <c r="D708" i="7"/>
  <c r="B700" i="7"/>
  <c r="E700" i="7"/>
  <c r="F700" i="7" s="1"/>
  <c r="D700" i="7"/>
  <c r="B693" i="7"/>
  <c r="E693" i="7"/>
  <c r="F693" i="7" s="1"/>
  <c r="B685" i="7"/>
  <c r="E685" i="7"/>
  <c r="F685" i="7" s="1"/>
  <c r="D685" i="7"/>
  <c r="B678" i="7"/>
  <c r="E678" i="7"/>
  <c r="F678" i="7" s="1"/>
  <c r="D678" i="7"/>
  <c r="B670" i="7"/>
  <c r="E670" i="7"/>
  <c r="F670" i="7" s="1"/>
  <c r="D670" i="7"/>
  <c r="B662" i="7"/>
  <c r="D662" i="7"/>
  <c r="E662" i="7"/>
  <c r="F662" i="7" s="1"/>
  <c r="B654" i="7"/>
  <c r="E654" i="7"/>
  <c r="F654" i="7" s="1"/>
  <c r="D654" i="7"/>
  <c r="B646" i="7"/>
  <c r="E646" i="7"/>
  <c r="F646" i="7" s="1"/>
  <c r="D646" i="7"/>
  <c r="B639" i="7"/>
  <c r="E639" i="7"/>
  <c r="F639" i="7" s="1"/>
  <c r="D639" i="7"/>
  <c r="B631" i="7"/>
  <c r="E631" i="7"/>
  <c r="F631" i="7" s="1"/>
  <c r="D631" i="7"/>
  <c r="B623" i="7"/>
  <c r="E623" i="7"/>
  <c r="F623" i="7" s="1"/>
  <c r="D623" i="7"/>
  <c r="B615" i="7"/>
  <c r="E615" i="7"/>
  <c r="F615" i="7" s="1"/>
  <c r="D615" i="7"/>
  <c r="B607" i="7"/>
  <c r="E607" i="7"/>
  <c r="F607" i="7" s="1"/>
  <c r="D607" i="7"/>
  <c r="B599" i="7"/>
  <c r="E599" i="7"/>
  <c r="F599" i="7" s="1"/>
  <c r="D599" i="7"/>
  <c r="B591" i="7"/>
  <c r="E591" i="7"/>
  <c r="F591" i="7" s="1"/>
  <c r="D591" i="7"/>
  <c r="B583" i="7"/>
  <c r="E583" i="7"/>
  <c r="F583" i="7" s="1"/>
  <c r="D583" i="7"/>
  <c r="B575" i="7"/>
  <c r="E575" i="7"/>
  <c r="F575" i="7" s="1"/>
  <c r="D575" i="7"/>
  <c r="B567" i="7"/>
  <c r="E567" i="7"/>
  <c r="F567" i="7" s="1"/>
  <c r="D567" i="7"/>
  <c r="B559" i="7"/>
  <c r="E559" i="7"/>
  <c r="F559" i="7" s="1"/>
  <c r="D559" i="7"/>
  <c r="B551" i="7"/>
  <c r="E551" i="7"/>
  <c r="F551" i="7" s="1"/>
  <c r="D551" i="7"/>
  <c r="B544" i="7"/>
  <c r="E544" i="7"/>
  <c r="F544" i="7" s="1"/>
  <c r="D544" i="7"/>
  <c r="B536" i="7"/>
  <c r="E536" i="7"/>
  <c r="F536" i="7" s="1"/>
  <c r="D536" i="7"/>
  <c r="B528" i="7"/>
  <c r="E528" i="7"/>
  <c r="F528" i="7" s="1"/>
  <c r="D528" i="7"/>
  <c r="B520" i="7"/>
  <c r="E520" i="7"/>
  <c r="F520" i="7" s="1"/>
  <c r="D520" i="7"/>
  <c r="B512" i="7"/>
  <c r="E512" i="7"/>
  <c r="F512" i="7" s="1"/>
  <c r="D512" i="7"/>
  <c r="B505" i="7"/>
  <c r="E505" i="7"/>
  <c r="F505" i="7" s="1"/>
  <c r="D505" i="7"/>
  <c r="B497" i="7"/>
  <c r="E497" i="7"/>
  <c r="F497" i="7" s="1"/>
  <c r="D497" i="7"/>
  <c r="B489" i="7"/>
  <c r="E489" i="7"/>
  <c r="F489" i="7" s="1"/>
  <c r="B481" i="7"/>
  <c r="E481" i="7"/>
  <c r="F481" i="7" s="1"/>
  <c r="D481" i="7"/>
  <c r="B473" i="7"/>
  <c r="E473" i="7"/>
  <c r="F473" i="7" s="1"/>
  <c r="D473" i="7"/>
  <c r="B465" i="7"/>
  <c r="E465" i="7"/>
  <c r="F465" i="7" s="1"/>
  <c r="D465" i="7"/>
  <c r="B457" i="7"/>
  <c r="E457" i="7"/>
  <c r="F457" i="7" s="1"/>
  <c r="D457" i="7"/>
  <c r="B449" i="7"/>
  <c r="E449" i="7"/>
  <c r="F449" i="7" s="1"/>
  <c r="D449" i="7"/>
  <c r="B441" i="7"/>
  <c r="E441" i="7"/>
  <c r="F441" i="7" s="1"/>
  <c r="D441" i="7"/>
  <c r="B434" i="7"/>
  <c r="E434" i="7"/>
  <c r="F434" i="7" s="1"/>
  <c r="D434" i="7"/>
  <c r="B426" i="7"/>
  <c r="E426" i="7"/>
  <c r="F426" i="7" s="1"/>
  <c r="D426" i="7"/>
  <c r="B419" i="7"/>
  <c r="E419" i="7"/>
  <c r="F419" i="7" s="1"/>
  <c r="D419" i="7"/>
  <c r="B411" i="7"/>
  <c r="E411" i="7"/>
  <c r="F411" i="7" s="1"/>
  <c r="D411" i="7"/>
  <c r="B403" i="7"/>
  <c r="E403" i="7"/>
  <c r="F403" i="7" s="1"/>
  <c r="D403" i="7"/>
  <c r="B395" i="7"/>
  <c r="E395" i="7"/>
  <c r="F395" i="7" s="1"/>
  <c r="D395" i="7"/>
  <c r="B844" i="7"/>
  <c r="E844" i="7"/>
  <c r="F844" i="7" s="1"/>
  <c r="B836" i="7"/>
  <c r="E836" i="7"/>
  <c r="F836" i="7" s="1"/>
  <c r="D836" i="7"/>
  <c r="B828" i="7"/>
  <c r="E828" i="7"/>
  <c r="F828" i="7" s="1"/>
  <c r="D828" i="7"/>
  <c r="B821" i="7"/>
  <c r="E821" i="7"/>
  <c r="F821" i="7" s="1"/>
  <c r="B813" i="7"/>
  <c r="E813" i="7"/>
  <c r="F813" i="7" s="1"/>
  <c r="D813" i="7"/>
  <c r="B806" i="7"/>
  <c r="E806" i="7"/>
  <c r="F806" i="7" s="1"/>
  <c r="D806" i="7"/>
  <c r="B798" i="7"/>
  <c r="E798" i="7"/>
  <c r="F798" i="7" s="1"/>
  <c r="D798" i="7"/>
  <c r="B858" i="7"/>
  <c r="E858" i="7"/>
  <c r="F858" i="7" s="1"/>
  <c r="D858" i="7"/>
  <c r="B850" i="7"/>
  <c r="E850" i="7"/>
  <c r="F850" i="7" s="1"/>
  <c r="D850" i="7"/>
  <c r="B960" i="7"/>
  <c r="E960" i="7"/>
  <c r="F960" i="7" s="1"/>
  <c r="D960" i="7"/>
  <c r="B952" i="7"/>
  <c r="E952" i="7"/>
  <c r="F952" i="7" s="1"/>
  <c r="D952" i="7"/>
  <c r="B944" i="7"/>
  <c r="E944" i="7"/>
  <c r="F944" i="7" s="1"/>
  <c r="D944" i="7"/>
  <c r="B937" i="7"/>
  <c r="E937" i="7"/>
  <c r="F937" i="7" s="1"/>
  <c r="D937" i="7"/>
  <c r="B929" i="7"/>
  <c r="E929" i="7"/>
  <c r="F929" i="7" s="1"/>
  <c r="D929" i="7"/>
  <c r="B921" i="7"/>
  <c r="E921" i="7"/>
  <c r="F921" i="7" s="1"/>
  <c r="D921" i="7"/>
  <c r="B914" i="7"/>
  <c r="E914" i="7"/>
  <c r="F914" i="7" s="1"/>
  <c r="B899" i="7"/>
  <c r="E899" i="7"/>
  <c r="F899" i="7" s="1"/>
  <c r="D899" i="7"/>
  <c r="B891" i="7"/>
  <c r="E891" i="7"/>
  <c r="F891" i="7" s="1"/>
  <c r="D891" i="7"/>
  <c r="B883" i="7"/>
  <c r="E883" i="7"/>
  <c r="F883" i="7" s="1"/>
  <c r="D883" i="7"/>
  <c r="B876" i="7"/>
  <c r="E876" i="7"/>
  <c r="F876" i="7" s="1"/>
  <c r="D876" i="7"/>
  <c r="B868" i="7"/>
  <c r="E868" i="7"/>
  <c r="F868" i="7" s="1"/>
  <c r="D868" i="7"/>
  <c r="B1310" i="7"/>
  <c r="E1310" i="7"/>
  <c r="F1310" i="7" s="1"/>
  <c r="B1302" i="7"/>
  <c r="E1302" i="7"/>
  <c r="F1302" i="7" s="1"/>
  <c r="B1294" i="7"/>
  <c r="E1294" i="7"/>
  <c r="F1294" i="7" s="1"/>
  <c r="B1286" i="7"/>
  <c r="E1286" i="7"/>
  <c r="F1286" i="7" s="1"/>
  <c r="B1278" i="7"/>
  <c r="E1278" i="7"/>
  <c r="F1278" i="7" s="1"/>
  <c r="B1270" i="7"/>
  <c r="E1270" i="7"/>
  <c r="F1270" i="7" s="1"/>
  <c r="B1264" i="7"/>
  <c r="E1264" i="7"/>
  <c r="F1264" i="7" s="1"/>
  <c r="D1264" i="7"/>
  <c r="B1256" i="7"/>
  <c r="E1256" i="7"/>
  <c r="F1256" i="7" s="1"/>
  <c r="D1256" i="7"/>
  <c r="B1248" i="7"/>
  <c r="E1248" i="7"/>
  <c r="F1248" i="7" s="1"/>
  <c r="D1248" i="7"/>
  <c r="B1240" i="7"/>
  <c r="E1240" i="7"/>
  <c r="F1240" i="7" s="1"/>
  <c r="D1240" i="7"/>
  <c r="B1232" i="7"/>
  <c r="E1232" i="7"/>
  <c r="F1232" i="7" s="1"/>
  <c r="D1232" i="7"/>
  <c r="B1224" i="7"/>
  <c r="E1224" i="7"/>
  <c r="F1224" i="7" s="1"/>
  <c r="D1224" i="7"/>
  <c r="B1216" i="7"/>
  <c r="E1216" i="7"/>
  <c r="F1216" i="7" s="1"/>
  <c r="D1216" i="7"/>
  <c r="B1208" i="7"/>
  <c r="E1208" i="7"/>
  <c r="F1208" i="7" s="1"/>
  <c r="D1208" i="7"/>
  <c r="B1200" i="7"/>
  <c r="E1200" i="7"/>
  <c r="F1200" i="7" s="1"/>
  <c r="D1200" i="7"/>
  <c r="B1192" i="7"/>
  <c r="E1192" i="7"/>
  <c r="F1192" i="7" s="1"/>
  <c r="D1192" i="7"/>
  <c r="B1184" i="7"/>
  <c r="E1184" i="7"/>
  <c r="F1184" i="7" s="1"/>
  <c r="D1184" i="7"/>
  <c r="B1176" i="7"/>
  <c r="E1176" i="7"/>
  <c r="F1176" i="7" s="1"/>
  <c r="D1176" i="7"/>
  <c r="B1168" i="7"/>
  <c r="E1168" i="7"/>
  <c r="F1168" i="7" s="1"/>
  <c r="D1168" i="7"/>
  <c r="B1160" i="7"/>
  <c r="E1160" i="7"/>
  <c r="F1160" i="7" s="1"/>
  <c r="D1160" i="7"/>
  <c r="B1152" i="7"/>
  <c r="E1152" i="7"/>
  <c r="F1152" i="7" s="1"/>
  <c r="D1152" i="7"/>
  <c r="B1144" i="7"/>
  <c r="E1144" i="7"/>
  <c r="F1144" i="7" s="1"/>
  <c r="D1144" i="7"/>
  <c r="B1136" i="7"/>
  <c r="E1136" i="7"/>
  <c r="F1136" i="7" s="1"/>
  <c r="D1136" i="7"/>
  <c r="B1128" i="7"/>
  <c r="E1128" i="7"/>
  <c r="F1128" i="7" s="1"/>
  <c r="D1128" i="7"/>
  <c r="B1120" i="7"/>
  <c r="E1120" i="7"/>
  <c r="F1120" i="7" s="1"/>
  <c r="D1120" i="7"/>
  <c r="B1112" i="7"/>
  <c r="E1112" i="7"/>
  <c r="F1112" i="7" s="1"/>
  <c r="D1112" i="7"/>
  <c r="B1104" i="7"/>
  <c r="E1104" i="7"/>
  <c r="F1104" i="7" s="1"/>
  <c r="D1104" i="7"/>
  <c r="B1096" i="7"/>
  <c r="E1096" i="7"/>
  <c r="F1096" i="7" s="1"/>
  <c r="D1096" i="7"/>
  <c r="B1088" i="7"/>
  <c r="E1088" i="7"/>
  <c r="F1088" i="7" s="1"/>
  <c r="D1088" i="7"/>
  <c r="B1080" i="7"/>
  <c r="E1080" i="7"/>
  <c r="F1080" i="7" s="1"/>
  <c r="D1080" i="7"/>
  <c r="B1072" i="7"/>
  <c r="E1072" i="7"/>
  <c r="F1072" i="7" s="1"/>
  <c r="D1072" i="7"/>
  <c r="B1064" i="7"/>
  <c r="E1064" i="7"/>
  <c r="F1064" i="7" s="1"/>
  <c r="D1064" i="7"/>
  <c r="B1057" i="7"/>
  <c r="E1057" i="7"/>
  <c r="F1057" i="7" s="1"/>
  <c r="D1057" i="7"/>
  <c r="B1049" i="7"/>
  <c r="E1049" i="7"/>
  <c r="F1049" i="7" s="1"/>
  <c r="D1049" i="7"/>
  <c r="B1041" i="7"/>
  <c r="E1041" i="7"/>
  <c r="F1041" i="7" s="1"/>
  <c r="D1041" i="7"/>
  <c r="B1033" i="7"/>
  <c r="E1033" i="7"/>
  <c r="F1033" i="7" s="1"/>
  <c r="D1033" i="7"/>
  <c r="B1025" i="7"/>
  <c r="E1025" i="7"/>
  <c r="F1025" i="7" s="1"/>
  <c r="D1025" i="7"/>
  <c r="B1017" i="7"/>
  <c r="E1017" i="7"/>
  <c r="F1017" i="7" s="1"/>
  <c r="D1017" i="7"/>
  <c r="B1009" i="7"/>
  <c r="E1009" i="7"/>
  <c r="F1009" i="7" s="1"/>
  <c r="D1009" i="7"/>
  <c r="B1001" i="7"/>
  <c r="E1001" i="7"/>
  <c r="F1001" i="7" s="1"/>
  <c r="D1001" i="7"/>
  <c r="B993" i="7"/>
  <c r="E993" i="7"/>
  <c r="F993" i="7" s="1"/>
  <c r="D993" i="7"/>
  <c r="B985" i="7"/>
  <c r="E985" i="7"/>
  <c r="F985" i="7" s="1"/>
  <c r="D985" i="7"/>
  <c r="B977" i="7"/>
  <c r="E977" i="7"/>
  <c r="F977" i="7" s="1"/>
  <c r="D977" i="7"/>
  <c r="B962" i="7"/>
  <c r="E962" i="7"/>
  <c r="F962" i="7" s="1"/>
  <c r="D962" i="7"/>
  <c r="B1404" i="7"/>
  <c r="E1404" i="7"/>
  <c r="F1404" i="7" s="1"/>
  <c r="B1397" i="7"/>
  <c r="E1397" i="7"/>
  <c r="F1397" i="7" s="1"/>
  <c r="B1389" i="7"/>
  <c r="E1389" i="7"/>
  <c r="F1389" i="7" s="1"/>
  <c r="B1374" i="7"/>
  <c r="E1374" i="7"/>
  <c r="F1374" i="7" s="1"/>
  <c r="B1366" i="7"/>
  <c r="E1366" i="7"/>
  <c r="F1366" i="7" s="1"/>
  <c r="B1359" i="7"/>
  <c r="E1359" i="7"/>
  <c r="F1359" i="7" s="1"/>
  <c r="B1351" i="7"/>
  <c r="E1351" i="7"/>
  <c r="F1351" i="7" s="1"/>
  <c r="B1343" i="7"/>
  <c r="E1343" i="7"/>
  <c r="F1343" i="7" s="1"/>
  <c r="B1335" i="7"/>
  <c r="E1335" i="7"/>
  <c r="F1335" i="7" s="1"/>
  <c r="B1327" i="7"/>
  <c r="E1327" i="7"/>
  <c r="F1327" i="7" s="1"/>
  <c r="B1320" i="7"/>
  <c r="E1320" i="7"/>
  <c r="F1320" i="7" s="1"/>
  <c r="D1320" i="7"/>
  <c r="B1421" i="7"/>
  <c r="E1421" i="7"/>
  <c r="F1421" i="7" s="1"/>
  <c r="B1413" i="7"/>
  <c r="E1413" i="7"/>
  <c r="F1413" i="7" s="1"/>
  <c r="D1421" i="7"/>
  <c r="D1393" i="7"/>
  <c r="D1367" i="7"/>
  <c r="D1355" i="7"/>
  <c r="D1329" i="7"/>
  <c r="D1317" i="7"/>
  <c r="D1303" i="7"/>
  <c r="D1291" i="7"/>
  <c r="D1278" i="7"/>
  <c r="D1253" i="7"/>
  <c r="D1227" i="7"/>
  <c r="D1214" i="7"/>
  <c r="D1201" i="7"/>
  <c r="D1189" i="7"/>
  <c r="D1091" i="7"/>
  <c r="D1044" i="7"/>
  <c r="D994" i="7"/>
  <c r="D941" i="7"/>
  <c r="D803" i="7"/>
  <c r="D629" i="7"/>
  <c r="D542" i="7"/>
  <c r="D438" i="7"/>
  <c r="D297" i="7"/>
  <c r="E833" i="7"/>
  <c r="F83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<sst xmlns="http://schemas.openxmlformats.org/spreadsheetml/2006/main" count="2185" uniqueCount="771">
  <si>
    <t>Alloy</t>
  </si>
  <si>
    <t>%Co</t>
  </si>
  <si>
    <t>%Cr</t>
  </si>
  <si>
    <t>%Fe</t>
  </si>
  <si>
    <t>%Ni</t>
  </si>
  <si>
    <t>Etutetic</t>
  </si>
  <si>
    <t>Al0.1CoCr3Fe5Ni</t>
  </si>
  <si>
    <t>Al0.2CoCr3Fe5Ni</t>
  </si>
  <si>
    <t>Al2.4Co24.4Cr24.4Fe24.4Ni24.4</t>
  </si>
  <si>
    <t>Al0.1CoCrFeNi</t>
  </si>
  <si>
    <t>Al0.1CoFeNiCr0.9</t>
  </si>
  <si>
    <t>Al0.3CoCr3Fe5Ni</t>
  </si>
  <si>
    <t>Al0.2CoCrFeNi</t>
  </si>
  <si>
    <t>Al0.2CoFeNiCr0.8</t>
  </si>
  <si>
    <t>Al0.3CoCr2FeNi</t>
  </si>
  <si>
    <t>Al0.25CoCrFeNi</t>
  </si>
  <si>
    <t>Al0.3CoCrFeNi</t>
  </si>
  <si>
    <t>Al7.0536Cr9.5224Fe15.749Co32.895Ni34.78</t>
  </si>
  <si>
    <t>Al7.1Cr9.5Fe15.7Co32.9Ni34.8</t>
  </si>
  <si>
    <t>Al7.2Co23.2Cr23.2Fe23.2Ni23.2</t>
  </si>
  <si>
    <t>Al7.2069Cr9.6072Fe12.998Co34.049Ni36.138</t>
  </si>
  <si>
    <t>Al7.2Cr9.6Fe13Co34Ni36.1</t>
  </si>
  <si>
    <t>Al0.3CoFeNiCr0.7</t>
  </si>
  <si>
    <t>Al7.6571Cr9.5984Fe26.587Co27.261Ni28.897</t>
  </si>
  <si>
    <t>Al7.6864Cr9.7668Fe18.702Co31.106Ni32.739</t>
  </si>
  <si>
    <t>Al7.7Cr9.6Fe26.6Co27.3Ni28.9</t>
  </si>
  <si>
    <t>Al7.7Cr9.8Fe18.7Co31.1Ni32.7</t>
  </si>
  <si>
    <t>Al7.7981Cr9.8581Fe22.204Co29.129Ni31.011</t>
  </si>
  <si>
    <t>Al7.8Cr9.9Fe22.2Co29.1Ni31</t>
  </si>
  <si>
    <t>Al7.9Cr10.1Fe37.3Co21.5Ni23.2</t>
  </si>
  <si>
    <t>Al7.9214Cr10.128Fe37.308Co21.456Ni23.187</t>
  </si>
  <si>
    <t>Al8.2Cr11.1Fe9.5Co34.7Ni36.5</t>
  </si>
  <si>
    <t>Al8.2174Cr11.089Fe9.5353Co34.671Ni36.488</t>
  </si>
  <si>
    <t>Al8.4Cr11.3Fe16.2Co31.1Ni33</t>
  </si>
  <si>
    <t>Al8.4Cr11.1Fe11.2Co33.7Ni35.6</t>
  </si>
  <si>
    <t>Al8.4326Cr11.117Fe11.233Co33.655Ni35.562</t>
  </si>
  <si>
    <t>Al8.4353Cr11.298Fe16.225Co31.074Ni32.968</t>
  </si>
  <si>
    <t>Al0.375CoCrFeNi</t>
  </si>
  <si>
    <t>CoCrFeNiAl0.38</t>
  </si>
  <si>
    <t>Al8.6895Cr10.442Fe32.126Co23.472Ni25.271</t>
  </si>
  <si>
    <t>Al8.7Cr10.4Fe32.1Co23.5Ni25.3</t>
  </si>
  <si>
    <t>Al8.7Cr10.9Fe27.2Co25.7Ni27.5</t>
  </si>
  <si>
    <t>Al8.7167Cr10.894Fe27.204Co25.722Ni27.464</t>
  </si>
  <si>
    <t>Al8.7665Cr11.071Fe13.554Co32.427Ni34.182</t>
  </si>
  <si>
    <t>Al8.7869Cr11.363Fe19.584Co29.085Ni31.181</t>
  </si>
  <si>
    <t>Al8.8Cr11.4Fe19.6Co29.1Ni31.2</t>
  </si>
  <si>
    <t>Al8.8Cr11.1Fe13.6Co32.4Ni34.2</t>
  </si>
  <si>
    <t>Al8.8Cr11.2Fe37.8Co20.3Ni21.9</t>
  </si>
  <si>
    <t>Al8.8421Cr11.177Fe37.809Co20.277Ni21.895</t>
  </si>
  <si>
    <t>Al8.9787Cr11.057Fe22.843Co27.609Ni29.512</t>
  </si>
  <si>
    <t>Al9Cr11.1Fe22.8Co27.6Ni29.5</t>
  </si>
  <si>
    <t>Al0.4CoCrFeNi</t>
  </si>
  <si>
    <t>Al0.5Co1.5CrFeNi1.5</t>
  </si>
  <si>
    <t>Al9.1Co22.7Cr22.7Fe22.7Ni22.7</t>
  </si>
  <si>
    <t>Al0.41NiCoFeCr</t>
  </si>
  <si>
    <t>Al9.38Ni22.66Co22.66Fe22.66Cr22.66</t>
  </si>
  <si>
    <t>Al9.3896Cr20.213Fe27.362Co19.0Ni24.035</t>
  </si>
  <si>
    <t>Al9.4Cr20.2Fe27.4Co19Ni24</t>
  </si>
  <si>
    <t>Al9.5Cr12.8Fe8.3Co33.7Ni35.6</t>
  </si>
  <si>
    <t>Al9.5441Cr12.808Fe8.2933Co33.722Ni35.633</t>
  </si>
  <si>
    <t>Al9.6Cr18.3Fe24.6Co20.8Ni26.7</t>
  </si>
  <si>
    <t>Al9.6Cr12.9Fe10Co32.9Ni34.6</t>
  </si>
  <si>
    <t>Al9.6049Cr12.858Fe10.028Co32.873Ni34.635</t>
  </si>
  <si>
    <t>Al9.6282Cr18.265Fe24.56Co20.832Ni26.716</t>
  </si>
  <si>
    <t>Al9.667Cr11.726Fe33.005Co22.094Ni23.508</t>
  </si>
  <si>
    <t>Al9.6848Cr12.735Fe23.761Co26.034Ni27.785</t>
  </si>
  <si>
    <t>Al9.7Cr11.7Fe33Co22.1Ni23.5</t>
  </si>
  <si>
    <t>Al9.7Cr12.7Fe23.8Co26Ni27.8</t>
  </si>
  <si>
    <t>Al9.7732Cr16.414Fe22.097Co23.063Ni28.652</t>
  </si>
  <si>
    <t>Al9.8Cr16.4Fe22.1Co23.1Ni28.7</t>
  </si>
  <si>
    <t>Al9.8Cr12.6Fe38.1Co18.9Ni20.5</t>
  </si>
  <si>
    <t>Al9.835Cr12.612Fe38.097Co18.913Ni20.543</t>
  </si>
  <si>
    <t>Al9.8532Cr12.823Fe20.152Co27.474Ni29.697</t>
  </si>
  <si>
    <t>Al9.8771Cr12.282Fe27.989Co23.9Ni25.953</t>
  </si>
  <si>
    <t>Al9.8828Cr13.003Fe11.871Co31.91Ni33.333</t>
  </si>
  <si>
    <t>Al9.9Cr12.3Fe28Co23.9Ni26</t>
  </si>
  <si>
    <t>Al9.9Cr12.8Fe20.2Co27.5Ni29.7</t>
  </si>
  <si>
    <t>Al9.9Cr13Fe11.9Co31.9Ni33.3</t>
  </si>
  <si>
    <t>Al0.44CoCrFeNi</t>
  </si>
  <si>
    <t>Fe36Co21Cr18Ni15Al10</t>
  </si>
  <si>
    <t>Al10Co30Cr20Fe35Ni5</t>
  </si>
  <si>
    <t>Al10.1Cr13Fe16.9Co29.3Ni30.7</t>
  </si>
  <si>
    <t>Al0.45CoCrFeNi</t>
  </si>
  <si>
    <t>Al10.122Cr13.018Fe16.891Co29.286Ni30.683</t>
  </si>
  <si>
    <t>Al10.155Cr12.844Fe13.963Co30.707Ni32.331</t>
  </si>
  <si>
    <t>Al10.2Cr12.8Fe14Co30.7Ni32.3</t>
  </si>
  <si>
    <t>Al10.4Cr20.2Fe27.4Co18.5Ni23.5</t>
  </si>
  <si>
    <t>Al10.412Cr20.185Fe27.394Co18.526Ni23.484</t>
  </si>
  <si>
    <t>Al0.6CoCrFeNi2.1</t>
  </si>
  <si>
    <t>Al10.6Cr13.5Fe33.1Co20.6Ni22.3</t>
  </si>
  <si>
    <t>Al10.592Cr13.489Fe33.053Co20.608Ni22.258</t>
  </si>
  <si>
    <t>Al10.8Cr18.4Fe24.4Co20.5Ni25.9</t>
  </si>
  <si>
    <t>Al10.81Cr18.377Fe24.397Co20.538Ni25.877</t>
  </si>
  <si>
    <t>Al11.1Cr15Fe7.5Co32.5Ni33.9</t>
  </si>
  <si>
    <t>Al11.11Cr14.989Fe7.4726Co32.5Ni33.929</t>
  </si>
  <si>
    <t>Al0.5CoCrFeNi</t>
  </si>
  <si>
    <t>Al11.183Cr13.881Fe28.258Co22.564Ni24.113</t>
  </si>
  <si>
    <t>Al11.2Cr13.9Fe28.3Co22.6Ni24.1</t>
  </si>
  <si>
    <t>Al11.2Co22.2Cr22.2Fe22.2Ni22.2</t>
  </si>
  <si>
    <t>Al11.278Cr14.008Fe38.29Co17.496Ni18.927</t>
  </si>
  <si>
    <t>Al11.3Cr14Fe38.3Co17.5Ni18.9</t>
  </si>
  <si>
    <t>Al11.3Cr16.5Fe22.2Co22.1Ni27.9</t>
  </si>
  <si>
    <t>Al11.3Cr14.5Fe24Co24.1Ni26.1</t>
  </si>
  <si>
    <t>Al11.309Cr14.476Fe24.036Co24.116Ni26.063</t>
  </si>
  <si>
    <t>Al11.336Cr16.507Fe22.153Co22.128Ni27.876</t>
  </si>
  <si>
    <t>Al11.4Cr14.7Fe20.7Co25.8Ni27.3</t>
  </si>
  <si>
    <t>Al11.44Cr14.703Fe20.685Co25.831Ni27.341</t>
  </si>
  <si>
    <t>Al11.475Cr15.286Fe12.225Co29.632Ni31.382</t>
  </si>
  <si>
    <t>Al11.489Cr15.195Fe10.194Co30.599Ni32.523</t>
  </si>
  <si>
    <t>Al11.49Cr14.887Fe19.629Co23.856Ni30.138</t>
  </si>
  <si>
    <t>Al11.491Cr15.123Fe14.512Co28.594Ni30.28</t>
  </si>
  <si>
    <t>Al11.5Cr14.9Fe19.6Co23.9Ni30.1</t>
  </si>
  <si>
    <t>Al11.5Cr15.1Fe14.5Co28.6Ni30.3</t>
  </si>
  <si>
    <t>Al11.5Cr15.3Fe12.2Co29.6Ni31.4</t>
  </si>
  <si>
    <t>Al11.5Cr15.2Fe10.2Co30.6Ni32.5</t>
  </si>
  <si>
    <t>Al11.5Cr15Fe8.6Co31.7Ni33.2</t>
  </si>
  <si>
    <t>Al11.513Cr14.988Fe8.6088Co31.739Ni33.151</t>
  </si>
  <si>
    <t>Al11.579Cr14.938Fe17.222Co27.304Ni28.957</t>
  </si>
  <si>
    <t>Al11.6Cr14.9Fe17.2Co27.3Ni29</t>
  </si>
  <si>
    <t>Al11.765Cr14.973Fe33.455Co19.129Ni20.678</t>
  </si>
  <si>
    <t>Al11.8Cr15Fe33.5Co19.1Ni20.7</t>
  </si>
  <si>
    <t>Al0.7CoCrFeNi2.1</t>
  </si>
  <si>
    <t>Al0.7CoCrFe2Ni</t>
  </si>
  <si>
    <t>Al0.7Ni1Co1Fe1.5Cr1.5</t>
  </si>
  <si>
    <t>Al0.7Ni1Co1Fe1Cr2</t>
  </si>
  <si>
    <t>Al12.3Cr15.7Fe28.6Co20.9Ni22.5</t>
  </si>
  <si>
    <t>Al12.321Cr15.674Fe28.606Co20.923Ni22.476</t>
  </si>
  <si>
    <t>Al12.356Cr20.148Fe27.111Co17.769Ni22.616</t>
  </si>
  <si>
    <t>Al12.4Cr20.1Fe27.1Co17.8Ni22.6</t>
  </si>
  <si>
    <t>Al0.57NiCoFeCr</t>
  </si>
  <si>
    <t>Al12.5Ni21.88Co21.88Fe21.88Cr21.88</t>
  </si>
  <si>
    <t>AlCoCrFeNi4</t>
  </si>
  <si>
    <t>Al12.5Ni17.5Co17.5Fe26.25Cr26.25</t>
  </si>
  <si>
    <t>Al12.5Ni17.5Co17.5Fe17.5Cr35</t>
  </si>
  <si>
    <t>AlCo2Cr1.5Fe1.5Ni2</t>
  </si>
  <si>
    <t>Al12.5Cr18.2Fe24.5Co19.6Ni25.1</t>
  </si>
  <si>
    <t>Al12.547Cr18.203Fe24.47Co19.64Ni25.14</t>
  </si>
  <si>
    <t>Al12.6Cr15.9Fe38Co16.3Ni17.2</t>
  </si>
  <si>
    <t>Al12.607Cr15.905Fe37.986Co16.337Ni17.165</t>
  </si>
  <si>
    <t>Al12.8Cr16.5Fe22.2Co21.4Ni27.2</t>
  </si>
  <si>
    <t>Al12.8Cr13.2Fe17.5Co25.1Ni31.4</t>
  </si>
  <si>
    <t>Al12.819Cr13.239Fe17.497Co25.076Ni31.37</t>
  </si>
  <si>
    <t>Al12.84Cr16.458Fe22.17Co21.357Ni27.175</t>
  </si>
  <si>
    <t>NiCoFeCrAl0.59</t>
  </si>
  <si>
    <t>Al12.881Cr16.389Fe24.17Co22.435Ni24.126</t>
  </si>
  <si>
    <t>Al12.886Cr14.779Fe19.678Co23.273Ni29.385</t>
  </si>
  <si>
    <t>Al12.9Cr14.8Fe19.7Co23.3Ni29.4</t>
  </si>
  <si>
    <t>Al12.9Cr16.4Fe24.2Co22.4Ni24.1</t>
  </si>
  <si>
    <t>Al13Cr23.5Fe20Co20Ni23.5</t>
  </si>
  <si>
    <t>Al13Co21.74Cr21.74Fe21.74Ni21.74</t>
  </si>
  <si>
    <t>Al0.6CoCrFeNi</t>
  </si>
  <si>
    <t>Al13.252Cr16.989Fe20.621Co23.772Ni25.366</t>
  </si>
  <si>
    <t>Al13.3Cr17Fe20.6Co23.8Ni25.4</t>
  </si>
  <si>
    <t>Al13.3Cr17.8Fe12.5Co27.5Ni29</t>
  </si>
  <si>
    <t>Al13.289Cr17.754Fe12.462Co27.477Ni29.018</t>
  </si>
  <si>
    <t>Al13.3Cr17.7Fe10.5Co28.5Ni30</t>
  </si>
  <si>
    <t>Al13.301Cr17.708Fe10.49Co28.537Ni29.964</t>
  </si>
  <si>
    <t>Al13.3Cr17.4Fe14.7Co26.5Ni28</t>
  </si>
  <si>
    <t>Al13.322Cr17.421Fe14.715Co26.519Ni28.023</t>
  </si>
  <si>
    <t>Al13.379Cr17.516Fe7.6821Co30.133Ni31.29</t>
  </si>
  <si>
    <t>Al13.4Cr17.5Fe7.7Co30.1Ni31.3</t>
  </si>
  <si>
    <t>Al13.479Cr16.819Fe32.96Co17.792Ni18.949</t>
  </si>
  <si>
    <t>Al13.5Cr17.6Fe9Co29.3Ni30.7</t>
  </si>
  <si>
    <t>Al13.487Cr17.579Fe8.9655Co29.282Ni30.686</t>
  </si>
  <si>
    <t>Al13.5Cr16.8Fe33Co17.8Ni18.9</t>
  </si>
  <si>
    <t>Al13.557Cr17.189Fe17.498Co24.99Ni26.766</t>
  </si>
  <si>
    <t>Al13.6Cr17.2Fe17.5Co25Ni26.8</t>
  </si>
  <si>
    <t>Al13.886Cr19.928Fe26.999Co17.344Ni21.844</t>
  </si>
  <si>
    <t>Al13.9Cr19.9Fe27Co17.3Ni21.8</t>
  </si>
  <si>
    <t>Fe34Cr34Ni14Al14Co4</t>
  </si>
  <si>
    <t>Al14.18Cr17.818Fe28.374Co19.114Ni20.513</t>
  </si>
  <si>
    <t>Al14.2Cr17.8Fe28.4Co19.1Ni20.5</t>
  </si>
  <si>
    <t>AlCoCrFeNi3.0</t>
  </si>
  <si>
    <t>AlCoCr2FeNi2</t>
  </si>
  <si>
    <t>Al0.85CoCrFeNi2.1</t>
  </si>
  <si>
    <t>Al15Co30Cr15Fe40Ni5</t>
  </si>
  <si>
    <t>Al14.3Cr18.1Fe24.6Co18.9Ni24.1</t>
  </si>
  <si>
    <t>Al14.321Cr18.079Fe24.613Co18.905Ni24.082</t>
  </si>
  <si>
    <t>Al14.497Cr18.628Fe24.345Co20.467Ni22.063</t>
  </si>
  <si>
    <t>Al14.5Cr18.6Fe24.3Co20.5Ni22.1</t>
  </si>
  <si>
    <t>Al14.8Cr13.2Fe17.4Co24.3Ni30.4</t>
  </si>
  <si>
    <t>Al14.788Cr13.16Fe17.403Co24.252Ni30.397</t>
  </si>
  <si>
    <t>Al14.8Co21.3Cr21.3Fe21.3Ni21.3</t>
  </si>
  <si>
    <t>AlCoCrFeNi2.75</t>
  </si>
  <si>
    <t>Al14.8Cr14.8Fe19.6Co22.3Ni28.4</t>
  </si>
  <si>
    <t>Al14.83Cr14.837Fe19.63Co22.337Ni28.365</t>
  </si>
  <si>
    <t>Al14.875Cr19.132Fe32.462Co16.22Ni17.311</t>
  </si>
  <si>
    <t>Al14.877Cr16.287Fe21.804Co20.776Ni26.255</t>
  </si>
  <si>
    <t>Al14.9Cr16.3Fe21.8Co20.8Ni26.3</t>
  </si>
  <si>
    <t>Al0.7CoCrFeNi</t>
  </si>
  <si>
    <t>Al14.9Cr19.1Fe32.5Co16.2Ni17.3</t>
  </si>
  <si>
    <t>Al14.907Cr19.271Fe20.641Co21.738Ni23.443</t>
  </si>
  <si>
    <t>Al14.9Cr19.3Fe20.6Co21.7Ni23.4</t>
  </si>
  <si>
    <t>Al0.6CoCr0.4FeNi</t>
  </si>
  <si>
    <t>Al15.1Cr20.3Fe6.9Co28.2Ni29.5</t>
  </si>
  <si>
    <t>Al15.125Cr20.286Fe6.8925Co28.225Ni29.472</t>
  </si>
  <si>
    <t>Al15.2Cr19.9Fe17.4Co23.2Ni24.3</t>
  </si>
  <si>
    <t>Al15.247Cr19.915Fe17.397Co23.157Ni24.284</t>
  </si>
  <si>
    <t>Al15.3Cr20.4Fe7.7Co27.4Ni29.2</t>
  </si>
  <si>
    <t>Al15.327Cr20.411Fe7.7228Co27.382Ni29.157</t>
  </si>
  <si>
    <t>Al15.379Cr20.469Fe9.0169Co26.904Ni28.231</t>
  </si>
  <si>
    <t>AlCoCrFeNi2.5</t>
  </si>
  <si>
    <t>Al15.4Cr20.5Fe9Co26.9Ni28.2</t>
  </si>
  <si>
    <t>Al15.6Cr20.4Fe12.6Co25Ni26.4</t>
  </si>
  <si>
    <t>Al0.74NiCoFeCr</t>
  </si>
  <si>
    <t>Al15.63Ni21.09Co21.09Fe21.09Cr21.09</t>
  </si>
  <si>
    <t>Al15.635Cr20.423Fe12.565Co24.963Ni26.415</t>
  </si>
  <si>
    <t>Al15.7Cr20.5Fe10.5Co25.8Ni27.5</t>
  </si>
  <si>
    <t>Al15.711Cr20.459Fe10.494Co25.808Ni27.528</t>
  </si>
  <si>
    <t>Al15.765Cr19.918Fe14.693Co24.089Ni25.536</t>
  </si>
  <si>
    <t>Al0.75CoCrFeNi</t>
  </si>
  <si>
    <t>Al15.8Cr19.9Fe14.7Co24.1Ni25.5</t>
  </si>
  <si>
    <t>AlCoCrFeNi2.25</t>
  </si>
  <si>
    <t>Al16Co16Cr16Fe16Ni16Fe20</t>
  </si>
  <si>
    <t>Al16Co21Cr21Fe21Ni21</t>
  </si>
  <si>
    <t>Al16Co41Cr15Fe10Ni18</t>
  </si>
  <si>
    <t>Al16.052Cr20.094Fe27.863Co17.358Ni18.633</t>
  </si>
  <si>
    <t>Al16.1Cr20.1Fe27.9Co17.4Ni18.6</t>
  </si>
  <si>
    <t>Al16.1Cr19.7Fe26.4Co16.7Ni21.1</t>
  </si>
  <si>
    <t>AlCoCrFeNi2.2</t>
  </si>
  <si>
    <t>Al16.13Cr19.712Fe26.373Co16.721Ni21.064</t>
  </si>
  <si>
    <t>AlCoCrFeNi2.1</t>
  </si>
  <si>
    <t>Al16.5Cr21.4Fe31.8Co14.6Ni15.7</t>
  </si>
  <si>
    <t>Al16.515Cr21.37Fe31.821Co14.633Ni15.659</t>
  </si>
  <si>
    <t>Al16.59Cr16.43Fe21.664Co20.035Ni25.28</t>
  </si>
  <si>
    <t>Al16.6Cr17.8Fe24Co18.3Ni23.3</t>
  </si>
  <si>
    <t>Al16.6Cr16.4Fe21.7Co20Ni25.3</t>
  </si>
  <si>
    <t>Al16.605Cr17.798Fe23.996Co18.329Ni23.271</t>
  </si>
  <si>
    <t>Al16.6Co20.8Cr20.8Fe20.8Ni20.8</t>
  </si>
  <si>
    <t>AlCo0.2CrFeNi2.8</t>
  </si>
  <si>
    <t>AlCo0.4CrFeNi2.6</t>
  </si>
  <si>
    <t>AlCo0.6CrFeNi2.4</t>
  </si>
  <si>
    <t>AlCo0.8CrFeNi2.2</t>
  </si>
  <si>
    <t>AlCoCrFeNi2</t>
  </si>
  <si>
    <t>AlCoCr2FeNi</t>
  </si>
  <si>
    <t>Al0.8CoCrFeNi</t>
  </si>
  <si>
    <t>Al16.7Cr22.8Fe31.1Co12.9Ni16.5</t>
  </si>
  <si>
    <t>Al16.7Cr13.3Fe17.4Co23.3Ni29.3</t>
  </si>
  <si>
    <t>Al16.7Cr11.8Fe15.4Co24.7Ni31.3</t>
  </si>
  <si>
    <t>Al16.728Cr13.283Fe17.359Co23.316Ni29.314</t>
  </si>
  <si>
    <t>Al16.729Cr22.828Fe31.096Co12.858Ni16.489</t>
  </si>
  <si>
    <t>Al16.748Cr11.833Fe15.412Co24.729Ni31.277</t>
  </si>
  <si>
    <t>Al16.9Cr21.8Fe20.5Co19.7Ni21.1</t>
  </si>
  <si>
    <t>Al16.915Cr21.793Fe20.497Co19.733Ni21.062</t>
  </si>
  <si>
    <t>AlCo1.9CrFeNi</t>
  </si>
  <si>
    <t>Al17Co14.3Cr14.3Fe14.3Ni40.1</t>
  </si>
  <si>
    <t>Al17Co14.3Cr14.3Fe28.6Ni25.8</t>
  </si>
  <si>
    <t>Al17Co17Cr17Fe17Ni17Fe15</t>
  </si>
  <si>
    <t>Al17Cr21.1Fe23.7Co18.5Ni19.7</t>
  </si>
  <si>
    <t>Al17Co28.6Cr14.3Fe14.3Ni25.8</t>
  </si>
  <si>
    <t>Al17.014Cr21.136Fe23.663Co18.481Ni19.707</t>
  </si>
  <si>
    <t>Al17.052Cr14.546Fe19.406Co21.56Ni27.436</t>
  </si>
  <si>
    <t>Al17.1Cr14.5Fe19.4Co21.6Ni27.4</t>
  </si>
  <si>
    <t>AlCoCrFeNi1.75</t>
  </si>
  <si>
    <t>Al17.4Cr22.5Fe17.3Co20.7Ni22.1</t>
  </si>
  <si>
    <t>Al17.409Cr22.472Fe17.258Co20.714Ni22.147</t>
  </si>
  <si>
    <t>Al0.7Co0.3CrFeNi</t>
  </si>
  <si>
    <t>Al17.6Cr23.2Fe6.8Co25.7Ni26.6</t>
  </si>
  <si>
    <t>Al17.642Cr23.177Fe6.8228Co25.723Ni26.636</t>
  </si>
  <si>
    <t>Al17.662Cr23.102Fe12.532Co22.78Ni23.924</t>
  </si>
  <si>
    <t>Al17.698Cr22.938Fe14.456Co21.892Ni23.016</t>
  </si>
  <si>
    <t>Al17.7Cr22.9Fe14.5Co21.9Ni23</t>
  </si>
  <si>
    <t>Al17.7Cr23.1Fe12.5Co22.8Ni23.9</t>
  </si>
  <si>
    <t>Al1.1CoCrFeNi2.1</t>
  </si>
  <si>
    <t>Al17.791Cr23.36Fe9.1903Co24.246Ni25.413</t>
  </si>
  <si>
    <t>Al17.8Cr23.4Fe9.2Co24.2Ni25.4</t>
  </si>
  <si>
    <t>Al0.875CoCrFeNi</t>
  </si>
  <si>
    <t>Al17.999Cr22.526Fe27.296Co15.615Ni16.563</t>
  </si>
  <si>
    <t>Al18Cr22.5Fe27.3Co15.6Ni16.6</t>
  </si>
  <si>
    <t>Al18Cr21Fe20Co20Ni21</t>
  </si>
  <si>
    <t>Al18Cr23.4Fe7.7Co24.8Ni26.1</t>
  </si>
  <si>
    <t>Co30Cr10Fe10Al18Ni32</t>
  </si>
  <si>
    <t>Al18.01Cr23.444Fe7.7195Co24.775Ni26.051</t>
  </si>
  <si>
    <t>CoCrFeNiAl0.88</t>
  </si>
  <si>
    <t>Al18.071Cr23.327Fe10.652Co23.492Ni24.458</t>
  </si>
  <si>
    <t>Al18.079Cr20.981Fe28.345Co14.222Ni18.373</t>
  </si>
  <si>
    <t>Al18.1Cr23.3Fe10.7Co23.5Ni24.5</t>
  </si>
  <si>
    <t>Al18.1Cr21Fe28.3Co14.2Ni18.4</t>
  </si>
  <si>
    <t>AlCoCrFeNi1.5</t>
  </si>
  <si>
    <t>Al0.9CoCrFeNi</t>
  </si>
  <si>
    <t>Al18.4Co20.4Cr20.4Fe20.4Ni20.4</t>
  </si>
  <si>
    <t>Al18.554Cr23.963Fe32.502Co10.887Ni14.094</t>
  </si>
  <si>
    <t>Al18.6Cr24Fe32.5Co10.9Ni14.1</t>
  </si>
  <si>
    <t>Al18.595Cr23.706Fe30.334Co13.135Ni14.231</t>
  </si>
  <si>
    <t>Al18.6Cr23.7Fe30.3Co13.1Ni14.2</t>
  </si>
  <si>
    <t>Al0.92NiCoFeCr</t>
  </si>
  <si>
    <t>Al18.763Cr19.403Fe26.079Co15.608Ni20.148</t>
  </si>
  <si>
    <t>Al18.77Cr23.518Fe23.335Co16.664Ni17.713</t>
  </si>
  <si>
    <t>Al18.8Cr19.4Fe26.1Co15.6Ni20.1</t>
  </si>
  <si>
    <t>Al18.8Cr23.5Fe23.3Co16.7Ni17.7</t>
  </si>
  <si>
    <t>Al18.954Cr24.332Fe19.843Co17.873Ni18.998</t>
  </si>
  <si>
    <t>Al19Cr17.6Fe23.6Co17.6Ni22.2</t>
  </si>
  <si>
    <t>Al19Cr24.3Fe19.8Co17.9Ni19</t>
  </si>
  <si>
    <t>Al19Co19Cr19Fe19Ni19Fe5</t>
  </si>
  <si>
    <t>Al19.031Cr17.569Fe23.603Co17.575Ni22.222</t>
  </si>
  <si>
    <t>Al19.1Cr24.4Fe33.4Co11Ni12</t>
  </si>
  <si>
    <t>Al19.134Cr24.446Fe33.431Co11.024Ni11.966</t>
  </si>
  <si>
    <t>Al19.37Cr25.34Fe16.827Co18.685Ni19.778</t>
  </si>
  <si>
    <t>Al19.4Cr25.3Fe16.8Co18.7Ni19.8</t>
  </si>
  <si>
    <t>Al19.5Cr22.2Fe30.2Co12.3Ni15.7</t>
  </si>
  <si>
    <t>Al19.54Cr22.204Fe30.232Co12.315Ni15.708</t>
  </si>
  <si>
    <t>Al19.565Cr24.993Fe26.237Co14.143Ni15.062</t>
  </si>
  <si>
    <t>Al19.584Cr16.114Fe21.306Co18.98Ni24.016</t>
  </si>
  <si>
    <t>Al19.6Cr25Fe26.2Co14.1Ni15.1</t>
  </si>
  <si>
    <t>Al19.6Cr16.1Fe21.3Co19Ni24</t>
  </si>
  <si>
    <t>Al19.6Cr13.3Fe17.2Co22Ni27.9</t>
  </si>
  <si>
    <t>Al19.637Cr13.317Fe17.163Co22.02Ni27.864</t>
  </si>
  <si>
    <t>Al19.7Cr11.7Fe15.5Co23.4Ni29.7</t>
  </si>
  <si>
    <t>Al19.735Cr11.701Fe15.513Co23.353Ni29.698</t>
  </si>
  <si>
    <t>Al19.756Cr14.461Fe19.115Co20.659Ni26.009</t>
  </si>
  <si>
    <t>Al19.8Cr14.5Fe19.1Co20.7Ni26</t>
  </si>
  <si>
    <t>Al19.966Cr25.861Fe14.279Co19.528Ni20.367</t>
  </si>
  <si>
    <t>Al20Cr25.9Fe14.3Co19.5Ni20.4</t>
  </si>
  <si>
    <t>CoCrFeNiAl</t>
  </si>
  <si>
    <t>Al20.071Cr24.911Fe33.734Co9.3226Ni11.961</t>
  </si>
  <si>
    <t>Al20.1Cr26.5Fe22.3Co15.1Ni16.1</t>
  </si>
  <si>
    <t>Al20.1Cr26.6Fe10.4Co21Ni22</t>
  </si>
  <si>
    <t>Al20.1Cr24.9Fe33.7Co9.3Ni12</t>
  </si>
  <si>
    <t>Al20.102Cr26.553Fe10.36Co21.018Ni21.967</t>
  </si>
  <si>
    <t>Al20.1Cr26.4Fe12.1Co20.1Ni21.2</t>
  </si>
  <si>
    <t>Al20.132Cr26.417Fe12.108Co20.122Ni21.221</t>
  </si>
  <si>
    <t>Al20.137Cr26.462Fe22.28Co15.071Ni16.051</t>
  </si>
  <si>
    <t>Al20.259Cr26.029Fe29.196Co11.986Ni12.53</t>
  </si>
  <si>
    <t>Al20.3Cr26Fe29.2Co12Ni12.5</t>
  </si>
  <si>
    <t>Al20.3Cr26.7Fe7.6Co22.3Ni23.1</t>
  </si>
  <si>
    <t>Al20.3Cr26.7Fe9Co21.5Ni22.4</t>
  </si>
  <si>
    <t>Al20.332Cr26.743Fe8.9777Co21.516Ni22.431</t>
  </si>
  <si>
    <t>Al20.336Cr26.742Fe7.5618Co22.306Ni23.054</t>
  </si>
  <si>
    <t>AlCoCrFeNi0.9</t>
  </si>
  <si>
    <t>Al20.5Cr26.6Fe6.6Co22.7Ni23.6</t>
  </si>
  <si>
    <t>Al20.511Cr26.572Fe6.612Co22.666Ni23.638</t>
  </si>
  <si>
    <t>Al20.6Cr20.6Fe27.5Co13.6Ni17.7</t>
  </si>
  <si>
    <t>Al20.608Cr20.56Fe27.545Co13.632Ni17.655</t>
  </si>
  <si>
    <t>AlCoCrFeNi0.8</t>
  </si>
  <si>
    <t>Al20.956Cr27.277Fe19.064Co15.811Ni16.892</t>
  </si>
  <si>
    <t>Al21Cr26.8Fe31.6Co10.1Ni10.6</t>
  </si>
  <si>
    <t>Al21Cr27.3Fe19.1Co15.8Ni16.9</t>
  </si>
  <si>
    <t>Al21.021Cr26.767Fe31.584Co10.066Ni10.562</t>
  </si>
  <si>
    <t>AlCoCrFeNi0.75</t>
  </si>
  <si>
    <t>Al21.063Cr25.708Fe34.768Co8.0868Ni10.374</t>
  </si>
  <si>
    <t>Al21.1Cr25.7Fe34.8Co8.1Ni10.4</t>
  </si>
  <si>
    <t>Al21.1Cr18.9Fe25.6Co15.1Ni19.4</t>
  </si>
  <si>
    <t>Al21.121Cr18.85Fe25.552Co15.095Ni19.382</t>
  </si>
  <si>
    <t>AlCoCr0.7FeNi</t>
  </si>
  <si>
    <t>AlCoCrFeNi0.70</t>
  </si>
  <si>
    <t>Al21.3Cr27.7Fe24.9Co12.6Ni13.5</t>
  </si>
  <si>
    <t>Al21.303Cr27.675Fe24.947Co12.593Ni13.482</t>
  </si>
  <si>
    <t>AlCoCrFeNi0.65</t>
  </si>
  <si>
    <t>Al1.1CoCrFeNi</t>
  </si>
  <si>
    <t>Al21.575Cr26.982Fe33.913Co8.6041Ni8.9265</t>
  </si>
  <si>
    <t>Al21.6Cr27Fe33.9Co8.6Ni8.9</t>
  </si>
  <si>
    <t>AlCoCrFeNi0.60</t>
  </si>
  <si>
    <t>Al21.756Cr28.394Fe16.055Co16.496Ni17.299</t>
  </si>
  <si>
    <t>Al21.8Cr28.4Fe16.1Co16.5Ni17.3</t>
  </si>
  <si>
    <t>Al1.12NiCoFeCr</t>
  </si>
  <si>
    <t>Al21.88Ni19.53Co19.53Fe19.53Cr19.53</t>
  </si>
  <si>
    <t>Al21.952Cr27.351Fe36.993Co5.9783Ni7.7257</t>
  </si>
  <si>
    <t>AlCoCrFeNi0.55</t>
  </si>
  <si>
    <t>Al22Cr27.4Fe37Co6Ni7.7</t>
  </si>
  <si>
    <t>Al21.983Cr23.021Fe31.344Co10.364Ni13.288</t>
  </si>
  <si>
    <t>Al22Cr23Fe31.3Co10.4Ni13.3</t>
  </si>
  <si>
    <t>Al22.1Cr28.8Fe27.1Co10.6Ni11.4</t>
  </si>
  <si>
    <t>Al22.1Cr28.9Fe13.7Co17.3Ni18</t>
  </si>
  <si>
    <t>Al22.103Cr28.93Fe13.681Co17.262Ni18.024</t>
  </si>
  <si>
    <t>Al22.132Cr28.777Fe27.106Co10.563Ni11.422</t>
  </si>
  <si>
    <t>Al22.2Cr15.8Fe21.1Co17.9Ni23</t>
  </si>
  <si>
    <t>AlCoCr0.5FeNi</t>
  </si>
  <si>
    <t>AlCoCrFeNi0.5</t>
  </si>
  <si>
    <t>Al22.224Cr15.806Fe21.132Co17.861Ni22.977</t>
  </si>
  <si>
    <t>Al22.3Cr17.4Fe23.1Co16.5Ni20.8</t>
  </si>
  <si>
    <t>Al22.284Cr17.373Fe23.092Co16.485Ni20.766</t>
  </si>
  <si>
    <t>Al22.376Cr29.495Fe11.632Co17.776Ni18.721</t>
  </si>
  <si>
    <t>Al22.4Cr29Fe21.2Co13.1Ni14.3</t>
  </si>
  <si>
    <t>Al22.4Cr29.5Fe11.6Co17.8Ni18.7</t>
  </si>
  <si>
    <t>Al22.4Cr29.8Fe10Co18.4Ni19.4</t>
  </si>
  <si>
    <t>Al22.411Cr29.802Fe10.038Co18.398Ni19.351</t>
  </si>
  <si>
    <t>Al22.418Cr28.982Fe21.178Co13.115Ni14.307</t>
  </si>
  <si>
    <t>AlCoCrFeNi0.45</t>
  </si>
  <si>
    <t>Al1.17CoCrFeNi</t>
  </si>
  <si>
    <t>Al22.699Cr14.274Fe18.748Co19.392Ni24.887</t>
  </si>
  <si>
    <t>Al22.7Cr14.3Fe18.7Co19.4Ni24.9</t>
  </si>
  <si>
    <t>Al22.9Cr21.6Fe28.9Co11.7Ni14.9</t>
  </si>
  <si>
    <t>Al22.945Cr21.572Fe28.887Co11.687Ni14.908</t>
  </si>
  <si>
    <t>Al22.964Cr27.499Fe37.191Co5.3003Ni7.0456</t>
  </si>
  <si>
    <t>Al23Cr27.5Fe37.2Co5.3Ni7</t>
  </si>
  <si>
    <t>Al1.2CoCrFeNi</t>
  </si>
  <si>
    <t>Al23.09Cr29.988Fe8.4699Co18.846Ni19.606</t>
  </si>
  <si>
    <t>Al23.095Cr30.354Fe23.435Co11.371Ni11.746</t>
  </si>
  <si>
    <t>Al23.1Cr30.4Fe23.4Co11.4Ni11.7</t>
  </si>
  <si>
    <t>Al23.1Cr30Fe8.5Co18.8Ni19.6</t>
  </si>
  <si>
    <t>Al23.1Cr30.1Fe7.5Co19.3Ni19.9</t>
  </si>
  <si>
    <t>Al23.131Cr30.102Fe7.5073Co19.33Ni19.929</t>
  </si>
  <si>
    <t>Al23.2Co19.2Cr19.2Fe19.2Ni19.2</t>
  </si>
  <si>
    <t>NiCoFeCrAl1.21</t>
  </si>
  <si>
    <t>Al23.251Cr30.118Fe6.4328Co19.783Ni20.415</t>
  </si>
  <si>
    <t>Al23.253Cr30.138Fe18.137Co13.717Ni14.756</t>
  </si>
  <si>
    <t>AlCoCr0.3FeNi</t>
  </si>
  <si>
    <t>Al23.3Cr26.1Fe35Co6.9Ni8.7</t>
  </si>
  <si>
    <t>Al23.3Cr30.1Fe18.1Co13.7Ni14.8</t>
  </si>
  <si>
    <t>Al23.3Cr30.1Fe6.4Co19.8Ni20.4</t>
  </si>
  <si>
    <t>Al23.341Cr26.051Fe34.957Co6.9101Ni8.741</t>
  </si>
  <si>
    <t>Al23.4Cr11.5Fe15.2Co22Ni27.9</t>
  </si>
  <si>
    <t>Al23.437Cr11.473Fe15.18Co22.037Ni27.873</t>
  </si>
  <si>
    <t>Al23.485Cr29.048Fe29.2Co8.7738Ni9.4937</t>
  </si>
  <si>
    <t>Al23.5Cr29Fe29.2Co8.8Ni9.5</t>
  </si>
  <si>
    <t>Al23.5Cr12.8Fe17Co20.5Ni26.2</t>
  </si>
  <si>
    <t>Al23.537Cr12.785Fe17.011Co20.481Ni26.187</t>
  </si>
  <si>
    <t>Al23.6Cr29.6Fe31.3Co7.3Ni8.2</t>
  </si>
  <si>
    <t>Al23.6Cr19.9Fe26.7Co12.9Ni16.9</t>
  </si>
  <si>
    <t>Al23.6Cr31.3Fe15.2Co14.7Ni15.2</t>
  </si>
  <si>
    <t>Al23.617Cr29.558Fe31.281Co7.3486Ni8.1954</t>
  </si>
  <si>
    <t>Al23.618Cr31.328Fe15.204Co14.662Ni15.189</t>
  </si>
  <si>
    <t>Al23.62Cr19.894Fe26.734Co12.87Ni16.882</t>
  </si>
  <si>
    <t>Al23.754Cr23.723Fe32.147Co8.9571Ni11.419</t>
  </si>
  <si>
    <t>Al23.8Cr23.7Fe32.1Co9Ni11.4</t>
  </si>
  <si>
    <t>Al1.25CoCrFeNi</t>
  </si>
  <si>
    <t>Al24.087Cr32.042Fe13.083Co14.881Ni15.907</t>
  </si>
  <si>
    <t>Al24.1Cr32Fe13.1Co14.9Ni15.9</t>
  </si>
  <si>
    <t>Al24.157Cr31.067Fe25.283Co9.5031Ni9.9901</t>
  </si>
  <si>
    <t>Al24.2Cr31.1Fe25.3Co9.5Ni10</t>
  </si>
  <si>
    <t>Al24.3Cr31.7Fe19.8Co11.9Ni12.3</t>
  </si>
  <si>
    <t>Al24.309Cr31.738Fe19.833Co11.85Ni12.271</t>
  </si>
  <si>
    <t>Al24.468Cr32.449Fe11.207Co15.57Ni16.306</t>
  </si>
  <si>
    <t>Al24.5Cr32.4Fe11.2Co15.6Ni16.3</t>
  </si>
  <si>
    <t>Al1.3CoCrFeNi</t>
  </si>
  <si>
    <t>Al24.671Cr26.266Fe35.331Co6.0Ni7.7328</t>
  </si>
  <si>
    <t>Al24.7Cr32.9Fe9.7Co16Ni16.8</t>
  </si>
  <si>
    <t>Al24.679Cr32.906Fe9.6917Co15.961Ni16.762</t>
  </si>
  <si>
    <t>Al24.688Cr24.592Fe32.719Co7.7811Ni10.22</t>
  </si>
  <si>
    <t>Al24.695Cr18.519Fe24.381Co14.158Ni18.247</t>
  </si>
  <si>
    <t>Al24.7Cr26.3Fe35.3Co6Ni7.7</t>
  </si>
  <si>
    <t>Al24.7Cr24.6Fe32.7Co7.8Ni10.2</t>
  </si>
  <si>
    <t>Al24.7Cr18.5Fe24.4Co14.2Ni18.2</t>
  </si>
  <si>
    <t>Al24.855Cr33.237Fe8.1593Co16.626Ni17.122</t>
  </si>
  <si>
    <t>Al24.9Cr33.2Fe8.2Co16.6Ni17.1</t>
  </si>
  <si>
    <t>Al1.33NiCoFeCr</t>
  </si>
  <si>
    <t>Al24.999Cr33.087Fe21.637Co9.9821Ni10.295</t>
  </si>
  <si>
    <t>Al25Cr33.1Fe21.6Co10Ni10.3</t>
  </si>
  <si>
    <t>Al25Ni18.75Co18.75Fe18.75Cr18.75</t>
  </si>
  <si>
    <t>Al25.076Cr33.124Fe16.849Co12.019Ni12.933</t>
  </si>
  <si>
    <t>Al25.1Cr33.1Fe16.8Co12Ni12.9</t>
  </si>
  <si>
    <t>Al25.154Cr22.38Fe29.816Co9.8614Ni12.789</t>
  </si>
  <si>
    <t>Al25.2Cr22.4Fe29.8Co9.9Ni12.8</t>
  </si>
  <si>
    <t>Al25.2Cr31.6Fe26.8Co8Ni8.4</t>
  </si>
  <si>
    <t>Al25.2Cr33.5Fe7.2Co16.7Ni17.4</t>
  </si>
  <si>
    <t>Al25.217Cr31.592Fe26.845Co7.9949Ni8.3508</t>
  </si>
  <si>
    <t>Al25.229Cr33.491Fe7.1736Co16.733Ni17.373</t>
  </si>
  <si>
    <t>Al25.56Cr16.72Fe22.379Co15.684Ni19.657</t>
  </si>
  <si>
    <t>Al25.6Cr16.7Fe22.4Co15.7Ni19.7</t>
  </si>
  <si>
    <t>Al25.682Cr14.016Fe18.41Co18.288Ni23.604</t>
  </si>
  <si>
    <t>Al25.689Cr33.652Fe6.2264Co16.926Ni17.507</t>
  </si>
  <si>
    <t>Al25.7Cr33.7Fe6.2Co16.9Ni17.5</t>
  </si>
  <si>
    <t>Al25.7Cr14Fe18.4Co18.3Ni23.6</t>
  </si>
  <si>
    <t>Al25.797Cr15.306Fe20.371Co16.989Ni21.537</t>
  </si>
  <si>
    <t>Al25.8Cr15.3Fe20.4Co17Ni21.5</t>
  </si>
  <si>
    <t>Al25.8Cr34.5Fe18.5Co10.3Ni10.8</t>
  </si>
  <si>
    <t>Al25.844Cr34.517Fe18.489Co10.34Ni10.81</t>
  </si>
  <si>
    <t>Al1.4CoCrFeNi</t>
  </si>
  <si>
    <t>Al25.961Cr34.228Fe14.225Co12.518Ni13.067</t>
  </si>
  <si>
    <t>Al26Cr34.2Fe14.2Co12.5Ni13.1</t>
  </si>
  <si>
    <t>Al26Cr35Fe12.3Co12.9Ni13.8</t>
  </si>
  <si>
    <t>Al26.018Cr35.028Fe12.275Co12.868Ni13.81</t>
  </si>
  <si>
    <t>Al26Cr33.6Fe23.1Co8.4Ni8.8</t>
  </si>
  <si>
    <t>Al26.04Cr33.638Fe23.054Co8.448Ni8.8202</t>
  </si>
  <si>
    <t>Al26.3Cr35.9Fe10.4Co13.5Ni14</t>
  </si>
  <si>
    <t>Al26.335Cr35.884Fe10.356Co13.452Ni13.973</t>
  </si>
  <si>
    <t>Al26.4Cr20.613Fe27.729Co11.054Ni14.204</t>
  </si>
  <si>
    <t>Al26.4Cr20.6Fe27.7Co11.1Ni14.2</t>
  </si>
  <si>
    <t>Al26.4Cr24.9Fe33.5Co6.5Ni8.6</t>
  </si>
  <si>
    <t>Al26.448Cr24.89Fe33.505Co6.5465Ni8.6105</t>
  </si>
  <si>
    <t>Al26.458Cr23.092Fe31.01Co8.5177Ni10.922</t>
  </si>
  <si>
    <t>Al26.487Cr34.34Fe24.422Co7.1436Ni7.6076</t>
  </si>
  <si>
    <t>Al26.5Cr23.1Fe31Co8.5Ni10.9</t>
  </si>
  <si>
    <t>Al26.5Cr11.4Fe15.2Co20.6Ni26.3</t>
  </si>
  <si>
    <t>Al26.5Cr34.3Fe24.4Co7.1Ni7.6</t>
  </si>
  <si>
    <t>Al26.538Cr11.447Fe15.157Co20.602Ni26.256</t>
  </si>
  <si>
    <t>Al26.6Cr35.8Fe19.7Co8.5Ni9.3</t>
  </si>
  <si>
    <t>Al26.633Cr35.834Fe19.722Co8.5182Ni9.2931</t>
  </si>
  <si>
    <t>Al26.7Cr36Fe9Co13.9Ni14.4</t>
  </si>
  <si>
    <t>Al26.701Cr36.006Fe9.0012Co13.873Ni14.419</t>
  </si>
  <si>
    <t>Al26.888Cr36.715Fe7.7867Co13.962Ni14.648</t>
  </si>
  <si>
    <t>Al26.9Cr36.7Fe7.8Co14Ni14.6</t>
  </si>
  <si>
    <t>Al26.9Cr36.9Fe6.8Co14.4Ni15</t>
  </si>
  <si>
    <t>Al26.91Cr36.872Fe6.8079Co14.422Ni14.988</t>
  </si>
  <si>
    <t>Al26.962Cr35.837Fe15.649Co10.388Ni11.164</t>
  </si>
  <si>
    <t>Al27Cr35.8Fe15.6Co10.4Ni11.2</t>
  </si>
  <si>
    <t>Al27.1Cr12.6Fe16.6Co19.2Ni24.5</t>
  </si>
  <si>
    <t>Al27.131Cr12.581Fe16.58Co19.247Ni24.462</t>
  </si>
  <si>
    <t>Al27.2Co18.2Cr18.2Fe18.2Ni18.2</t>
  </si>
  <si>
    <t>Al1.5CoCrFeNi</t>
  </si>
  <si>
    <t>Al27.295Cr36.349Fe21.094Co7.4846Ni7.7773</t>
  </si>
  <si>
    <t>Al27.3Cr36.3Fe21.1Co7.5Ni7.8</t>
  </si>
  <si>
    <t>Al27.469Cr37.183Fe13.087Co10.858Ni11.402</t>
  </si>
  <si>
    <t>Al27.5Cr37.2Fe13.1Co10.9Ni11.4</t>
  </si>
  <si>
    <t>Al27.6Cr19Fe25.5Co12.2Ni15.7</t>
  </si>
  <si>
    <t>Al27.627Cr18.993Fe25.477Co12.218Ni15.684</t>
  </si>
  <si>
    <t>Al27.8Cr37.2Fe16.8Co8.9Ni9.3</t>
  </si>
  <si>
    <t>Al27.834Cr37.182Fe16.772Co8.9296Ni9.2823</t>
  </si>
  <si>
    <t>Al28.1Cr21.4Fe29Co9.4Ni12.1</t>
  </si>
  <si>
    <t>Al28.114Cr21.439Fe28.985Co9.3671Ni12.095</t>
  </si>
  <si>
    <t>Al28.212Cr25.006Fe33.438Co5.8137Ni7.5305</t>
  </si>
  <si>
    <t>Al28.2Cr25Fe33.4Co5.8Ni7.5</t>
  </si>
  <si>
    <t>Al28.3Cr37.9Fe11.2Co11Ni11.6</t>
  </si>
  <si>
    <t>Al28.338Cr37.884Fe11.159Co10.978Ni11.64</t>
  </si>
  <si>
    <t>Al28.4Cr38Fe18Co7.6Ni8</t>
  </si>
  <si>
    <t>Al28.448Cr37.969Fe18.017Co7.5603Ni8.0057</t>
  </si>
  <si>
    <t>Al28.467Cr17.603Fe23.497Co13.352Ni17.081</t>
  </si>
  <si>
    <t>Al28.5Cr17.6Fe23.5Co13.4Ni17.1</t>
  </si>
  <si>
    <t>Al28.491Cr23.313Fe31.087Co7.4228Ni9.6867</t>
  </si>
  <si>
    <t>Al28.5Cr23.3Fe31.1Co7.4Ni9.7</t>
  </si>
  <si>
    <t>Al1.6CoCrFeNi</t>
  </si>
  <si>
    <t>Al28.774Cr38.574Fe9.4211Co11.432Ni11.799</t>
  </si>
  <si>
    <t>Al28.796Cr16.214Fe21.66Co14.848Ni18.482</t>
  </si>
  <si>
    <t>Al28.8Cr38.6Fe9.4Co11.4Ni11.8</t>
  </si>
  <si>
    <t>Al28.8Cr16.2Fe21.7Co14.8Ni18.5</t>
  </si>
  <si>
    <t>Al28.9Cr39.6Fe7.1Co12Ni12.4</t>
  </si>
  <si>
    <t>Al28.9Cr38.7Fe13.9Co9Ni9.4</t>
  </si>
  <si>
    <t>Al28.94Cr38.743Fe13.924Co8.9942Ni9.3989</t>
  </si>
  <si>
    <t>Al28.948Cr39.558Fe7.1113Co11.95Ni12.433</t>
  </si>
  <si>
    <t>Al28.981Cr39.123Fe8.2221Co11.594Ni12.08</t>
  </si>
  <si>
    <t>Al29Cr39.1Fe8.2Co11.6Ni12.1</t>
  </si>
  <si>
    <t>Al29.18Cr19.993Fe26.929Co10.345Ni13.553</t>
  </si>
  <si>
    <t>Al29.187Cr39.75Fe6.1695Co12.245Ni12.649</t>
  </si>
  <si>
    <t>Al29.2Cr20Fe26.9Co10.3Ni13.6</t>
  </si>
  <si>
    <t>Al29.2Cr39.8Fe6.2Co12.2Ni12.6</t>
  </si>
  <si>
    <t>Al29.2Cr14.9Fe19.4Co15.8Ni20.6</t>
  </si>
  <si>
    <t>Al29.231Cr14.933Fe19.408Co15.79Ni20.638</t>
  </si>
  <si>
    <t>Al29.4Cr39.8Fe11.8Co9.3Ni9.8</t>
  </si>
  <si>
    <t>Al29.388Cr39.769Fe11.795Co9.2594Ni9.7894</t>
  </si>
  <si>
    <t>Al29.698Cr11.204Fe14.767Co19.435Ni24.896</t>
  </si>
  <si>
    <t>Al29.7Cr39.7Fe15Co7.6Ni8</t>
  </si>
  <si>
    <t>Al29.7Cr11.2Fe14.8Co19.4Ni24.9</t>
  </si>
  <si>
    <t>Al29.727Cr39.666Fe15.038Co7.6084Ni7.9609</t>
  </si>
  <si>
    <t>Al29.8Cr40.7Fe10.3Co9.4Ni9.9</t>
  </si>
  <si>
    <t>Al29.793Cr40.691Fe10.252Co9.3998Ni9.8642</t>
  </si>
  <si>
    <t>Al29.8Cr13.7Fe17.7Co17.2Ni21.6</t>
  </si>
  <si>
    <t>Al29.805Cr13.688Fe17.735Co17.191Ni21.581</t>
  </si>
  <si>
    <t>Al1.7CoCrFeNi</t>
  </si>
  <si>
    <t>Al30Cr12.5Fe16.2Co18.2Ni23.2</t>
  </si>
  <si>
    <t>Al30Cr40.3Fe16.2Co6.6Ni6.9</t>
  </si>
  <si>
    <t>Al30.002Cr40.323Fe16.227Co6.5768Ni6.872</t>
  </si>
  <si>
    <t>Al30.03Cr12.455Fe16.17Co18.152Ni23.193</t>
  </si>
  <si>
    <t>Al30.265Cr21.934Fe29.172Co8.1633Ni10.466</t>
  </si>
  <si>
    <t>Al30.3Cr21.9Fe29.2Co8.2Ni10.5</t>
  </si>
  <si>
    <t>Al30.362Cr23.623Fe31.469Co6.3059Ni8.2406</t>
  </si>
  <si>
    <t>Al30.4Cr23.6Fe31.5Co6.3Ni8.2</t>
  </si>
  <si>
    <t>Al30.4Cr41.4Fe8.6Co9.5Ni10.1</t>
  </si>
  <si>
    <t>Al30.447Cr41.376Fe8.5738Co9.4987Ni10.105</t>
  </si>
  <si>
    <t>Al30.7Cr18.3Fe24.6Co11.4Ni14.9</t>
  </si>
  <si>
    <t>Al30.735Cr18.314Fe24.624Co11.44Ni14.887</t>
  </si>
  <si>
    <t>Al30.798Cr41.04Fe12.567Co7.6079Ni7.9876</t>
  </si>
  <si>
    <t>Al30.8Cr41Fe12.6Co7.6Ni8</t>
  </si>
  <si>
    <t>Al1.8CoCrFeNi</t>
  </si>
  <si>
    <t>Al31.1Cr42.1Fe10.8Co7.9Ni8.2</t>
  </si>
  <si>
    <t>Al31.083Cr42.125Fe10.758Co7.8808Ni8.1533</t>
  </si>
  <si>
    <t>Al31.1Cr42.3Fe6.5Co9.9Ni10.2</t>
  </si>
  <si>
    <t>Al31.1Cr41.8Fe7.4Co9.7Ni9.9</t>
  </si>
  <si>
    <t>Al31.14Cr41.825Fe7.4277Co9.6609Ni9.9466</t>
  </si>
  <si>
    <t>Al31.147Cr42.259Fe6.4778Co9.9059Ni10.21</t>
  </si>
  <si>
    <t>Al31.186Cr43.271Fe9.1364Co7.9671Ni8.4395</t>
  </si>
  <si>
    <t>Al31.2Cr43.3Fe9.1Co8Ni8.4</t>
  </si>
  <si>
    <t>Al31.2Co17.2Cr17.2Fe17.2Ni17.2</t>
  </si>
  <si>
    <t>Al31.209Cr41.82Fe13.608Co6.5422Ni6.8205</t>
  </si>
  <si>
    <t>Al31.2Cr41.8Fe13.6Co6.5Ni6.8</t>
  </si>
  <si>
    <t>Al31.3Cr17.1Fe22.6Co12.8Ni16.1</t>
  </si>
  <si>
    <t>Al31.347Cr17.113Fe22.609Co12.826Ni16.106</t>
  </si>
  <si>
    <t>Al31.8Cr44Fe7.8Co8.1Ni8.3</t>
  </si>
  <si>
    <t>Al31.801Cr44.031Fe7.812Co8.0922Ni8.2641</t>
  </si>
  <si>
    <t>Al31.887Cr20.649Fe27.12Co8.7757Ni11.569</t>
  </si>
  <si>
    <t>Al31.9Cr20.6Fe27.1Co8.8Ni11.6</t>
  </si>
  <si>
    <t>Al32Cr43.1Fe11.3Co6.6Ni6.9</t>
  </si>
  <si>
    <t>Al32.045Cr43.139Fe11.318Co6.5506Ni6.9476</t>
  </si>
  <si>
    <t>Al1.9CoCrFeNi</t>
  </si>
  <si>
    <t>Al32.251Cr44.373Fe6.7543Co8.1489Ni8.4723</t>
  </si>
  <si>
    <t>Al32.3Cr44.5Fe9.7Co6.7Ni6.9</t>
  </si>
  <si>
    <t>Al32.3Cr44.4Fe6.8Co8.1Ni8.5</t>
  </si>
  <si>
    <t>Al32.281Cr44.461Fe9.6899Co6.6659Ni6.9017</t>
  </si>
  <si>
    <t>Al32.4Cr45.5Fe8.3Co6.8Ni6.9</t>
  </si>
  <si>
    <t>Al32.446Cr45.521Fe8.2513Co6.8334Ni6.9486</t>
  </si>
  <si>
    <t>Al32.7Cr15.6Fe20.7Co13.6Ni17.5</t>
  </si>
  <si>
    <t>Al32.677Cr15.59Fe20.675Co13.561Ni17.498</t>
  </si>
  <si>
    <t>Al32.9Cr21.8Fe29.2Co7Ni9</t>
  </si>
  <si>
    <t>Al32.933Cr21.844Fe29.206Co7.0154Ni9.0006</t>
  </si>
  <si>
    <t>Al33.2Co16.7Cr16.7Fe16.7Ni16.7</t>
  </si>
  <si>
    <t>Al2CoCrFeNi</t>
  </si>
  <si>
    <t>Al33.395Cr19.124Fe25.028Co9.8316Ni12.623</t>
  </si>
  <si>
    <t>Al33.4Cr14.4Fe18.8Co14.5Ni18.9</t>
  </si>
  <si>
    <t>Al33.4Cr19.1Fe25Co9.8Ni12.6</t>
  </si>
  <si>
    <t>Al33.438Cr14.417Fe18.759Co14.536Ni18.85</t>
  </si>
  <si>
    <t>Al34Cr12Fe15.5Co16.9Ni21.6</t>
  </si>
  <si>
    <t>Al34.002Cr12.016Fe15.523Co16.898Ni21.562</t>
  </si>
  <si>
    <t>Al2.08CoCrFeNi</t>
  </si>
  <si>
    <t>Al2.1CoCrFeNi</t>
  </si>
  <si>
    <t>Al34.6Cr13Fe17.1Co15.7Ni19.7</t>
  </si>
  <si>
    <t>Al34.571Cr12.968Fe17.11Co15.662Ni19.689</t>
  </si>
  <si>
    <t>Al34.6Cr17.6Fe23.3Co10.6Ni13.9</t>
  </si>
  <si>
    <t>Al34.64Cr17.618Fe23.272Co10.597Ni13.874</t>
  </si>
  <si>
    <t>Al34.7Cr20.8Fe27.2Co7.6Ni9.8</t>
  </si>
  <si>
    <t>Al34.677Cr20.781Fe27.178Co7.5601Ni9.8042</t>
  </si>
  <si>
    <t>Al35.2Cr22Fe29.2Co6Ni7.7</t>
  </si>
  <si>
    <t>Al35.202Cr21.959Fe29.154Co5.9951Ni7.6893</t>
  </si>
  <si>
    <t>Al2.2CoCrFeNi</t>
  </si>
  <si>
    <t>Al35.554Cr16.308Fe21.464Co11.7Ni14.974</t>
  </si>
  <si>
    <t>Al35.6Cr16.3Fe21.5Co11.7Ni15</t>
  </si>
  <si>
    <t>Al36.3Cr15Fe19.7Co12.6Ni16.4</t>
  </si>
  <si>
    <t>Al36.335Cr15.001Fe19.681Co12.591Ni16.392</t>
  </si>
  <si>
    <t>Al36.5Cr18.9Fe25.6Co8.3Ni10.7</t>
  </si>
  <si>
    <t>Al2.3CoCrFeNi</t>
  </si>
  <si>
    <t>Al36.536Cr18.88Fe25.6Co8.2715Ni10.713</t>
  </si>
  <si>
    <t>Al2.4CoCrFeNi</t>
  </si>
  <si>
    <t>Al37.6Cr20.3Fe27.2Co6.5Ni8.4</t>
  </si>
  <si>
    <t>Al37.625Cr20.34Fe27.197Co6.4656Ni8.3725</t>
  </si>
  <si>
    <t>Al37.76Cr13.572Fe17.807Co13.486Ni17.374</t>
  </si>
  <si>
    <t>Al37.8Cr13.6Fe17.8Co13.5Ni17.4</t>
  </si>
  <si>
    <t>Al38.386Cr11.51Fe14.824Co15.499Ni19.781</t>
  </si>
  <si>
    <t>Al38.4Cr11.5Fe14.8Co15.5Ni19.8</t>
  </si>
  <si>
    <t>Al38.452Cr17.672Fe23.461Co8.9051Ni11.51</t>
  </si>
  <si>
    <t>Al38.5Cr17.7Fe23.5Co8.9Ni11.5</t>
  </si>
  <si>
    <t>Al2.5CoCrFeNi</t>
  </si>
  <si>
    <t>Al38.8Cr19.3Fe25.5Co7.1Ni9.3</t>
  </si>
  <si>
    <t>Al38.817Cr19.338Fe25.495Co7.0669Ni9.2826</t>
  </si>
  <si>
    <t>Al38.894Cr12.522Fe16.16Co14.203Ni18.221</t>
  </si>
  <si>
    <t>Al38.9Cr12.5Fe16.2Co14.2Ni18.2</t>
  </si>
  <si>
    <t>Al39.297Cr16.432Fe21.932Co9.7305Ni12.609</t>
  </si>
  <si>
    <t>Al39.3Cr16.4Fe21.9Co9.7Ni12.6</t>
  </si>
  <si>
    <t>Al2.6CoCrFeNi</t>
  </si>
  <si>
    <t>Al39.855Cr15.34Fe20.103Co10.834Ni13.868</t>
  </si>
  <si>
    <t>Al39.9Cr15.3Fe20.1Co10.8Ni13.9</t>
  </si>
  <si>
    <t>Al40.2Cr18Fe23.9Co7.8Ni10.1</t>
  </si>
  <si>
    <t>Al40.241Cr17.971Fe23.928Co7.7624Ni10.097</t>
  </si>
  <si>
    <t>Al2.7CoCrFeNi</t>
  </si>
  <si>
    <t>Al40.6Cr14.2Fe18.4Co11.8Ni15</t>
  </si>
  <si>
    <t>Al40.615Cr14.19Fe18.416Co11.784Ni14.995</t>
  </si>
  <si>
    <t>Al2.75CoCrFeNi</t>
  </si>
  <si>
    <t>Al2.8CoCrFeNi</t>
  </si>
  <si>
    <t>Al2.9CoCrFeNi</t>
  </si>
  <si>
    <t>Al42.4Cr12.9Fe16.8Co12.2Ni15.7</t>
  </si>
  <si>
    <t>Al42.42Cr12.929Fe16.761Co12.235Ni15.656</t>
  </si>
  <si>
    <t>Al3CoCrFeNi</t>
  </si>
  <si>
    <t>Al43.1Cr16.4Fe21.7Co8.3Ni10.6</t>
  </si>
  <si>
    <t>Al43.1Cr18Fe23.9Co6.5Ni8.5</t>
  </si>
  <si>
    <t>Al43.114Cr17.979Fe23.908Co6.5409Ni8.4581</t>
  </si>
  <si>
    <t>Al43.117Cr11.749Fe15.35Co13.044Ni16.74</t>
  </si>
  <si>
    <t>Al43.142Cr16.354Fe21.653Co8.2877Ni10.563</t>
  </si>
  <si>
    <t>Al43.1Cr11.7Fe15.4Co13Ni16.7</t>
  </si>
  <si>
    <t>Al44.1Cr14.5Fe18.6Co10.1Ni12.8</t>
  </si>
  <si>
    <t>Al44.062Cr14.475Fe18.64Co10.066Ni12.757</t>
  </si>
  <si>
    <t>Al44.2Cr15.3Fe20.2Co8.9Ni11.5</t>
  </si>
  <si>
    <t>Al44.177Cr15.275Fe20.197Co8.89Ni11.462</t>
  </si>
  <si>
    <t>Al44.8Cr16.7Fe21.9Co7.3Ni9.3</t>
  </si>
  <si>
    <t>Al44.821Cr16.684Fe21.855Co7.3438Ni9.2967</t>
  </si>
  <si>
    <t>Al45.3Cr13.3Fe17.3Co10.6Ni13.5</t>
  </si>
  <si>
    <t>Al45.301Cr13.282Fe17.298Co10.592Ni13.526</t>
  </si>
  <si>
    <t>Al45.9Cr12.3Fe15.9Co11.4Ni14.5</t>
  </si>
  <si>
    <t>Al45.924Cr12.314Fe15.944Co11.363Ni14.455</t>
  </si>
  <si>
    <t>Al46.9Cr15.3Fe20.2Co7.7Ni9.9</t>
  </si>
  <si>
    <t>Al46.945Cr15.265Fe20.238Co7.6552Ni9.8978</t>
  </si>
  <si>
    <t>Al47.507Cr14.498Fe18.909Co8.3443Ni10.742</t>
  </si>
  <si>
    <t>Al47.5Cr14.5Fe18.9Co8.3Ni10.7</t>
  </si>
  <si>
    <t>Al48.83Cr13.338Fe17.483Co9.0438Ni11.306</t>
  </si>
  <si>
    <t>Al48.8Cr13.3Fe17.5Co9Ni11.3</t>
  </si>
  <si>
    <t>Al18Cr30Fe10Co10Ni32</t>
  </si>
  <si>
    <t>Al0.8CoCr0.6Fe0.7Ni1.5</t>
  </si>
  <si>
    <t>AlCo1.25Cr1.25Ni2.25</t>
  </si>
  <si>
    <t>Al0.95CoFeNi2.05</t>
  </si>
  <si>
    <t>Al1.2CoCrFeNi2.8</t>
  </si>
  <si>
    <t>Al1.2Co2CrFeNi1.8</t>
  </si>
  <si>
    <t>Al1.8Co3CrFeNi3.2</t>
  </si>
  <si>
    <t>Al.09CoCrNi2.1</t>
  </si>
  <si>
    <t>Al19Co20.7Fe20.7Ni39.6</t>
  </si>
  <si>
    <t>Al1.00Co1.05Fe1.05Ni2.16</t>
  </si>
  <si>
    <t>Al1.27Co1.00Cr1.00Ni3.40</t>
  </si>
  <si>
    <t>Al1.00Co1.25Cr1.25Ni2.25</t>
  </si>
  <si>
    <t>Al1.00Co2.41Cr1.42Ni1.42</t>
  </si>
  <si>
    <t>Al1.00Cr1.25Fe1.25Ni2.75</t>
  </si>
  <si>
    <t>Al1.80Co3.00Cr1.00Fe1.00Ni3.20</t>
  </si>
  <si>
    <t>Al1.00Co1.00Cr1.00Fe1.00Ni2.10</t>
  </si>
  <si>
    <t>Al1.19Co2.00Cr1.00Fe1.00Ni1.80</t>
  </si>
  <si>
    <t>Al1.19Co1.00Cr1.00Fe2.00Ni1.80</t>
  </si>
  <si>
    <t>Al1.19Co1.00Cr1.00Fe1.00Ni2.81</t>
  </si>
  <si>
    <t>Al1.00Co1.67Fe1.11Ni1.78</t>
  </si>
  <si>
    <t>Al1.00Co1.52Fe1.52Ni1.52</t>
  </si>
  <si>
    <t>Al1.80Co3.00Cr1.00Fe1.00Ni3.00</t>
  </si>
  <si>
    <t>Al1.80Co2.40Cr1.00Fe1.00Ni3.60</t>
  </si>
  <si>
    <t>Al1.80Co2.00Cr1.00Fe1.00Ni4.00</t>
  </si>
  <si>
    <t>Al1.60Co4.10Cr1.50Fe1.00Ni1.80</t>
  </si>
  <si>
    <t>Al1.26Co1.00Cr1.26Fe1.26Ni2.91</t>
  </si>
  <si>
    <t>Al1.00Co1.20Cr1.00Fe1.00Ni1.90</t>
  </si>
  <si>
    <t>Al1.26Co1.26Cr1.52Fe1.00Ni2.65</t>
  </si>
  <si>
    <t>Al1 Co1 Cr1 Fe1 Ni1</t>
  </si>
  <si>
    <t>Al0.6 Co1 Cr1 Fe1 Ni1</t>
  </si>
  <si>
    <t>Fe1 Mo1 Nb1 Ti1 V1</t>
  </si>
  <si>
    <t>Al0.667 Co0.833 Cr0.833 Fe0.833 Ni0.833 Ti1</t>
  </si>
  <si>
    <t>Al1 Co1 Cr1 Fe1 Ni1 Ti1</t>
  </si>
  <si>
    <t>Al1 Co0.833 Cr0.833 Fe0.833 Ni0.833 Ti0.667</t>
  </si>
  <si>
    <t>Al1 Co0.667 Cr0.667 Fe0.667 Ni0.667 Ti0.333</t>
  </si>
  <si>
    <t>Al1 Co0.556 Cr0.556 Fe0.556 Ni0.556 Ti0.111</t>
  </si>
  <si>
    <t>Al1 Co0.5 Cr0.5 Fe0.5 Ni0.5</t>
  </si>
  <si>
    <t>Al1 Cr1 Cu1 Fe1 Ni1</t>
  </si>
  <si>
    <t>Al0.3 Co1 Cr1 Fe1 Ni1</t>
  </si>
  <si>
    <t>Al1 Co1 Fe1 Ni1 Ti1</t>
  </si>
  <si>
    <t>Al1 Fe1 Ni1 Ti1</t>
  </si>
  <si>
    <t>Al1 Co1 Ni1 Ti1</t>
  </si>
  <si>
    <t>Al1 Co0.512 Cr0.535 Fe0.163 Ni0.116</t>
  </si>
  <si>
    <t>Al1 Co0.426 Cr0.383 Cu0.106 Fe0.106 Ni0.106</t>
  </si>
  <si>
    <t>Co1 Cr1 Cu1 Fe1 Ni1</t>
  </si>
  <si>
    <t>Al1 Co1 Cr1 Ni1</t>
  </si>
  <si>
    <t>Al0.9 Co1 Cr1 Fe1 Ni1 Ti0.5</t>
  </si>
  <si>
    <t>Al0.9 Co1 Cr1 Fe1 Ni1</t>
  </si>
  <si>
    <t>Al0.8 Cr1 Fe1 Mn1 Ni1</t>
  </si>
  <si>
    <t>Al0.7 Cr1 Fe1 Mn1 Ni1</t>
  </si>
  <si>
    <t>Al0.6 Cr1 Fe1 Mn1 Ni1</t>
  </si>
  <si>
    <t>Al0.5 Cr1 Fe1 Mn1 Ni1</t>
  </si>
  <si>
    <t>Al0.5 Co0.5 Cu0.5 Fe0.5 Ni1</t>
  </si>
  <si>
    <t>Al0.667 Co0.667 Cu0.667 Fe0.667 Ni1</t>
  </si>
  <si>
    <t>Al1 Co1 Cu1 Fe1 Ni1</t>
  </si>
  <si>
    <t>Al1 Co1 Cu1 Fe1 Ni0.8</t>
  </si>
  <si>
    <t>Al1 Co1 Cu1 Fe1 Ni0.5</t>
  </si>
  <si>
    <t>Al0.5 Cr0.5 Fe0.5 Ni1</t>
  </si>
  <si>
    <t>Al0.429 Cr0.476 Fe0.476 Ni1</t>
  </si>
  <si>
    <t>Al0.304 Cr0.435 Fe0.435 Ni1</t>
  </si>
  <si>
    <t>Al0.364 Cr0.455 Fe0.455 Ni1</t>
  </si>
  <si>
    <t>Al0.476 Co0.476 Cr0.476 Fe0.476 Ni1</t>
  </si>
  <si>
    <t>Al1 Cr1 Fe1 Mo0.5 Ni1</t>
  </si>
  <si>
    <t>Al1 Cr1 Fe1 Mo0.5 Ni1 Ti0.6</t>
  </si>
  <si>
    <t>Al1 Cr1 Fe1 Mo0.5 Ni1 Ti0.5</t>
  </si>
  <si>
    <t>Al1 Cr1 Fe1 Mo0.5 Ni1 Ti0.4</t>
  </si>
  <si>
    <t>Al1 Cr1 Fe1 Mo0.5 Ni1 Ti0.25</t>
  </si>
  <si>
    <t>Al1 Mo0.5 Nb1 Ta0.5 Ti1 Zr1</t>
  </si>
  <si>
    <t>Al0.5 Mo0.5 Nb1 Ta0.5 Ti1 Zr1</t>
  </si>
  <si>
    <t>Al0.25 Nb1 Ta1 Ti1 Zr1</t>
  </si>
  <si>
    <t>Al1 Cr1 Fe1 Mo0.5 Ni1 Ti0.75</t>
  </si>
  <si>
    <t>Al0.511 Co0.511 Cr0.511 Fe0.511 Ni1</t>
  </si>
  <si>
    <t>Al0.451 Co0.451 Cr0.451 Fe0.451 Ni1</t>
  </si>
  <si>
    <t>Al1 Cr0.767 Fe0.767 Ni0.767</t>
  </si>
  <si>
    <t>Al1 Cr0.828 Fe0.828 Ni0.828</t>
  </si>
  <si>
    <t>Al1 Cr0.889 Fe0.889 Ni0.889</t>
  </si>
  <si>
    <t>Al1 Cr1 Fe1 Ni1</t>
  </si>
  <si>
    <t>Al0.885 Cr1 Fe1 Ni1</t>
  </si>
  <si>
    <t>Al0.304 Co1 Cr1 Fe1 Ni1</t>
  </si>
  <si>
    <t>Al0.465 Co0.465 Cr0.465 Fe0.465 Ni1</t>
  </si>
  <si>
    <t>Al0.515 Cr0.515 Fe1 Ni1</t>
  </si>
  <si>
    <t>Al0.343 Co0.514 Cr0.514 Fe1 Ni0.514</t>
  </si>
  <si>
    <t>Al0.5 Cr0.5 Fe1 Ni1</t>
  </si>
  <si>
    <t>Al0.515 Cr0.515 Cu0.515 Fe0.515 Ni1</t>
  </si>
  <si>
    <t>Al0.545 Cr0.545 Fe0.515 Ni1 Ti0.273</t>
  </si>
  <si>
    <t>Al0.667 Co0.667 Cr0.667 Fe0.667 Mo0.333 Ni1</t>
  </si>
  <si>
    <t>Al0.5 Co0.5 Cr0.5 Fe0.5 Mo0.25 Ni1</t>
  </si>
  <si>
    <t>Al1 Cr1 Fe1 Mo0.2 Ni1</t>
  </si>
  <si>
    <t>Al1 Co0.5 Cr0.5 Fe0.5 Mo0.25 Ni0.5</t>
  </si>
  <si>
    <t>Al0.7 Co0.3 Cr1 Fe1 Ni1</t>
  </si>
  <si>
    <t>Al0.25 Co0.5 Cr0.5 Cu0.5 Fe0.5 Ni0.5 Ti1</t>
  </si>
  <si>
    <t>Al0.312 Co0.625 Cr0.625 Cu0.625 Fe0.625 Ni0.625 Ti1</t>
  </si>
  <si>
    <t>Al0.357 Co0.714 Cr0.714 Cu0.714 Fe0.714 Ni0.714 Ti1</t>
  </si>
  <si>
    <t>Al0.278 Co0.556 Cr0.556 Cu0.556 Fe0.556 Ni0.556 Ti1</t>
  </si>
  <si>
    <t>VEC</t>
  </si>
  <si>
    <t>Eutectic</t>
  </si>
  <si>
    <t>Actual phase</t>
  </si>
  <si>
    <t>FCC</t>
  </si>
  <si>
    <t>BCC1+B2(ordered BCC)</t>
  </si>
  <si>
    <t>IM</t>
  </si>
  <si>
    <t>FCC+BCC</t>
  </si>
  <si>
    <t>BCC+B2(ordered BCC)</t>
  </si>
  <si>
    <t>BCC+FCC+B2(ordered BCC)</t>
  </si>
  <si>
    <t>FCC+B2(ordered BCC)</t>
  </si>
  <si>
    <t>BCC</t>
  </si>
  <si>
    <t>A2+B2 phases</t>
  </si>
  <si>
    <t>Eutectic (from phases)</t>
  </si>
  <si>
    <t>Actual Phase</t>
  </si>
  <si>
    <t>Eutetic (By self)</t>
  </si>
  <si>
    <t>Eutetic (final)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</si>
</sst>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63BE7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2" borderId="4" xfId="0" applyFont="1" applyFill="1" applyBorder="1" applyAlignment="1">
      <alignment horizontal="right" wrapText="1"/>
    </xf>
    <xf numFmtId="0" fontId="4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C1" sqref="C1:F1"/>
    </sheetView>
  </sheetViews>
  <sheetFormatPr defaultRowHeight="14.4" x14ac:dyDescent="0.3"/>
  <cols>
    <col min="1" max="1" width="54.44140625" customWidth="1"/>
    <col min="2" max="2" width="7.44140625" bestFit="1" customWidth="1"/>
    <col min="3" max="6" width="11.5546875" bestFit="1" customWidth="1"/>
    <col min="7" max="7" width="7.44140625" bestFit="1" customWidth="1"/>
  </cols>
  <sheetData>
    <row r="1" spans="1:24" ht="15" thickBot="1" x14ac:dyDescent="0.35">
      <c r="A1" s="1" t="s">
        <v>0</v>
      </c>
      <c r="B1" s="3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" thickBot="1" x14ac:dyDescent="0.35">
      <c r="A2" s="5" t="s">
        <v>6</v>
      </c>
      <c r="B2" s="4"/>
      <c r="C2" s="6">
        <v>9.9009900989999995</v>
      </c>
      <c r="D2" s="6">
        <v>29.7029703</v>
      </c>
      <c r="E2" s="6">
        <v>49.5049505</v>
      </c>
      <c r="F2" s="6">
        <v>9.9009900989999995</v>
      </c>
      <c r="G2" s="4">
        <v>-1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" thickBot="1" x14ac:dyDescent="0.35">
      <c r="A3" s="5" t="s">
        <v>7</v>
      </c>
      <c r="B3" s="4"/>
      <c r="C3" s="6">
        <v>9.8039215689999999</v>
      </c>
      <c r="D3" s="6">
        <v>29.41176471</v>
      </c>
      <c r="E3" s="6">
        <v>49.019607839999999</v>
      </c>
      <c r="F3" s="6">
        <v>9.8039215689999999</v>
      </c>
      <c r="G3" s="4">
        <v>-1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" thickBot="1" x14ac:dyDescent="0.35">
      <c r="A4" s="5" t="s">
        <v>8</v>
      </c>
      <c r="B4" s="4"/>
      <c r="C4" s="6">
        <v>24.4</v>
      </c>
      <c r="D4" s="6">
        <v>24.4</v>
      </c>
      <c r="E4" s="6">
        <v>24.4</v>
      </c>
      <c r="F4" s="6">
        <v>24.4</v>
      </c>
      <c r="G4" s="4">
        <v>-1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" thickBot="1" x14ac:dyDescent="0.35">
      <c r="A5" s="5" t="s">
        <v>9</v>
      </c>
      <c r="B5" s="4"/>
      <c r="C5" s="6">
        <v>24.390243900000002</v>
      </c>
      <c r="D5" s="6">
        <v>24.390243900000002</v>
      </c>
      <c r="E5" s="6">
        <v>24.390243900000002</v>
      </c>
      <c r="F5" s="6">
        <v>24.390243900000002</v>
      </c>
      <c r="G5" s="4">
        <v>-1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" thickBot="1" x14ac:dyDescent="0.35">
      <c r="A6" s="5" t="s">
        <v>10</v>
      </c>
      <c r="B6" s="4"/>
      <c r="C6" s="6">
        <v>25</v>
      </c>
      <c r="D6" s="6">
        <v>22.5</v>
      </c>
      <c r="E6" s="6">
        <v>25</v>
      </c>
      <c r="F6" s="6">
        <v>25</v>
      </c>
      <c r="G6" s="4">
        <v>-1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" thickBot="1" x14ac:dyDescent="0.35">
      <c r="A7" s="5" t="s">
        <v>11</v>
      </c>
      <c r="B7" s="4"/>
      <c r="C7" s="6">
        <v>9.7087378639999997</v>
      </c>
      <c r="D7" s="6">
        <v>29.126213589999999</v>
      </c>
      <c r="E7" s="6">
        <v>48.543689319999999</v>
      </c>
      <c r="F7" s="6">
        <v>9.7087378639999997</v>
      </c>
      <c r="G7" s="4">
        <v>-1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" thickBot="1" x14ac:dyDescent="0.35">
      <c r="A8" s="5" t="s">
        <v>12</v>
      </c>
      <c r="B8" s="4"/>
      <c r="C8" s="6">
        <v>23.809523810000002</v>
      </c>
      <c r="D8" s="6">
        <v>23.809523810000002</v>
      </c>
      <c r="E8" s="6">
        <v>23.809523810000002</v>
      </c>
      <c r="F8" s="6">
        <v>23.809523810000002</v>
      </c>
      <c r="G8" s="4">
        <v>-1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" thickBot="1" x14ac:dyDescent="0.35">
      <c r="A9" s="5" t="s">
        <v>13</v>
      </c>
      <c r="B9" s="4"/>
      <c r="C9" s="6">
        <v>25</v>
      </c>
      <c r="D9" s="6">
        <v>20</v>
      </c>
      <c r="E9" s="6">
        <v>25</v>
      </c>
      <c r="F9" s="6">
        <v>25</v>
      </c>
      <c r="G9" s="4">
        <v>-1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" thickBot="1" x14ac:dyDescent="0.35">
      <c r="A10" s="5" t="s">
        <v>14</v>
      </c>
      <c r="B10" s="4"/>
      <c r="C10" s="6">
        <v>18.86792453</v>
      </c>
      <c r="D10" s="6">
        <v>37.73584906</v>
      </c>
      <c r="E10" s="6">
        <v>18.86792453</v>
      </c>
      <c r="F10" s="6">
        <v>18.86792453</v>
      </c>
      <c r="G10" s="4">
        <v>-1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" thickBot="1" x14ac:dyDescent="0.35">
      <c r="A11" s="5" t="s">
        <v>15</v>
      </c>
      <c r="B11" s="4"/>
      <c r="C11" s="6">
        <v>23.529411759999999</v>
      </c>
      <c r="D11" s="6">
        <v>23.529411759999999</v>
      </c>
      <c r="E11" s="6">
        <v>23.529411759999999</v>
      </c>
      <c r="F11" s="6">
        <v>23.529411759999999</v>
      </c>
      <c r="G11" s="4">
        <v>-1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" thickBot="1" x14ac:dyDescent="0.35">
      <c r="A12" s="5" t="s">
        <v>16</v>
      </c>
      <c r="B12" s="4"/>
      <c r="C12" s="6">
        <v>23.529411759999999</v>
      </c>
      <c r="D12" s="6">
        <v>23.529411759999999</v>
      </c>
      <c r="E12" s="6">
        <v>23.529411759999999</v>
      </c>
      <c r="F12" s="6">
        <v>23.529411759999999</v>
      </c>
      <c r="G12" s="4">
        <v>-1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" thickBot="1" x14ac:dyDescent="0.35">
      <c r="A13" s="5" t="s">
        <v>17</v>
      </c>
      <c r="B13" s="4"/>
      <c r="C13" s="6">
        <v>23.25581395</v>
      </c>
      <c r="D13" s="6">
        <v>23.25581395</v>
      </c>
      <c r="E13" s="6">
        <v>23.25581395</v>
      </c>
      <c r="F13" s="6">
        <v>23.25581395</v>
      </c>
      <c r="G13" s="4">
        <v>-1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" thickBot="1" x14ac:dyDescent="0.35">
      <c r="A14" s="5" t="s">
        <v>18</v>
      </c>
      <c r="B14" s="4"/>
      <c r="C14" s="6">
        <v>32.895000000000003</v>
      </c>
      <c r="D14" s="6">
        <v>9.5223999999999993</v>
      </c>
      <c r="E14" s="6">
        <v>15.749000000000001</v>
      </c>
      <c r="F14" s="6">
        <v>34.78</v>
      </c>
      <c r="G14" s="4">
        <v>-1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" thickBot="1" x14ac:dyDescent="0.35">
      <c r="A15" s="5" t="s">
        <v>19</v>
      </c>
      <c r="B15" s="4"/>
      <c r="C15" s="6">
        <v>32.9</v>
      </c>
      <c r="D15" s="6">
        <v>9.5</v>
      </c>
      <c r="E15" s="6">
        <v>15.7</v>
      </c>
      <c r="F15" s="6">
        <v>34.799999999999997</v>
      </c>
      <c r="G15" s="4">
        <v>-1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" thickBot="1" x14ac:dyDescent="0.35">
      <c r="A16" s="5" t="s">
        <v>20</v>
      </c>
      <c r="B16" s="4"/>
      <c r="C16" s="6">
        <v>23.2</v>
      </c>
      <c r="D16" s="6">
        <v>23.2</v>
      </c>
      <c r="E16" s="6">
        <v>23.2</v>
      </c>
      <c r="F16" s="6">
        <v>23.2</v>
      </c>
      <c r="G16" s="4">
        <v>-1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" thickBot="1" x14ac:dyDescent="0.35">
      <c r="A17" s="5" t="s">
        <v>21</v>
      </c>
      <c r="B17" s="4"/>
      <c r="C17" s="6">
        <v>34.048999999999999</v>
      </c>
      <c r="D17" s="6">
        <v>9.6072000000000006</v>
      </c>
      <c r="E17" s="6">
        <v>12.997999999999999</v>
      </c>
      <c r="F17" s="6">
        <v>36.137999999999998</v>
      </c>
      <c r="G17" s="4">
        <v>-1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" thickBot="1" x14ac:dyDescent="0.35">
      <c r="A18" s="5" t="s">
        <v>22</v>
      </c>
      <c r="B18" s="4"/>
      <c r="C18" s="6">
        <v>34</v>
      </c>
      <c r="D18" s="6">
        <v>9.6</v>
      </c>
      <c r="E18" s="6">
        <v>13</v>
      </c>
      <c r="F18" s="6">
        <v>36.1</v>
      </c>
      <c r="G18" s="4">
        <v>-1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" thickBot="1" x14ac:dyDescent="0.35">
      <c r="A19" s="5" t="s">
        <v>23</v>
      </c>
      <c r="B19" s="4"/>
      <c r="C19" s="6">
        <v>25</v>
      </c>
      <c r="D19" s="6">
        <v>17.5</v>
      </c>
      <c r="E19" s="6">
        <v>25</v>
      </c>
      <c r="F19" s="6">
        <v>25</v>
      </c>
      <c r="G19" s="4">
        <v>-1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" thickBot="1" x14ac:dyDescent="0.35">
      <c r="A20" s="5" t="s">
        <v>24</v>
      </c>
      <c r="B20" s="4"/>
      <c r="C20" s="6">
        <v>27.260999999999999</v>
      </c>
      <c r="D20" s="6">
        <v>9.5983999999999998</v>
      </c>
      <c r="E20" s="6">
        <v>26.587</v>
      </c>
      <c r="F20" s="6">
        <v>28.896999999999998</v>
      </c>
      <c r="G20" s="4">
        <v>-1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" thickBot="1" x14ac:dyDescent="0.35">
      <c r="A21" s="5" t="s">
        <v>25</v>
      </c>
      <c r="B21" s="4"/>
      <c r="C21" s="6">
        <v>31.106000000000002</v>
      </c>
      <c r="D21" s="6">
        <v>9.7667999999999999</v>
      </c>
      <c r="E21" s="6">
        <v>18.702000000000002</v>
      </c>
      <c r="F21" s="6">
        <v>32.738999999999997</v>
      </c>
      <c r="G21" s="4">
        <v>-1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" thickBot="1" x14ac:dyDescent="0.35">
      <c r="A22" s="5" t="s">
        <v>26</v>
      </c>
      <c r="B22" s="4"/>
      <c r="C22" s="6">
        <v>27.3</v>
      </c>
      <c r="D22" s="6">
        <v>9.6</v>
      </c>
      <c r="E22" s="6">
        <v>26.6</v>
      </c>
      <c r="F22" s="6">
        <v>28.9</v>
      </c>
      <c r="G22" s="4">
        <v>-1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" thickBot="1" x14ac:dyDescent="0.35">
      <c r="A23" s="5" t="s">
        <v>27</v>
      </c>
      <c r="B23" s="4"/>
      <c r="C23" s="6">
        <v>31.1</v>
      </c>
      <c r="D23" s="6">
        <v>9.8000000000000007</v>
      </c>
      <c r="E23" s="6">
        <v>18.7</v>
      </c>
      <c r="F23" s="6">
        <v>32.700000000000003</v>
      </c>
      <c r="G23" s="4">
        <v>-1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" thickBot="1" x14ac:dyDescent="0.35">
      <c r="A24" s="5" t="s">
        <v>28</v>
      </c>
      <c r="B24" s="4"/>
      <c r="C24" s="6">
        <v>29.129000000000001</v>
      </c>
      <c r="D24" s="6">
        <v>9.8581000000000003</v>
      </c>
      <c r="E24" s="6">
        <v>22.204000000000001</v>
      </c>
      <c r="F24" s="6">
        <v>31.010999999999999</v>
      </c>
      <c r="G24" s="4">
        <v>-1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" thickBot="1" x14ac:dyDescent="0.35">
      <c r="A25" s="5" t="s">
        <v>29</v>
      </c>
      <c r="B25" s="4"/>
      <c r="C25" s="6">
        <v>29.1</v>
      </c>
      <c r="D25" s="6">
        <v>9.9</v>
      </c>
      <c r="E25" s="6">
        <v>22.2</v>
      </c>
      <c r="F25" s="6">
        <v>31</v>
      </c>
      <c r="G25" s="4">
        <v>-1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" thickBot="1" x14ac:dyDescent="0.35">
      <c r="A26" s="5" t="s">
        <v>30</v>
      </c>
      <c r="B26" s="4"/>
      <c r="C26" s="6">
        <v>21.5</v>
      </c>
      <c r="D26" s="6">
        <v>10.1</v>
      </c>
      <c r="E26" s="6">
        <v>37.299999999999997</v>
      </c>
      <c r="F26" s="6">
        <v>23.2</v>
      </c>
      <c r="G26" s="4">
        <v>-1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" thickBot="1" x14ac:dyDescent="0.35">
      <c r="A27" s="5" t="s">
        <v>31</v>
      </c>
      <c r="B27" s="4"/>
      <c r="C27" s="6">
        <v>21.456</v>
      </c>
      <c r="D27" s="6">
        <v>10.128</v>
      </c>
      <c r="E27" s="6">
        <v>37.308</v>
      </c>
      <c r="F27" s="6">
        <v>23.187000000000001</v>
      </c>
      <c r="G27" s="4">
        <v>-1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" thickBot="1" x14ac:dyDescent="0.35">
      <c r="A28" s="5" t="s">
        <v>32</v>
      </c>
      <c r="B28" s="4"/>
      <c r="C28" s="6">
        <v>34.700000000000003</v>
      </c>
      <c r="D28" s="6">
        <v>11.1</v>
      </c>
      <c r="E28" s="6">
        <v>9.5</v>
      </c>
      <c r="F28" s="6">
        <v>36.5</v>
      </c>
      <c r="G28" s="4">
        <v>-1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" thickBot="1" x14ac:dyDescent="0.35">
      <c r="A29" s="5" t="s">
        <v>33</v>
      </c>
      <c r="B29" s="4"/>
      <c r="C29" s="6">
        <v>34.670999999999999</v>
      </c>
      <c r="D29" s="6">
        <v>11.089</v>
      </c>
      <c r="E29" s="6">
        <v>9.5352999999999994</v>
      </c>
      <c r="F29" s="6">
        <v>36.488</v>
      </c>
      <c r="G29" s="4">
        <v>-1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" thickBot="1" x14ac:dyDescent="0.35">
      <c r="A30" s="5" t="s">
        <v>34</v>
      </c>
      <c r="B30" s="4"/>
      <c r="C30" s="6">
        <v>31.1</v>
      </c>
      <c r="D30" s="6">
        <v>11.3</v>
      </c>
      <c r="E30" s="6">
        <v>16.2</v>
      </c>
      <c r="F30" s="6">
        <v>33</v>
      </c>
      <c r="G30" s="4">
        <v>-1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" thickBot="1" x14ac:dyDescent="0.35">
      <c r="A31" s="5" t="s">
        <v>35</v>
      </c>
      <c r="B31" s="4"/>
      <c r="C31" s="6">
        <v>33.700000000000003</v>
      </c>
      <c r="D31" s="6">
        <v>11.1</v>
      </c>
      <c r="E31" s="6">
        <v>11.2</v>
      </c>
      <c r="F31" s="6">
        <v>35.6</v>
      </c>
      <c r="G31" s="4">
        <v>-1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" thickBot="1" x14ac:dyDescent="0.35">
      <c r="A32" s="5" t="s">
        <v>36</v>
      </c>
      <c r="B32" s="4"/>
      <c r="C32" s="6">
        <v>33.655000000000001</v>
      </c>
      <c r="D32" s="6">
        <v>11.117000000000001</v>
      </c>
      <c r="E32" s="6">
        <v>11.233000000000001</v>
      </c>
      <c r="F32" s="6">
        <v>35.561999999999998</v>
      </c>
      <c r="G32" s="4">
        <v>-1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" thickBot="1" x14ac:dyDescent="0.35">
      <c r="A33" s="5" t="s">
        <v>37</v>
      </c>
      <c r="B33" s="4"/>
      <c r="C33" s="6">
        <v>31.074000000000002</v>
      </c>
      <c r="D33" s="6">
        <v>11.298</v>
      </c>
      <c r="E33" s="6">
        <v>16.225000000000001</v>
      </c>
      <c r="F33" s="6">
        <v>32.968000000000004</v>
      </c>
      <c r="G33" s="4">
        <v>-1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" thickBot="1" x14ac:dyDescent="0.35">
      <c r="A34" s="5" t="s">
        <v>38</v>
      </c>
      <c r="B34" s="4"/>
      <c r="C34" s="6">
        <v>22.85714286</v>
      </c>
      <c r="D34" s="6">
        <v>22.85714286</v>
      </c>
      <c r="E34" s="6">
        <v>22.85714286</v>
      </c>
      <c r="F34" s="6">
        <v>22.85714286</v>
      </c>
      <c r="G34" s="4">
        <v>-1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" thickBot="1" x14ac:dyDescent="0.35">
      <c r="A35" s="5" t="s">
        <v>39</v>
      </c>
      <c r="B35" s="4"/>
      <c r="C35" s="6">
        <v>22.85714286</v>
      </c>
      <c r="D35" s="6">
        <v>22.85714286</v>
      </c>
      <c r="E35" s="6">
        <v>22.85714286</v>
      </c>
      <c r="F35" s="6">
        <v>22.85714286</v>
      </c>
      <c r="G35" s="4">
        <v>-1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" thickBot="1" x14ac:dyDescent="0.35">
      <c r="A36" s="5" t="s">
        <v>40</v>
      </c>
      <c r="B36" s="4"/>
      <c r="C36" s="6">
        <v>22.831050229999999</v>
      </c>
      <c r="D36" s="6">
        <v>22.831050229999999</v>
      </c>
      <c r="E36" s="6">
        <v>22.831050229999999</v>
      </c>
      <c r="F36" s="6">
        <v>22.831050229999999</v>
      </c>
      <c r="G36" s="4">
        <v>-1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" thickBot="1" x14ac:dyDescent="0.35">
      <c r="A37" s="5" t="s">
        <v>41</v>
      </c>
      <c r="B37" s="4"/>
      <c r="C37" s="6">
        <v>23.472000000000001</v>
      </c>
      <c r="D37" s="6">
        <v>10.442</v>
      </c>
      <c r="E37" s="6">
        <v>32.125999999999998</v>
      </c>
      <c r="F37" s="6">
        <v>25.271000000000001</v>
      </c>
      <c r="G37" s="4">
        <v>-1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" thickBot="1" x14ac:dyDescent="0.35">
      <c r="A38" s="5" t="s">
        <v>42</v>
      </c>
      <c r="B38" s="4"/>
      <c r="C38" s="6">
        <v>23.5</v>
      </c>
      <c r="D38" s="6">
        <v>10.4</v>
      </c>
      <c r="E38" s="6">
        <v>32.1</v>
      </c>
      <c r="F38" s="6">
        <v>25.3</v>
      </c>
      <c r="G38" s="4">
        <v>-1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" thickBot="1" x14ac:dyDescent="0.35">
      <c r="A39" s="5" t="s">
        <v>43</v>
      </c>
      <c r="B39" s="4"/>
      <c r="C39" s="6">
        <v>25.7</v>
      </c>
      <c r="D39" s="6">
        <v>10.9</v>
      </c>
      <c r="E39" s="6">
        <v>27.2</v>
      </c>
      <c r="F39" s="6">
        <v>27.5</v>
      </c>
      <c r="G39" s="4">
        <v>-1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" thickBot="1" x14ac:dyDescent="0.35">
      <c r="A40" s="5" t="s">
        <v>44</v>
      </c>
      <c r="B40" s="4"/>
      <c r="C40" s="6">
        <v>25.722000000000001</v>
      </c>
      <c r="D40" s="6">
        <v>10.894</v>
      </c>
      <c r="E40" s="6">
        <v>27.204000000000001</v>
      </c>
      <c r="F40" s="6">
        <v>27.463999999999999</v>
      </c>
      <c r="G40" s="4">
        <v>-1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" thickBot="1" x14ac:dyDescent="0.35">
      <c r="A41" s="5" t="s">
        <v>45</v>
      </c>
      <c r="B41" s="4"/>
      <c r="C41" s="6">
        <v>32.427</v>
      </c>
      <c r="D41" s="6">
        <v>11.071</v>
      </c>
      <c r="E41" s="6">
        <v>13.554</v>
      </c>
      <c r="F41" s="6">
        <v>34.182000000000002</v>
      </c>
      <c r="G41" s="4">
        <v>-1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" thickBot="1" x14ac:dyDescent="0.35">
      <c r="A42" s="5" t="s">
        <v>46</v>
      </c>
      <c r="B42" s="4"/>
      <c r="C42" s="6">
        <v>29.085000000000001</v>
      </c>
      <c r="D42" s="6">
        <v>11.363</v>
      </c>
      <c r="E42" s="6">
        <v>19.584</v>
      </c>
      <c r="F42" s="6">
        <v>31.181000000000001</v>
      </c>
      <c r="G42" s="4">
        <v>-1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" thickBot="1" x14ac:dyDescent="0.35">
      <c r="A43" s="5" t="s">
        <v>47</v>
      </c>
      <c r="B43" s="4"/>
      <c r="C43" s="6">
        <v>29.1</v>
      </c>
      <c r="D43" s="6">
        <v>11.4</v>
      </c>
      <c r="E43" s="6">
        <v>19.600000000000001</v>
      </c>
      <c r="F43" s="6">
        <v>31.2</v>
      </c>
      <c r="G43" s="4">
        <v>-1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" thickBot="1" x14ac:dyDescent="0.35">
      <c r="A44" s="5" t="s">
        <v>48</v>
      </c>
      <c r="B44" s="4"/>
      <c r="C44" s="6">
        <v>32.4</v>
      </c>
      <c r="D44" s="6">
        <v>11.1</v>
      </c>
      <c r="E44" s="6">
        <v>13.6</v>
      </c>
      <c r="F44" s="6">
        <v>34.200000000000003</v>
      </c>
      <c r="G44" s="4">
        <v>-1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" thickBot="1" x14ac:dyDescent="0.35">
      <c r="A45" s="5" t="s">
        <v>49</v>
      </c>
      <c r="B45" s="4"/>
      <c r="C45" s="6">
        <v>20.3</v>
      </c>
      <c r="D45" s="6">
        <v>11.2</v>
      </c>
      <c r="E45" s="6">
        <v>37.799999999999997</v>
      </c>
      <c r="F45" s="6">
        <v>21.9</v>
      </c>
      <c r="G45" s="4">
        <v>-1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" thickBot="1" x14ac:dyDescent="0.35">
      <c r="A46" s="5" t="s">
        <v>50</v>
      </c>
      <c r="B46" s="4"/>
      <c r="C46" s="6">
        <v>20.277000000000001</v>
      </c>
      <c r="D46" s="6">
        <v>11.177</v>
      </c>
      <c r="E46" s="6">
        <v>37.808999999999997</v>
      </c>
      <c r="F46" s="6">
        <v>21.895</v>
      </c>
      <c r="G46" s="4">
        <v>-1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" thickBot="1" x14ac:dyDescent="0.35">
      <c r="A47" s="5" t="s">
        <v>51</v>
      </c>
      <c r="B47" s="4"/>
      <c r="C47" s="6">
        <v>27.609000000000002</v>
      </c>
      <c r="D47" s="6">
        <v>11.057</v>
      </c>
      <c r="E47" s="6">
        <v>22.843</v>
      </c>
      <c r="F47" s="6">
        <v>29.512</v>
      </c>
      <c r="G47" s="4">
        <v>-1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" thickBot="1" x14ac:dyDescent="0.35">
      <c r="A48" s="5" t="s">
        <v>52</v>
      </c>
      <c r="B48" s="4"/>
      <c r="C48" s="6">
        <v>27.6</v>
      </c>
      <c r="D48" s="6">
        <v>11.1</v>
      </c>
      <c r="E48" s="6">
        <v>22.8</v>
      </c>
      <c r="F48" s="6">
        <v>29.5</v>
      </c>
      <c r="G48" s="4">
        <v>-1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" thickBot="1" x14ac:dyDescent="0.35">
      <c r="A49" s="5" t="s">
        <v>53</v>
      </c>
      <c r="B49" s="4"/>
      <c r="C49" s="6">
        <v>22.727272729999999</v>
      </c>
      <c r="D49" s="6">
        <v>22.727272729999999</v>
      </c>
      <c r="E49" s="6">
        <v>22.727272729999999</v>
      </c>
      <c r="F49" s="6">
        <v>22.727272729999999</v>
      </c>
      <c r="G49" s="4">
        <v>-1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" thickBot="1" x14ac:dyDescent="0.35">
      <c r="A50" s="5" t="s">
        <v>54</v>
      </c>
      <c r="B50" s="4"/>
      <c r="C50" s="6">
        <v>27.272727270000001</v>
      </c>
      <c r="D50" s="6">
        <v>18.18181818</v>
      </c>
      <c r="E50" s="6">
        <v>18.18181818</v>
      </c>
      <c r="F50" s="6">
        <v>27.272727270000001</v>
      </c>
      <c r="G50" s="4">
        <v>-1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" thickBot="1" x14ac:dyDescent="0.35">
      <c r="A51" s="5" t="s">
        <v>55</v>
      </c>
      <c r="B51" s="4"/>
      <c r="C51" s="6">
        <v>22.7</v>
      </c>
      <c r="D51" s="6">
        <v>22.7</v>
      </c>
      <c r="E51" s="6">
        <v>22.7</v>
      </c>
      <c r="F51" s="6">
        <v>22.7</v>
      </c>
      <c r="G51" s="4">
        <v>-1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" thickBot="1" x14ac:dyDescent="0.35">
      <c r="A52" s="5" t="s">
        <v>56</v>
      </c>
      <c r="B52" s="4"/>
      <c r="C52" s="6">
        <v>22.7</v>
      </c>
      <c r="D52" s="6">
        <v>22.7</v>
      </c>
      <c r="E52" s="6">
        <v>22.7</v>
      </c>
      <c r="F52" s="6">
        <v>22.7</v>
      </c>
      <c r="G52" s="4">
        <v>-1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" thickBot="1" x14ac:dyDescent="0.35">
      <c r="A53" s="5" t="s">
        <v>57</v>
      </c>
      <c r="B53" s="4"/>
      <c r="C53" s="6">
        <v>22.675736959999998</v>
      </c>
      <c r="D53" s="6">
        <v>22.675736959999998</v>
      </c>
      <c r="E53" s="6">
        <v>22.675736959999998</v>
      </c>
      <c r="F53" s="6">
        <v>22.675736959999998</v>
      </c>
      <c r="G53" s="4">
        <v>-1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" thickBot="1" x14ac:dyDescent="0.35">
      <c r="A54" s="5" t="s">
        <v>58</v>
      </c>
      <c r="B54" s="4"/>
      <c r="C54" s="6">
        <v>22.66</v>
      </c>
      <c r="D54" s="6">
        <v>22.66</v>
      </c>
      <c r="E54" s="6">
        <v>22.66</v>
      </c>
      <c r="F54" s="6">
        <v>22.66</v>
      </c>
      <c r="G54" s="4">
        <v>-1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" thickBot="1" x14ac:dyDescent="0.35">
      <c r="A55" s="5" t="s">
        <v>59</v>
      </c>
      <c r="B55" s="4"/>
      <c r="C55" s="6">
        <v>19</v>
      </c>
      <c r="D55" s="6">
        <v>20.213000000000001</v>
      </c>
      <c r="E55" s="6">
        <v>27.361999999999998</v>
      </c>
      <c r="F55" s="6">
        <v>24.035</v>
      </c>
      <c r="G55" s="4">
        <v>-1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" thickBot="1" x14ac:dyDescent="0.35">
      <c r="A56" s="5" t="s">
        <v>60</v>
      </c>
      <c r="B56" s="4"/>
      <c r="C56" s="6">
        <v>19</v>
      </c>
      <c r="D56" s="6">
        <v>20.2</v>
      </c>
      <c r="E56" s="6">
        <v>27.4</v>
      </c>
      <c r="F56" s="6">
        <v>24</v>
      </c>
      <c r="G56" s="4">
        <v>-1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" thickBot="1" x14ac:dyDescent="0.35">
      <c r="A57" s="5" t="s">
        <v>61</v>
      </c>
      <c r="B57" s="4"/>
      <c r="C57" s="6">
        <v>33.700000000000003</v>
      </c>
      <c r="D57" s="6">
        <v>12.8</v>
      </c>
      <c r="E57" s="6">
        <v>8.3000000000000007</v>
      </c>
      <c r="F57" s="6">
        <v>35.6</v>
      </c>
      <c r="G57" s="4">
        <v>-1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" thickBot="1" x14ac:dyDescent="0.35">
      <c r="A58" s="5" t="s">
        <v>62</v>
      </c>
      <c r="B58" s="4"/>
      <c r="C58" s="6">
        <v>33.722000000000001</v>
      </c>
      <c r="D58" s="6">
        <v>12.808</v>
      </c>
      <c r="E58" s="6">
        <v>8.2933000000000003</v>
      </c>
      <c r="F58" s="6">
        <v>35.633000000000003</v>
      </c>
      <c r="G58" s="4">
        <v>-1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" thickBot="1" x14ac:dyDescent="0.35">
      <c r="A59" s="5" t="s">
        <v>63</v>
      </c>
      <c r="B59" s="4"/>
      <c r="C59" s="6">
        <v>20.8</v>
      </c>
      <c r="D59" s="6">
        <v>18.3</v>
      </c>
      <c r="E59" s="6">
        <v>24.6</v>
      </c>
      <c r="F59" s="6">
        <v>26.7</v>
      </c>
      <c r="G59" s="4">
        <v>-1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" thickBot="1" x14ac:dyDescent="0.35">
      <c r="A60" s="5" t="s">
        <v>64</v>
      </c>
      <c r="B60" s="4"/>
      <c r="C60" s="6">
        <v>32.9</v>
      </c>
      <c r="D60" s="6">
        <v>12.9</v>
      </c>
      <c r="E60" s="6">
        <v>10</v>
      </c>
      <c r="F60" s="6">
        <v>34.6</v>
      </c>
      <c r="G60" s="4">
        <v>-1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" thickBot="1" x14ac:dyDescent="0.35">
      <c r="A61" s="5" t="s">
        <v>65</v>
      </c>
      <c r="B61" s="4"/>
      <c r="C61" s="6">
        <v>32.872999999999998</v>
      </c>
      <c r="D61" s="6">
        <v>12.858000000000001</v>
      </c>
      <c r="E61" s="6">
        <v>10.028</v>
      </c>
      <c r="F61" s="6">
        <v>34.634999999999998</v>
      </c>
      <c r="G61" s="4">
        <v>-1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" thickBot="1" x14ac:dyDescent="0.35">
      <c r="A62" s="5" t="s">
        <v>66</v>
      </c>
      <c r="B62" s="4"/>
      <c r="C62" s="6">
        <v>20.832000000000001</v>
      </c>
      <c r="D62" s="6">
        <v>18.265000000000001</v>
      </c>
      <c r="E62" s="6">
        <v>24.56</v>
      </c>
      <c r="F62" s="6">
        <v>26.716000000000001</v>
      </c>
      <c r="G62" s="4">
        <v>-1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" thickBot="1" x14ac:dyDescent="0.35">
      <c r="A63" s="5" t="s">
        <v>67</v>
      </c>
      <c r="B63" s="4"/>
      <c r="C63" s="6">
        <v>22.094000000000001</v>
      </c>
      <c r="D63" s="6">
        <v>11.726000000000001</v>
      </c>
      <c r="E63" s="6">
        <v>33.005000000000003</v>
      </c>
      <c r="F63" s="6">
        <v>23.507999999999999</v>
      </c>
      <c r="G63" s="4">
        <v>-1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" thickBot="1" x14ac:dyDescent="0.35">
      <c r="A64" s="5" t="s">
        <v>68</v>
      </c>
      <c r="B64" s="4"/>
      <c r="C64" s="6">
        <v>26.033999999999999</v>
      </c>
      <c r="D64" s="6">
        <v>12.734999999999999</v>
      </c>
      <c r="E64" s="6">
        <v>23.760999999999999</v>
      </c>
      <c r="F64" s="6">
        <v>27.785</v>
      </c>
      <c r="G64" s="4">
        <v>-1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" thickBot="1" x14ac:dyDescent="0.35">
      <c r="A65" s="5" t="s">
        <v>69</v>
      </c>
      <c r="B65" s="4"/>
      <c r="C65" s="6">
        <v>22.1</v>
      </c>
      <c r="D65" s="6">
        <v>11.7</v>
      </c>
      <c r="E65" s="6">
        <v>33</v>
      </c>
      <c r="F65" s="6">
        <v>23.5</v>
      </c>
      <c r="G65" s="4">
        <v>-1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" thickBot="1" x14ac:dyDescent="0.35">
      <c r="A66" s="5" t="s">
        <v>70</v>
      </c>
      <c r="B66" s="4"/>
      <c r="C66" s="6">
        <v>26</v>
      </c>
      <c r="D66" s="6">
        <v>12.7</v>
      </c>
      <c r="E66" s="6">
        <v>23.8</v>
      </c>
      <c r="F66" s="6">
        <v>27.8</v>
      </c>
      <c r="G66" s="4">
        <v>-1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" thickBot="1" x14ac:dyDescent="0.35">
      <c r="A67" s="5" t="s">
        <v>71</v>
      </c>
      <c r="B67" s="4"/>
      <c r="C67" s="6">
        <v>23.062999999999999</v>
      </c>
      <c r="D67" s="6">
        <v>16.414000000000001</v>
      </c>
      <c r="E67" s="6">
        <v>22.097000000000001</v>
      </c>
      <c r="F67" s="6">
        <v>28.652000000000001</v>
      </c>
      <c r="G67" s="4">
        <v>-1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" thickBot="1" x14ac:dyDescent="0.35">
      <c r="A68" s="5" t="s">
        <v>72</v>
      </c>
      <c r="B68" s="4"/>
      <c r="C68" s="6">
        <v>23.1</v>
      </c>
      <c r="D68" s="6">
        <v>16.399999999999999</v>
      </c>
      <c r="E68" s="6">
        <v>22.1</v>
      </c>
      <c r="F68" s="6">
        <v>28.7</v>
      </c>
      <c r="G68" s="4">
        <v>-1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" thickBot="1" x14ac:dyDescent="0.35">
      <c r="A69" s="5" t="s">
        <v>73</v>
      </c>
      <c r="B69" s="4"/>
      <c r="C69" s="6">
        <v>18.899999999999999</v>
      </c>
      <c r="D69" s="6">
        <v>12.6</v>
      </c>
      <c r="E69" s="6">
        <v>38.1</v>
      </c>
      <c r="F69" s="6">
        <v>20.5</v>
      </c>
      <c r="G69" s="4">
        <v>-1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" thickBot="1" x14ac:dyDescent="0.35">
      <c r="A70" s="5" t="s">
        <v>74</v>
      </c>
      <c r="B70" s="4"/>
      <c r="C70" s="6">
        <v>18.913</v>
      </c>
      <c r="D70" s="6">
        <v>12.612</v>
      </c>
      <c r="E70" s="6">
        <v>38.097000000000001</v>
      </c>
      <c r="F70" s="6">
        <v>20.542999999999999</v>
      </c>
      <c r="G70" s="4">
        <v>-1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" thickBot="1" x14ac:dyDescent="0.35">
      <c r="A71" s="5" t="s">
        <v>75</v>
      </c>
      <c r="B71" s="4"/>
      <c r="C71" s="6">
        <v>27.474</v>
      </c>
      <c r="D71" s="6">
        <v>12.823</v>
      </c>
      <c r="E71" s="6">
        <v>20.152000000000001</v>
      </c>
      <c r="F71" s="6">
        <v>29.696999999999999</v>
      </c>
      <c r="G71" s="4">
        <v>-1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" thickBot="1" x14ac:dyDescent="0.35">
      <c r="A72" s="5" t="s">
        <v>76</v>
      </c>
      <c r="B72" s="4"/>
      <c r="C72" s="6">
        <v>23.9</v>
      </c>
      <c r="D72" s="6">
        <v>12.282</v>
      </c>
      <c r="E72" s="6">
        <v>27.989000000000001</v>
      </c>
      <c r="F72" s="6">
        <v>25.952999999999999</v>
      </c>
      <c r="G72" s="4">
        <v>-1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" thickBot="1" x14ac:dyDescent="0.35">
      <c r="A73" s="5" t="s">
        <v>77</v>
      </c>
      <c r="B73" s="4"/>
      <c r="C73" s="6">
        <v>31.91</v>
      </c>
      <c r="D73" s="6">
        <v>13.003</v>
      </c>
      <c r="E73" s="6">
        <v>11.871</v>
      </c>
      <c r="F73" s="6">
        <v>33.332999999999998</v>
      </c>
      <c r="G73" s="4">
        <v>-1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" thickBot="1" x14ac:dyDescent="0.35">
      <c r="A74" s="5" t="s">
        <v>78</v>
      </c>
      <c r="B74" s="4"/>
      <c r="C74" s="6">
        <v>23.9</v>
      </c>
      <c r="D74" s="6">
        <v>12.3</v>
      </c>
      <c r="E74" s="6">
        <v>28</v>
      </c>
      <c r="F74" s="6">
        <v>26</v>
      </c>
      <c r="G74" s="4">
        <v>-1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" thickBot="1" x14ac:dyDescent="0.35">
      <c r="A75" s="5" t="s">
        <v>79</v>
      </c>
      <c r="B75" s="4"/>
      <c r="C75" s="6">
        <v>27.5</v>
      </c>
      <c r="D75" s="6">
        <v>12.8</v>
      </c>
      <c r="E75" s="6">
        <v>20.2</v>
      </c>
      <c r="F75" s="6">
        <v>29.7</v>
      </c>
      <c r="G75" s="4">
        <v>-1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" thickBot="1" x14ac:dyDescent="0.35">
      <c r="A76" s="5" t="s">
        <v>80</v>
      </c>
      <c r="B76" s="4"/>
      <c r="C76" s="6">
        <v>31.9</v>
      </c>
      <c r="D76" s="6">
        <v>13</v>
      </c>
      <c r="E76" s="6">
        <v>11.9</v>
      </c>
      <c r="F76" s="6">
        <v>33.299999999999997</v>
      </c>
      <c r="G76" s="4">
        <v>-1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" thickBot="1" x14ac:dyDescent="0.35">
      <c r="A77" s="5" t="s">
        <v>81</v>
      </c>
      <c r="B77" s="4"/>
      <c r="C77" s="6">
        <v>22.522522519999999</v>
      </c>
      <c r="D77" s="6">
        <v>22.522522519999999</v>
      </c>
      <c r="E77" s="6">
        <v>22.522522519999999</v>
      </c>
      <c r="F77" s="6">
        <v>22.522522519999999</v>
      </c>
      <c r="G77" s="4">
        <v>-1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" thickBot="1" x14ac:dyDescent="0.35">
      <c r="A78" s="5" t="s">
        <v>82</v>
      </c>
      <c r="B78" s="4"/>
      <c r="C78" s="6">
        <v>21</v>
      </c>
      <c r="D78" s="6">
        <v>18</v>
      </c>
      <c r="E78" s="6">
        <v>36</v>
      </c>
      <c r="F78" s="6">
        <v>15</v>
      </c>
      <c r="G78" s="4">
        <v>-1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" thickBot="1" x14ac:dyDescent="0.35">
      <c r="A79" s="5" t="s">
        <v>83</v>
      </c>
      <c r="B79" s="4"/>
      <c r="C79" s="6">
        <v>30</v>
      </c>
      <c r="D79" s="6">
        <v>20</v>
      </c>
      <c r="E79" s="6">
        <v>35</v>
      </c>
      <c r="F79" s="6">
        <v>5</v>
      </c>
      <c r="G79" s="4">
        <v>-1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" thickBot="1" x14ac:dyDescent="0.35">
      <c r="A80" s="5" t="s">
        <v>84</v>
      </c>
      <c r="B80" s="4"/>
      <c r="C80" s="6">
        <v>29.3</v>
      </c>
      <c r="D80" s="6">
        <v>13</v>
      </c>
      <c r="E80" s="6">
        <v>16.899999999999999</v>
      </c>
      <c r="F80" s="6">
        <v>30.7</v>
      </c>
      <c r="G80" s="4">
        <v>-1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" thickBot="1" x14ac:dyDescent="0.35">
      <c r="A81" s="5" t="s">
        <v>85</v>
      </c>
      <c r="B81" s="4"/>
      <c r="C81" s="6">
        <v>22.47191011</v>
      </c>
      <c r="D81" s="6">
        <v>22.47191011</v>
      </c>
      <c r="E81" s="6">
        <v>22.47191011</v>
      </c>
      <c r="F81" s="6">
        <v>22.47191011</v>
      </c>
      <c r="G81" s="4">
        <v>-1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" thickBot="1" x14ac:dyDescent="0.35">
      <c r="A82" s="5" t="s">
        <v>86</v>
      </c>
      <c r="B82" s="4"/>
      <c r="C82" s="6">
        <v>29.286000000000001</v>
      </c>
      <c r="D82" s="6">
        <v>13.018000000000001</v>
      </c>
      <c r="E82" s="6">
        <v>16.890999999999998</v>
      </c>
      <c r="F82" s="6">
        <v>30.683</v>
      </c>
      <c r="G82" s="4">
        <v>-1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" thickBot="1" x14ac:dyDescent="0.35">
      <c r="A83" s="5" t="s">
        <v>87</v>
      </c>
      <c r="B83" s="4"/>
      <c r="C83" s="6">
        <v>30.707000000000001</v>
      </c>
      <c r="D83" s="6">
        <v>12.843999999999999</v>
      </c>
      <c r="E83" s="6">
        <v>13.962999999999999</v>
      </c>
      <c r="F83" s="6">
        <v>32.331000000000003</v>
      </c>
      <c r="G83" s="4">
        <v>-1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" thickBot="1" x14ac:dyDescent="0.35">
      <c r="A84" s="5" t="s">
        <v>88</v>
      </c>
      <c r="B84" s="4"/>
      <c r="C84" s="6">
        <v>30.7</v>
      </c>
      <c r="D84" s="6">
        <v>12.8</v>
      </c>
      <c r="E84" s="6">
        <v>14</v>
      </c>
      <c r="F84" s="6">
        <v>32.299999999999997</v>
      </c>
      <c r="G84" s="4">
        <v>-1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" thickBot="1" x14ac:dyDescent="0.35">
      <c r="A85" s="5" t="s">
        <v>89</v>
      </c>
      <c r="B85" s="4"/>
      <c r="C85" s="6">
        <v>18.5</v>
      </c>
      <c r="D85" s="6">
        <v>20.2</v>
      </c>
      <c r="E85" s="6">
        <v>27.4</v>
      </c>
      <c r="F85" s="6">
        <v>23.5</v>
      </c>
      <c r="G85" s="4">
        <v>-1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" thickBot="1" x14ac:dyDescent="0.35">
      <c r="A86" s="5" t="s">
        <v>90</v>
      </c>
      <c r="B86" s="4"/>
      <c r="C86" s="6">
        <v>18.526</v>
      </c>
      <c r="D86" s="6">
        <v>20.184999999999999</v>
      </c>
      <c r="E86" s="6">
        <v>27.393999999999998</v>
      </c>
      <c r="F86" s="6">
        <v>23.484000000000002</v>
      </c>
      <c r="G86" s="4">
        <v>-1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" thickBot="1" x14ac:dyDescent="0.35">
      <c r="A87" s="5" t="s">
        <v>91</v>
      </c>
      <c r="B87" s="4"/>
      <c r="C87" s="6">
        <v>17.543859650000002</v>
      </c>
      <c r="D87" s="6">
        <v>17.543859650000002</v>
      </c>
      <c r="E87" s="6">
        <v>17.543859650000002</v>
      </c>
      <c r="F87" s="6">
        <v>36.842105259999997</v>
      </c>
      <c r="G87" s="4">
        <v>-1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" thickBot="1" x14ac:dyDescent="0.35">
      <c r="A88" s="5" t="s">
        <v>92</v>
      </c>
      <c r="B88" s="4"/>
      <c r="C88" s="6">
        <v>20.6</v>
      </c>
      <c r="D88" s="6">
        <v>13.5</v>
      </c>
      <c r="E88" s="6">
        <v>33.1</v>
      </c>
      <c r="F88" s="6">
        <v>22.3</v>
      </c>
      <c r="G88" s="4">
        <v>-1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" thickBot="1" x14ac:dyDescent="0.35">
      <c r="A89" s="5" t="s">
        <v>93</v>
      </c>
      <c r="B89" s="4"/>
      <c r="C89" s="6">
        <v>20.608000000000001</v>
      </c>
      <c r="D89" s="6">
        <v>13.489000000000001</v>
      </c>
      <c r="E89" s="6">
        <v>33.052999999999997</v>
      </c>
      <c r="F89" s="6">
        <v>22.257999999999999</v>
      </c>
      <c r="G89" s="4">
        <v>-1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" thickBot="1" x14ac:dyDescent="0.35">
      <c r="A90" s="5" t="s">
        <v>94</v>
      </c>
      <c r="B90" s="4"/>
      <c r="C90" s="6">
        <v>20.5</v>
      </c>
      <c r="D90" s="6">
        <v>18.399999999999999</v>
      </c>
      <c r="E90" s="6">
        <v>24.4</v>
      </c>
      <c r="F90" s="6">
        <v>25.9</v>
      </c>
      <c r="G90" s="4">
        <v>-1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" thickBot="1" x14ac:dyDescent="0.35">
      <c r="A91" s="5" t="s">
        <v>95</v>
      </c>
      <c r="B91" s="4"/>
      <c r="C91" s="6">
        <v>20.538</v>
      </c>
      <c r="D91" s="6">
        <v>18.376999999999999</v>
      </c>
      <c r="E91" s="6">
        <v>24.396999999999998</v>
      </c>
      <c r="F91" s="6">
        <v>25.876999999999999</v>
      </c>
      <c r="G91" s="4">
        <v>-1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" thickBot="1" x14ac:dyDescent="0.35">
      <c r="A92" s="5" t="s">
        <v>96</v>
      </c>
      <c r="B92" s="4"/>
      <c r="C92" s="6">
        <v>32.5</v>
      </c>
      <c r="D92" s="6">
        <v>15</v>
      </c>
      <c r="E92" s="6">
        <v>7.5</v>
      </c>
      <c r="F92" s="6">
        <v>33.9</v>
      </c>
      <c r="G92" s="4">
        <v>-1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" thickBot="1" x14ac:dyDescent="0.35">
      <c r="A93" s="5" t="s">
        <v>97</v>
      </c>
      <c r="B93" s="4"/>
      <c r="C93" s="6">
        <v>32.5</v>
      </c>
      <c r="D93" s="6">
        <v>14.989000000000001</v>
      </c>
      <c r="E93" s="6">
        <v>7.4725999999999999</v>
      </c>
      <c r="F93" s="6">
        <v>33.929000000000002</v>
      </c>
      <c r="G93" s="4">
        <v>-1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" thickBot="1" x14ac:dyDescent="0.35">
      <c r="A94" s="5" t="s">
        <v>98</v>
      </c>
      <c r="B94" s="4"/>
      <c r="C94" s="6">
        <v>22.222222219999999</v>
      </c>
      <c r="D94" s="6">
        <v>22.222222219999999</v>
      </c>
      <c r="E94" s="6">
        <v>22.222222219999999</v>
      </c>
      <c r="F94" s="6">
        <v>22.222222219999999</v>
      </c>
      <c r="G94" s="4">
        <v>-1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" thickBot="1" x14ac:dyDescent="0.35">
      <c r="A95" s="5" t="s">
        <v>99</v>
      </c>
      <c r="B95" s="4"/>
      <c r="C95" s="6">
        <v>22.222222219999999</v>
      </c>
      <c r="D95" s="6">
        <v>22.222222219999999</v>
      </c>
      <c r="E95" s="6">
        <v>22.222222219999999</v>
      </c>
      <c r="F95" s="6">
        <v>22.222222219999999</v>
      </c>
      <c r="G95" s="4">
        <v>-1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" thickBot="1" x14ac:dyDescent="0.35">
      <c r="A96" s="5" t="s">
        <v>100</v>
      </c>
      <c r="B96" s="4"/>
      <c r="C96" s="6">
        <v>22.564</v>
      </c>
      <c r="D96" s="6">
        <v>13.881</v>
      </c>
      <c r="E96" s="6">
        <v>28.257999999999999</v>
      </c>
      <c r="F96" s="6">
        <v>24.113</v>
      </c>
      <c r="G96" s="4">
        <v>-1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" thickBot="1" x14ac:dyDescent="0.35">
      <c r="A97" s="5" t="s">
        <v>101</v>
      </c>
      <c r="B97" s="4"/>
      <c r="C97" s="6">
        <v>22.6</v>
      </c>
      <c r="D97" s="6">
        <v>13.9</v>
      </c>
      <c r="E97" s="6">
        <v>28.3</v>
      </c>
      <c r="F97" s="6">
        <v>24.1</v>
      </c>
      <c r="G97" s="4">
        <v>-1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" thickBot="1" x14ac:dyDescent="0.35">
      <c r="A98" s="5" t="s">
        <v>102</v>
      </c>
      <c r="B98" s="4"/>
      <c r="C98" s="6">
        <v>22.2</v>
      </c>
      <c r="D98" s="6">
        <v>22.2</v>
      </c>
      <c r="E98" s="6">
        <v>22.2</v>
      </c>
      <c r="F98" s="6">
        <v>22.2</v>
      </c>
      <c r="G98" s="4">
        <v>-1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" thickBot="1" x14ac:dyDescent="0.35">
      <c r="A99" s="5" t="s">
        <v>103</v>
      </c>
      <c r="B99" s="4"/>
      <c r="C99" s="6">
        <v>17.495999999999999</v>
      </c>
      <c r="D99" s="6">
        <v>14.007999999999999</v>
      </c>
      <c r="E99" s="6">
        <v>38.29</v>
      </c>
      <c r="F99" s="6">
        <v>18.927</v>
      </c>
      <c r="G99" s="4">
        <v>-1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" thickBot="1" x14ac:dyDescent="0.35">
      <c r="A100" s="5" t="s">
        <v>104</v>
      </c>
      <c r="B100" s="4"/>
      <c r="C100" s="6">
        <v>17.5</v>
      </c>
      <c r="D100" s="6">
        <v>14</v>
      </c>
      <c r="E100" s="6">
        <v>38.299999999999997</v>
      </c>
      <c r="F100" s="6">
        <v>18.899999999999999</v>
      </c>
      <c r="G100" s="4">
        <v>-1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" thickBot="1" x14ac:dyDescent="0.35">
      <c r="A101" s="5" t="s">
        <v>105</v>
      </c>
      <c r="B101" s="4"/>
      <c r="C101" s="6">
        <v>22.1</v>
      </c>
      <c r="D101" s="6">
        <v>16.5</v>
      </c>
      <c r="E101" s="6">
        <v>22.2</v>
      </c>
      <c r="F101" s="6">
        <v>27.9</v>
      </c>
      <c r="G101" s="4">
        <v>-1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" thickBot="1" x14ac:dyDescent="0.35">
      <c r="A102" s="5" t="s">
        <v>106</v>
      </c>
      <c r="B102" s="4"/>
      <c r="C102" s="6">
        <v>24.1</v>
      </c>
      <c r="D102" s="6">
        <v>14.5</v>
      </c>
      <c r="E102" s="6">
        <v>24</v>
      </c>
      <c r="F102" s="6">
        <v>26.1</v>
      </c>
      <c r="G102" s="4">
        <v>-1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" thickBot="1" x14ac:dyDescent="0.35">
      <c r="A103" s="5" t="s">
        <v>107</v>
      </c>
      <c r="B103" s="4"/>
      <c r="C103" s="6">
        <v>24.116</v>
      </c>
      <c r="D103" s="6">
        <v>14.476000000000001</v>
      </c>
      <c r="E103" s="6">
        <v>24.036000000000001</v>
      </c>
      <c r="F103" s="6">
        <v>26.062999999999999</v>
      </c>
      <c r="G103" s="4">
        <v>-1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" thickBot="1" x14ac:dyDescent="0.35">
      <c r="A104" s="5" t="s">
        <v>108</v>
      </c>
      <c r="B104" s="4"/>
      <c r="C104" s="6">
        <v>22.128</v>
      </c>
      <c r="D104" s="6">
        <v>16.507000000000001</v>
      </c>
      <c r="E104" s="6">
        <v>22.152999999999999</v>
      </c>
      <c r="F104" s="6">
        <v>27.876000000000001</v>
      </c>
      <c r="G104" s="4">
        <v>-1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" thickBot="1" x14ac:dyDescent="0.35">
      <c r="A105" s="5" t="s">
        <v>109</v>
      </c>
      <c r="B105" s="4"/>
      <c r="C105" s="6">
        <v>25.8</v>
      </c>
      <c r="D105" s="6">
        <v>14.7</v>
      </c>
      <c r="E105" s="6">
        <v>20.7</v>
      </c>
      <c r="F105" s="6">
        <v>27.3</v>
      </c>
      <c r="G105" s="4">
        <v>-1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" thickBot="1" x14ac:dyDescent="0.35">
      <c r="A106" s="5" t="s">
        <v>110</v>
      </c>
      <c r="B106" s="4"/>
      <c r="C106" s="6">
        <v>25.831</v>
      </c>
      <c r="D106" s="6">
        <v>14.702999999999999</v>
      </c>
      <c r="E106" s="6">
        <v>20.684999999999999</v>
      </c>
      <c r="F106" s="6">
        <v>27.341000000000001</v>
      </c>
      <c r="G106" s="4">
        <v>-1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" thickBot="1" x14ac:dyDescent="0.35">
      <c r="A107" s="5" t="s">
        <v>111</v>
      </c>
      <c r="B107" s="4"/>
      <c r="C107" s="6">
        <v>29.632000000000001</v>
      </c>
      <c r="D107" s="6">
        <v>15.286</v>
      </c>
      <c r="E107" s="6">
        <v>12.225</v>
      </c>
      <c r="F107" s="6">
        <v>31.382000000000001</v>
      </c>
      <c r="G107" s="4">
        <v>-1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" thickBot="1" x14ac:dyDescent="0.35">
      <c r="A108" s="5" t="s">
        <v>112</v>
      </c>
      <c r="B108" s="4"/>
      <c r="C108" s="6">
        <v>30.599</v>
      </c>
      <c r="D108" s="6">
        <v>15.195</v>
      </c>
      <c r="E108" s="6">
        <v>10.194000000000001</v>
      </c>
      <c r="F108" s="6">
        <v>32.523000000000003</v>
      </c>
      <c r="G108" s="4">
        <v>-1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" thickBot="1" x14ac:dyDescent="0.35">
      <c r="A109" s="5" t="s">
        <v>113</v>
      </c>
      <c r="B109" s="4"/>
      <c r="C109" s="6">
        <v>23.856000000000002</v>
      </c>
      <c r="D109" s="6">
        <v>14.887</v>
      </c>
      <c r="E109" s="6">
        <v>19.629000000000001</v>
      </c>
      <c r="F109" s="6">
        <v>30.138000000000002</v>
      </c>
      <c r="G109" s="4">
        <v>-1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" thickBot="1" x14ac:dyDescent="0.35">
      <c r="A110" s="5" t="s">
        <v>114</v>
      </c>
      <c r="B110" s="4"/>
      <c r="C110" s="6">
        <v>28.594000000000001</v>
      </c>
      <c r="D110" s="6">
        <v>15.122999999999999</v>
      </c>
      <c r="E110" s="6">
        <v>14.512</v>
      </c>
      <c r="F110" s="6">
        <v>30.28</v>
      </c>
      <c r="G110" s="4">
        <v>-1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" thickBot="1" x14ac:dyDescent="0.35">
      <c r="A111" s="5" t="s">
        <v>115</v>
      </c>
      <c r="B111" s="4"/>
      <c r="C111" s="6">
        <v>23.9</v>
      </c>
      <c r="D111" s="6">
        <v>14.9</v>
      </c>
      <c r="E111" s="6">
        <v>19.600000000000001</v>
      </c>
      <c r="F111" s="6">
        <v>30.1</v>
      </c>
      <c r="G111" s="4">
        <v>-1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" thickBot="1" x14ac:dyDescent="0.35">
      <c r="A112" s="5" t="s">
        <v>116</v>
      </c>
      <c r="B112" s="4"/>
      <c r="C112" s="6">
        <v>28.6</v>
      </c>
      <c r="D112" s="6">
        <v>15.1</v>
      </c>
      <c r="E112" s="6">
        <v>14.5</v>
      </c>
      <c r="F112" s="6">
        <v>30.3</v>
      </c>
      <c r="G112" s="4">
        <v>-1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" thickBot="1" x14ac:dyDescent="0.35">
      <c r="A113" s="5" t="s">
        <v>117</v>
      </c>
      <c r="B113" s="4"/>
      <c r="C113" s="6">
        <v>29.6</v>
      </c>
      <c r="D113" s="6">
        <v>15.3</v>
      </c>
      <c r="E113" s="6">
        <v>12.2</v>
      </c>
      <c r="F113" s="6">
        <v>31.4</v>
      </c>
      <c r="G113" s="4">
        <v>-1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" thickBot="1" x14ac:dyDescent="0.35">
      <c r="A114" s="5" t="s">
        <v>118</v>
      </c>
      <c r="B114" s="4"/>
      <c r="C114" s="6">
        <v>30.6</v>
      </c>
      <c r="D114" s="6">
        <v>15.2</v>
      </c>
      <c r="E114" s="6">
        <v>10.199999999999999</v>
      </c>
      <c r="F114" s="6">
        <v>32.5</v>
      </c>
      <c r="G114" s="4">
        <v>-1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" thickBot="1" x14ac:dyDescent="0.35">
      <c r="A115" s="5" t="s">
        <v>119</v>
      </c>
      <c r="B115" s="4"/>
      <c r="C115" s="6">
        <v>31.7</v>
      </c>
      <c r="D115" s="6">
        <v>15</v>
      </c>
      <c r="E115" s="6">
        <v>8.6</v>
      </c>
      <c r="F115" s="6">
        <v>33.200000000000003</v>
      </c>
      <c r="G115" s="4">
        <v>-1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" thickBot="1" x14ac:dyDescent="0.35">
      <c r="A116" s="5" t="s">
        <v>120</v>
      </c>
      <c r="B116" s="4"/>
      <c r="C116" s="6">
        <v>31.739000000000001</v>
      </c>
      <c r="D116" s="6">
        <v>14.988</v>
      </c>
      <c r="E116" s="6">
        <v>8.6088000000000005</v>
      </c>
      <c r="F116" s="6">
        <v>33.151000000000003</v>
      </c>
      <c r="G116" s="4">
        <v>-1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" thickBot="1" x14ac:dyDescent="0.35">
      <c r="A117" s="5" t="s">
        <v>121</v>
      </c>
      <c r="B117" s="4"/>
      <c r="C117" s="6">
        <v>27.303999999999998</v>
      </c>
      <c r="D117" s="6">
        <v>14.938000000000001</v>
      </c>
      <c r="E117" s="6">
        <v>17.222000000000001</v>
      </c>
      <c r="F117" s="6">
        <v>28.957000000000001</v>
      </c>
      <c r="G117" s="4">
        <v>-1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" thickBot="1" x14ac:dyDescent="0.35">
      <c r="A118" s="5" t="s">
        <v>122</v>
      </c>
      <c r="B118" s="4"/>
      <c r="C118" s="6">
        <v>27.3</v>
      </c>
      <c r="D118" s="6">
        <v>14.9</v>
      </c>
      <c r="E118" s="6">
        <v>17.2</v>
      </c>
      <c r="F118" s="6">
        <v>29</v>
      </c>
      <c r="G118" s="4">
        <v>-1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" thickBot="1" x14ac:dyDescent="0.35">
      <c r="A119" s="5" t="s">
        <v>123</v>
      </c>
      <c r="B119" s="4"/>
      <c r="C119" s="6">
        <v>19.129000000000001</v>
      </c>
      <c r="D119" s="6">
        <v>14.973000000000001</v>
      </c>
      <c r="E119" s="6">
        <v>33.454999999999998</v>
      </c>
      <c r="F119" s="6">
        <v>20.678000000000001</v>
      </c>
      <c r="G119" s="4">
        <v>-1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" thickBot="1" x14ac:dyDescent="0.35">
      <c r="A120" s="5" t="s">
        <v>124</v>
      </c>
      <c r="B120" s="4"/>
      <c r="C120" s="6">
        <v>19.100000000000001</v>
      </c>
      <c r="D120" s="6">
        <v>15</v>
      </c>
      <c r="E120" s="6">
        <v>33.5</v>
      </c>
      <c r="F120" s="6">
        <v>20.7</v>
      </c>
      <c r="G120" s="4">
        <v>-1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" thickBot="1" x14ac:dyDescent="0.35">
      <c r="A121" s="5" t="s">
        <v>125</v>
      </c>
      <c r="B121" s="4"/>
      <c r="C121" s="6">
        <v>17.241379309999999</v>
      </c>
      <c r="D121" s="6">
        <v>17.241379309999999</v>
      </c>
      <c r="E121" s="6">
        <v>17.241379309999999</v>
      </c>
      <c r="F121" s="6">
        <v>36.206896550000003</v>
      </c>
      <c r="G121" s="4">
        <v>-1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" thickBot="1" x14ac:dyDescent="0.35">
      <c r="A122" s="5" t="s">
        <v>126</v>
      </c>
      <c r="B122" s="4"/>
      <c r="C122" s="6">
        <v>17.543859650000002</v>
      </c>
      <c r="D122" s="6">
        <v>17.543859650000002</v>
      </c>
      <c r="E122" s="6">
        <v>35.087719300000003</v>
      </c>
      <c r="F122" s="6">
        <v>17.543859650000002</v>
      </c>
      <c r="G122" s="4">
        <v>-1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" thickBot="1" x14ac:dyDescent="0.35">
      <c r="A123" s="5" t="s">
        <v>127</v>
      </c>
      <c r="B123" s="4"/>
      <c r="C123" s="6">
        <v>17.543859650000002</v>
      </c>
      <c r="D123" s="6">
        <v>26.315789469999999</v>
      </c>
      <c r="E123" s="6">
        <v>26.315789469999999</v>
      </c>
      <c r="F123" s="6">
        <v>17.543859650000002</v>
      </c>
      <c r="G123" s="4">
        <v>-1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" thickBot="1" x14ac:dyDescent="0.35">
      <c r="A124" s="5" t="s">
        <v>128</v>
      </c>
      <c r="B124" s="4"/>
      <c r="C124" s="6">
        <v>17.543859650000002</v>
      </c>
      <c r="D124" s="6">
        <v>35.087719300000003</v>
      </c>
      <c r="E124" s="6">
        <v>17.543859650000002</v>
      </c>
      <c r="F124" s="6">
        <v>17.543859650000002</v>
      </c>
      <c r="G124" s="4">
        <v>-1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" thickBot="1" x14ac:dyDescent="0.35">
      <c r="A125" s="5" t="s">
        <v>129</v>
      </c>
      <c r="B125" s="4"/>
      <c r="C125" s="6">
        <v>20.9</v>
      </c>
      <c r="D125" s="6">
        <v>15.7</v>
      </c>
      <c r="E125" s="6">
        <v>28.6</v>
      </c>
      <c r="F125" s="6">
        <v>22.5</v>
      </c>
      <c r="G125" s="4">
        <v>-1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" thickBot="1" x14ac:dyDescent="0.35">
      <c r="A126" s="5" t="s">
        <v>130</v>
      </c>
      <c r="B126" s="4"/>
      <c r="C126" s="6">
        <v>20.922999999999998</v>
      </c>
      <c r="D126" s="6">
        <v>15.673999999999999</v>
      </c>
      <c r="E126" s="6">
        <v>28.606000000000002</v>
      </c>
      <c r="F126" s="6">
        <v>22.475999999999999</v>
      </c>
      <c r="G126" s="4">
        <v>-1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" thickBot="1" x14ac:dyDescent="0.35">
      <c r="A127" s="5" t="s">
        <v>131</v>
      </c>
      <c r="B127" s="4"/>
      <c r="C127" s="6">
        <v>17.768999999999998</v>
      </c>
      <c r="D127" s="6">
        <v>20.148</v>
      </c>
      <c r="E127" s="6">
        <v>27.111000000000001</v>
      </c>
      <c r="F127" s="6">
        <v>22.616</v>
      </c>
      <c r="G127" s="4">
        <v>-1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" thickBot="1" x14ac:dyDescent="0.35">
      <c r="A128" s="5" t="s">
        <v>132</v>
      </c>
      <c r="B128" s="4"/>
      <c r="C128" s="6">
        <v>17.8</v>
      </c>
      <c r="D128" s="6">
        <v>20.100000000000001</v>
      </c>
      <c r="E128" s="6">
        <v>27.1</v>
      </c>
      <c r="F128" s="6">
        <v>22.6</v>
      </c>
      <c r="G128" s="4">
        <v>-1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" thickBot="1" x14ac:dyDescent="0.35">
      <c r="A129" s="5" t="s">
        <v>133</v>
      </c>
      <c r="B129" s="4"/>
      <c r="C129" s="6">
        <v>21.881838070000001</v>
      </c>
      <c r="D129" s="6">
        <v>21.881838070000001</v>
      </c>
      <c r="E129" s="6">
        <v>21.881838070000001</v>
      </c>
      <c r="F129" s="6">
        <v>21.881838070000001</v>
      </c>
      <c r="G129" s="4">
        <v>-1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" thickBot="1" x14ac:dyDescent="0.35">
      <c r="A130" s="5" t="s">
        <v>134</v>
      </c>
      <c r="B130" s="4"/>
      <c r="C130" s="6">
        <v>21.88</v>
      </c>
      <c r="D130" s="6">
        <v>21.88</v>
      </c>
      <c r="E130" s="6">
        <v>21.88</v>
      </c>
      <c r="F130" s="6">
        <v>21.88</v>
      </c>
      <c r="G130" s="4">
        <v>-1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" thickBot="1" x14ac:dyDescent="0.35">
      <c r="A131" s="5" t="s">
        <v>135</v>
      </c>
      <c r="B131" s="4"/>
      <c r="C131" s="6">
        <v>12.5</v>
      </c>
      <c r="D131" s="6">
        <v>12.5</v>
      </c>
      <c r="E131" s="6">
        <v>12.5</v>
      </c>
      <c r="F131" s="6">
        <v>50</v>
      </c>
      <c r="G131" s="4">
        <v>-1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" thickBot="1" x14ac:dyDescent="0.35">
      <c r="A132" s="5" t="s">
        <v>136</v>
      </c>
      <c r="B132" s="4"/>
      <c r="C132" s="6">
        <v>17.5</v>
      </c>
      <c r="D132" s="6">
        <v>26.25</v>
      </c>
      <c r="E132" s="6">
        <v>26.25</v>
      </c>
      <c r="F132" s="6">
        <v>17.5</v>
      </c>
      <c r="G132" s="4">
        <v>-1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" thickBot="1" x14ac:dyDescent="0.35">
      <c r="A133" s="5" t="s">
        <v>137</v>
      </c>
      <c r="B133" s="4"/>
      <c r="C133" s="6">
        <v>17.5</v>
      </c>
      <c r="D133" s="6">
        <v>35</v>
      </c>
      <c r="E133" s="6">
        <v>17.5</v>
      </c>
      <c r="F133" s="6">
        <v>17.5</v>
      </c>
      <c r="G133" s="4">
        <v>-1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" thickBot="1" x14ac:dyDescent="0.35">
      <c r="A134" s="5" t="s">
        <v>138</v>
      </c>
      <c r="B134" s="4"/>
      <c r="C134" s="6">
        <v>25</v>
      </c>
      <c r="D134" s="6">
        <v>18.75</v>
      </c>
      <c r="E134" s="6">
        <v>18.75</v>
      </c>
      <c r="F134" s="6">
        <v>25</v>
      </c>
      <c r="G134" s="4">
        <v>-1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" thickBot="1" x14ac:dyDescent="0.35">
      <c r="A135" s="5" t="s">
        <v>139</v>
      </c>
      <c r="B135" s="4"/>
      <c r="C135" s="6">
        <v>19.600000000000001</v>
      </c>
      <c r="D135" s="6">
        <v>18.2</v>
      </c>
      <c r="E135" s="6">
        <v>24.5</v>
      </c>
      <c r="F135" s="6">
        <v>25.1</v>
      </c>
      <c r="G135" s="4">
        <v>-1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" thickBot="1" x14ac:dyDescent="0.35">
      <c r="A136" s="5" t="s">
        <v>140</v>
      </c>
      <c r="B136" s="4"/>
      <c r="C136" s="6">
        <v>19.64</v>
      </c>
      <c r="D136" s="6">
        <v>18.202999999999999</v>
      </c>
      <c r="E136" s="6">
        <v>24.47</v>
      </c>
      <c r="F136" s="6">
        <v>25.14</v>
      </c>
      <c r="G136" s="4">
        <v>-1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" thickBot="1" x14ac:dyDescent="0.35">
      <c r="A137" s="5" t="s">
        <v>141</v>
      </c>
      <c r="B137" s="4"/>
      <c r="C137" s="6">
        <v>16.3</v>
      </c>
      <c r="D137" s="6">
        <v>15.9</v>
      </c>
      <c r="E137" s="6">
        <v>38</v>
      </c>
      <c r="F137" s="6">
        <v>17.2</v>
      </c>
      <c r="G137" s="4">
        <v>-1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" thickBot="1" x14ac:dyDescent="0.35">
      <c r="A138" s="5" t="s">
        <v>142</v>
      </c>
      <c r="B138" s="4"/>
      <c r="C138" s="6">
        <v>16.337</v>
      </c>
      <c r="D138" s="6">
        <v>15.904999999999999</v>
      </c>
      <c r="E138" s="6">
        <v>37.985999999999997</v>
      </c>
      <c r="F138" s="6">
        <v>17.164999999999999</v>
      </c>
      <c r="G138" s="4">
        <v>-1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" thickBot="1" x14ac:dyDescent="0.35">
      <c r="A139" s="5" t="s">
        <v>143</v>
      </c>
      <c r="B139" s="4"/>
      <c r="C139" s="6">
        <v>21.4</v>
      </c>
      <c r="D139" s="6">
        <v>16.5</v>
      </c>
      <c r="E139" s="6">
        <v>22.2</v>
      </c>
      <c r="F139" s="6">
        <v>27.2</v>
      </c>
      <c r="G139" s="4">
        <v>-1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" thickBot="1" x14ac:dyDescent="0.35">
      <c r="A140" s="5" t="s">
        <v>144</v>
      </c>
      <c r="B140" s="4"/>
      <c r="C140" s="6">
        <v>25.1</v>
      </c>
      <c r="D140" s="6">
        <v>13.2</v>
      </c>
      <c r="E140" s="6">
        <v>17.5</v>
      </c>
      <c r="F140" s="6">
        <v>31.4</v>
      </c>
      <c r="G140" s="4">
        <v>-1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" thickBot="1" x14ac:dyDescent="0.35">
      <c r="A141" s="5" t="s">
        <v>145</v>
      </c>
      <c r="B141" s="4"/>
      <c r="C141" s="6">
        <v>25.076000000000001</v>
      </c>
      <c r="D141" s="6">
        <v>13.239000000000001</v>
      </c>
      <c r="E141" s="6">
        <v>17.497</v>
      </c>
      <c r="F141" s="6">
        <v>31.37</v>
      </c>
      <c r="G141" s="4">
        <v>-1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" thickBot="1" x14ac:dyDescent="0.35">
      <c r="A142" s="5" t="s">
        <v>146</v>
      </c>
      <c r="B142" s="4"/>
      <c r="C142" s="6">
        <v>21.356999999999999</v>
      </c>
      <c r="D142" s="6">
        <v>16.457999999999998</v>
      </c>
      <c r="E142" s="6">
        <v>22.17</v>
      </c>
      <c r="F142" s="6">
        <v>27.175000000000001</v>
      </c>
      <c r="G142" s="4">
        <v>-1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" thickBot="1" x14ac:dyDescent="0.35">
      <c r="A143" s="5" t="s">
        <v>147</v>
      </c>
      <c r="B143" s="4"/>
      <c r="C143" s="6">
        <v>21.786492370000001</v>
      </c>
      <c r="D143" s="6">
        <v>21.786492370000001</v>
      </c>
      <c r="E143" s="6">
        <v>21.786492370000001</v>
      </c>
      <c r="F143" s="6">
        <v>21.786492370000001</v>
      </c>
      <c r="G143" s="4">
        <v>-1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" thickBot="1" x14ac:dyDescent="0.35">
      <c r="A144" s="5" t="s">
        <v>148</v>
      </c>
      <c r="B144" s="4"/>
      <c r="C144" s="6">
        <v>22.434999999999999</v>
      </c>
      <c r="D144" s="6">
        <v>16.388999999999999</v>
      </c>
      <c r="E144" s="6">
        <v>24.17</v>
      </c>
      <c r="F144" s="6">
        <v>24.126000000000001</v>
      </c>
      <c r="G144" s="4">
        <v>-1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" thickBot="1" x14ac:dyDescent="0.35">
      <c r="A145" s="5" t="s">
        <v>149</v>
      </c>
      <c r="B145" s="4"/>
      <c r="C145" s="6">
        <v>23.273</v>
      </c>
      <c r="D145" s="6">
        <v>14.779</v>
      </c>
      <c r="E145" s="6">
        <v>19.678000000000001</v>
      </c>
      <c r="F145" s="6">
        <v>29.385000000000002</v>
      </c>
      <c r="G145" s="4">
        <v>-1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" thickBot="1" x14ac:dyDescent="0.35">
      <c r="A146" s="5" t="s">
        <v>150</v>
      </c>
      <c r="B146" s="4"/>
      <c r="C146" s="6">
        <v>23.3</v>
      </c>
      <c r="D146" s="6">
        <v>14.8</v>
      </c>
      <c r="E146" s="6">
        <v>19.7</v>
      </c>
      <c r="F146" s="6">
        <v>29.4</v>
      </c>
      <c r="G146" s="4">
        <v>-1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" thickBot="1" x14ac:dyDescent="0.35">
      <c r="A147" s="5" t="s">
        <v>151</v>
      </c>
      <c r="B147" s="4"/>
      <c r="C147" s="6">
        <v>22.4</v>
      </c>
      <c r="D147" s="6">
        <v>16.399999999999999</v>
      </c>
      <c r="E147" s="6">
        <v>24.2</v>
      </c>
      <c r="F147" s="6">
        <v>24.1</v>
      </c>
      <c r="G147" s="4">
        <v>-1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" thickBot="1" x14ac:dyDescent="0.35">
      <c r="A148" s="5" t="s">
        <v>152</v>
      </c>
      <c r="B148" s="4"/>
      <c r="C148" s="6">
        <v>20</v>
      </c>
      <c r="D148" s="6">
        <v>23.5</v>
      </c>
      <c r="E148" s="6">
        <v>20</v>
      </c>
      <c r="F148" s="6">
        <v>23.5</v>
      </c>
      <c r="G148" s="4">
        <v>-1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" thickBot="1" x14ac:dyDescent="0.35">
      <c r="A149" s="5" t="s">
        <v>153</v>
      </c>
      <c r="B149" s="4"/>
      <c r="C149" s="6">
        <v>21.74</v>
      </c>
      <c r="D149" s="6">
        <v>21.74</v>
      </c>
      <c r="E149" s="6">
        <v>21.74</v>
      </c>
      <c r="F149" s="6">
        <v>21.74</v>
      </c>
      <c r="G149" s="4">
        <v>-1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" thickBot="1" x14ac:dyDescent="0.35">
      <c r="A150" s="5" t="s">
        <v>154</v>
      </c>
      <c r="B150" s="4"/>
      <c r="C150" s="6">
        <v>21.739130429999999</v>
      </c>
      <c r="D150" s="6">
        <v>21.739130429999999</v>
      </c>
      <c r="E150" s="6">
        <v>21.739130429999999</v>
      </c>
      <c r="F150" s="6">
        <v>21.739130429999999</v>
      </c>
      <c r="G150" s="4">
        <v>-1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" thickBot="1" x14ac:dyDescent="0.35">
      <c r="A151" s="5" t="s">
        <v>155</v>
      </c>
      <c r="B151" s="4"/>
      <c r="C151" s="6">
        <v>21.739130429999999</v>
      </c>
      <c r="D151" s="6">
        <v>21.739130429999999</v>
      </c>
      <c r="E151" s="6">
        <v>21.739130429999999</v>
      </c>
      <c r="F151" s="6">
        <v>21.739130429999999</v>
      </c>
      <c r="G151" s="4">
        <v>-1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" thickBot="1" x14ac:dyDescent="0.35">
      <c r="A152" s="5" t="s">
        <v>156</v>
      </c>
      <c r="B152" s="4"/>
      <c r="C152" s="6">
        <v>23.771999999999998</v>
      </c>
      <c r="D152" s="6">
        <v>16.989000000000001</v>
      </c>
      <c r="E152" s="6">
        <v>20.620999999999999</v>
      </c>
      <c r="F152" s="6">
        <v>25.366</v>
      </c>
      <c r="G152" s="4">
        <v>-1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" thickBot="1" x14ac:dyDescent="0.35">
      <c r="A153" s="5" t="s">
        <v>157</v>
      </c>
      <c r="B153" s="4"/>
      <c r="C153" s="6">
        <v>23.8</v>
      </c>
      <c r="D153" s="6">
        <v>17</v>
      </c>
      <c r="E153" s="6">
        <v>20.6</v>
      </c>
      <c r="F153" s="6">
        <v>25.4</v>
      </c>
      <c r="G153" s="4">
        <v>-1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" thickBot="1" x14ac:dyDescent="0.35">
      <c r="A154" s="5" t="s">
        <v>158</v>
      </c>
      <c r="B154" s="4"/>
      <c r="C154" s="6">
        <v>27.5</v>
      </c>
      <c r="D154" s="6">
        <v>17.8</v>
      </c>
      <c r="E154" s="6">
        <v>12.5</v>
      </c>
      <c r="F154" s="6">
        <v>29</v>
      </c>
      <c r="G154" s="4">
        <v>-1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" thickBot="1" x14ac:dyDescent="0.35">
      <c r="A155" s="5" t="s">
        <v>159</v>
      </c>
      <c r="B155" s="4"/>
      <c r="C155" s="6">
        <v>27.477</v>
      </c>
      <c r="D155" s="6">
        <v>17.754000000000001</v>
      </c>
      <c r="E155" s="6">
        <v>12.462</v>
      </c>
      <c r="F155" s="6">
        <v>29.018000000000001</v>
      </c>
      <c r="G155" s="4">
        <v>-1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" thickBot="1" x14ac:dyDescent="0.35">
      <c r="A156" s="5" t="s">
        <v>160</v>
      </c>
      <c r="B156" s="4"/>
      <c r="C156" s="6">
        <v>28.5</v>
      </c>
      <c r="D156" s="6">
        <v>17.7</v>
      </c>
      <c r="E156" s="6">
        <v>10.5</v>
      </c>
      <c r="F156" s="6">
        <v>30</v>
      </c>
      <c r="G156" s="4">
        <v>-1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" thickBot="1" x14ac:dyDescent="0.35">
      <c r="A157" s="5" t="s">
        <v>161</v>
      </c>
      <c r="B157" s="4"/>
      <c r="C157" s="6">
        <v>28.536999999999999</v>
      </c>
      <c r="D157" s="6">
        <v>17.707999999999998</v>
      </c>
      <c r="E157" s="6">
        <v>10.49</v>
      </c>
      <c r="F157" s="6">
        <v>29.963999999999999</v>
      </c>
      <c r="G157" s="4">
        <v>-1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" thickBot="1" x14ac:dyDescent="0.35">
      <c r="A158" s="5" t="s">
        <v>162</v>
      </c>
      <c r="B158" s="4"/>
      <c r="C158" s="6">
        <v>26.5</v>
      </c>
      <c r="D158" s="6">
        <v>17.399999999999999</v>
      </c>
      <c r="E158" s="6">
        <v>14.7</v>
      </c>
      <c r="F158" s="6">
        <v>28</v>
      </c>
      <c r="G158" s="4">
        <v>-1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" thickBot="1" x14ac:dyDescent="0.35">
      <c r="A159" s="5" t="s">
        <v>163</v>
      </c>
      <c r="B159" s="4"/>
      <c r="C159" s="6">
        <v>26.518999999999998</v>
      </c>
      <c r="D159" s="6">
        <v>17.420999999999999</v>
      </c>
      <c r="E159" s="6">
        <v>14.715</v>
      </c>
      <c r="F159" s="6">
        <v>28.023</v>
      </c>
      <c r="G159" s="4">
        <v>-1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" thickBot="1" x14ac:dyDescent="0.35">
      <c r="A160" s="5" t="s">
        <v>164</v>
      </c>
      <c r="B160" s="4"/>
      <c r="C160" s="6">
        <v>30.132999999999999</v>
      </c>
      <c r="D160" s="6">
        <v>17.515999999999998</v>
      </c>
      <c r="E160" s="6">
        <v>7.6821000000000002</v>
      </c>
      <c r="F160" s="6">
        <v>31.29</v>
      </c>
      <c r="G160" s="4">
        <v>-1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" thickBot="1" x14ac:dyDescent="0.35">
      <c r="A161" s="5" t="s">
        <v>165</v>
      </c>
      <c r="B161" s="4"/>
      <c r="C161" s="6">
        <v>30.1</v>
      </c>
      <c r="D161" s="6">
        <v>17.5</v>
      </c>
      <c r="E161" s="6">
        <v>7.7</v>
      </c>
      <c r="F161" s="6">
        <v>31.3</v>
      </c>
      <c r="G161" s="4">
        <v>-1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" thickBot="1" x14ac:dyDescent="0.35">
      <c r="A162" s="5" t="s">
        <v>166</v>
      </c>
      <c r="B162" s="4"/>
      <c r="C162" s="6">
        <v>17.792000000000002</v>
      </c>
      <c r="D162" s="6">
        <v>16.818999999999999</v>
      </c>
      <c r="E162" s="6">
        <v>32.96</v>
      </c>
      <c r="F162" s="6">
        <v>18.949000000000002</v>
      </c>
      <c r="G162" s="4">
        <v>-1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" thickBot="1" x14ac:dyDescent="0.35">
      <c r="A163" s="5" t="s">
        <v>167</v>
      </c>
      <c r="B163" s="4"/>
      <c r="C163" s="6">
        <v>29.3</v>
      </c>
      <c r="D163" s="6">
        <v>17.600000000000001</v>
      </c>
      <c r="E163" s="6">
        <v>9</v>
      </c>
      <c r="F163" s="6">
        <v>30.7</v>
      </c>
      <c r="G163" s="4">
        <v>-1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" thickBot="1" x14ac:dyDescent="0.35">
      <c r="A164" s="5" t="s">
        <v>168</v>
      </c>
      <c r="B164" s="4"/>
      <c r="C164" s="6">
        <v>29.282</v>
      </c>
      <c r="D164" s="6">
        <v>17.579000000000001</v>
      </c>
      <c r="E164" s="6">
        <v>8.9655000000000005</v>
      </c>
      <c r="F164" s="6">
        <v>30.686</v>
      </c>
      <c r="G164" s="4">
        <v>-1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" thickBot="1" x14ac:dyDescent="0.35">
      <c r="A165" s="5" t="s">
        <v>169</v>
      </c>
      <c r="B165" s="4"/>
      <c r="C165" s="6">
        <v>17.8</v>
      </c>
      <c r="D165" s="6">
        <v>16.8</v>
      </c>
      <c r="E165" s="6">
        <v>33</v>
      </c>
      <c r="F165" s="6">
        <v>18.899999999999999</v>
      </c>
      <c r="G165" s="4">
        <v>-1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" thickBot="1" x14ac:dyDescent="0.35">
      <c r="A166" s="5" t="s">
        <v>170</v>
      </c>
      <c r="B166" s="4"/>
      <c r="C166" s="6">
        <v>24.99</v>
      </c>
      <c r="D166" s="6">
        <v>17.189</v>
      </c>
      <c r="E166" s="6">
        <v>17.498000000000001</v>
      </c>
      <c r="F166" s="6">
        <v>26.765999999999998</v>
      </c>
      <c r="G166" s="4">
        <v>-1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" thickBot="1" x14ac:dyDescent="0.35">
      <c r="A167" s="5" t="s">
        <v>171</v>
      </c>
      <c r="B167" s="4"/>
      <c r="C167" s="6">
        <v>25</v>
      </c>
      <c r="D167" s="6">
        <v>17.2</v>
      </c>
      <c r="E167" s="6">
        <v>17.5</v>
      </c>
      <c r="F167" s="6">
        <v>26.8</v>
      </c>
      <c r="G167" s="4">
        <v>-1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" thickBot="1" x14ac:dyDescent="0.35">
      <c r="A168" s="5" t="s">
        <v>172</v>
      </c>
      <c r="B168" s="4"/>
      <c r="C168" s="6">
        <v>17.344000000000001</v>
      </c>
      <c r="D168" s="6">
        <v>19.928000000000001</v>
      </c>
      <c r="E168" s="6">
        <v>26.998999999999999</v>
      </c>
      <c r="F168" s="6">
        <v>21.844000000000001</v>
      </c>
      <c r="G168" s="4">
        <v>-1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" thickBot="1" x14ac:dyDescent="0.35">
      <c r="A169" s="5" t="s">
        <v>173</v>
      </c>
      <c r="B169" s="4"/>
      <c r="C169" s="6">
        <v>17.3</v>
      </c>
      <c r="D169" s="6">
        <v>19.899999999999999</v>
      </c>
      <c r="E169" s="6">
        <v>27</v>
      </c>
      <c r="F169" s="6">
        <v>21.8</v>
      </c>
      <c r="G169" s="4">
        <v>-1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" thickBot="1" x14ac:dyDescent="0.35">
      <c r="A170" s="5" t="s">
        <v>174</v>
      </c>
      <c r="B170" s="4"/>
      <c r="C170" s="6">
        <v>4</v>
      </c>
      <c r="D170" s="6">
        <v>34</v>
      </c>
      <c r="E170" s="6">
        <v>34</v>
      </c>
      <c r="F170" s="6">
        <v>14</v>
      </c>
      <c r="G170" s="4">
        <v>-1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" thickBot="1" x14ac:dyDescent="0.35">
      <c r="A171" s="5" t="s">
        <v>175</v>
      </c>
      <c r="B171" s="4"/>
      <c r="C171" s="6">
        <v>19.114000000000001</v>
      </c>
      <c r="D171" s="6">
        <v>17.818000000000001</v>
      </c>
      <c r="E171" s="6">
        <v>28.373999999999999</v>
      </c>
      <c r="F171" s="6">
        <v>20.513000000000002</v>
      </c>
      <c r="G171" s="4">
        <v>-1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" thickBot="1" x14ac:dyDescent="0.35">
      <c r="A172" s="5" t="s">
        <v>176</v>
      </c>
      <c r="B172" s="4"/>
      <c r="C172" s="6">
        <v>19.100000000000001</v>
      </c>
      <c r="D172" s="6">
        <v>17.8</v>
      </c>
      <c r="E172" s="6">
        <v>28.4</v>
      </c>
      <c r="F172" s="6">
        <v>20.5</v>
      </c>
      <c r="G172" s="4">
        <v>-1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" thickBot="1" x14ac:dyDescent="0.35">
      <c r="A173" s="5" t="s">
        <v>177</v>
      </c>
      <c r="B173" s="4"/>
      <c r="C173" s="6">
        <v>14.28571429</v>
      </c>
      <c r="D173" s="6">
        <v>14.28571429</v>
      </c>
      <c r="E173" s="6">
        <v>14.28571429</v>
      </c>
      <c r="F173" s="6">
        <v>42.857142860000003</v>
      </c>
      <c r="G173" s="4">
        <v>-1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" thickBot="1" x14ac:dyDescent="0.35">
      <c r="A174" s="5" t="s">
        <v>178</v>
      </c>
      <c r="B174" s="4"/>
      <c r="C174" s="6">
        <v>14.28571429</v>
      </c>
      <c r="D174" s="6">
        <v>28.571428569999998</v>
      </c>
      <c r="E174" s="6">
        <v>14.28571429</v>
      </c>
      <c r="F174" s="6">
        <v>28.571428569999998</v>
      </c>
      <c r="G174" s="4">
        <v>-1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" thickBot="1" x14ac:dyDescent="0.35">
      <c r="A175" s="5" t="s">
        <v>179</v>
      </c>
      <c r="B175" s="4"/>
      <c r="C175" s="6">
        <v>16.806722690000001</v>
      </c>
      <c r="D175" s="6">
        <v>16.806722690000001</v>
      </c>
      <c r="E175" s="6">
        <v>16.806722690000001</v>
      </c>
      <c r="F175" s="6">
        <v>35.294117649999997</v>
      </c>
      <c r="G175" s="4">
        <v>-1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" thickBot="1" x14ac:dyDescent="0.35">
      <c r="A176" s="5" t="s">
        <v>180</v>
      </c>
      <c r="B176" s="4"/>
      <c r="C176" s="6">
        <v>30</v>
      </c>
      <c r="D176" s="6">
        <v>15</v>
      </c>
      <c r="E176" s="6">
        <v>40</v>
      </c>
      <c r="F176" s="6">
        <v>5</v>
      </c>
      <c r="G176" s="4">
        <v>-1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" thickBot="1" x14ac:dyDescent="0.35">
      <c r="A177" s="5" t="s">
        <v>181</v>
      </c>
      <c r="B177" s="4"/>
      <c r="C177" s="6">
        <v>18.899999999999999</v>
      </c>
      <c r="D177" s="6">
        <v>18.100000000000001</v>
      </c>
      <c r="E177" s="6">
        <v>24.6</v>
      </c>
      <c r="F177" s="6">
        <v>24.1</v>
      </c>
      <c r="G177" s="4">
        <v>-1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" thickBot="1" x14ac:dyDescent="0.35">
      <c r="A178" s="5" t="s">
        <v>182</v>
      </c>
      <c r="B178" s="4"/>
      <c r="C178" s="6">
        <v>18.905000000000001</v>
      </c>
      <c r="D178" s="6">
        <v>18.079000000000001</v>
      </c>
      <c r="E178" s="6">
        <v>24.613</v>
      </c>
      <c r="F178" s="6">
        <v>24.082000000000001</v>
      </c>
      <c r="G178" s="4">
        <v>-1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" thickBot="1" x14ac:dyDescent="0.35">
      <c r="A179" s="5" t="s">
        <v>183</v>
      </c>
      <c r="B179" s="4"/>
      <c r="C179" s="6">
        <v>20.466999999999999</v>
      </c>
      <c r="D179" s="6">
        <v>18.628</v>
      </c>
      <c r="E179" s="6">
        <v>24.344999999999999</v>
      </c>
      <c r="F179" s="6">
        <v>22.062999999999999</v>
      </c>
      <c r="G179" s="4">
        <v>-1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" thickBot="1" x14ac:dyDescent="0.35">
      <c r="A180" s="5" t="s">
        <v>184</v>
      </c>
      <c r="B180" s="4"/>
      <c r="C180" s="6">
        <v>20.5</v>
      </c>
      <c r="D180" s="6">
        <v>18.600000000000001</v>
      </c>
      <c r="E180" s="6">
        <v>24.3</v>
      </c>
      <c r="F180" s="6">
        <v>22.1</v>
      </c>
      <c r="G180" s="4">
        <v>-1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" thickBot="1" x14ac:dyDescent="0.35">
      <c r="A181" s="5" t="s">
        <v>185</v>
      </c>
      <c r="B181" s="4"/>
      <c r="C181" s="6">
        <v>24.3</v>
      </c>
      <c r="D181" s="6">
        <v>13.2</v>
      </c>
      <c r="E181" s="6">
        <v>17.399999999999999</v>
      </c>
      <c r="F181" s="6">
        <v>30.4</v>
      </c>
      <c r="G181" s="4">
        <v>-1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" thickBot="1" x14ac:dyDescent="0.35">
      <c r="A182" s="5" t="s">
        <v>186</v>
      </c>
      <c r="B182" s="4"/>
      <c r="C182" s="6">
        <v>24.251999999999999</v>
      </c>
      <c r="D182" s="6">
        <v>13.16</v>
      </c>
      <c r="E182" s="6">
        <v>17.402999999999999</v>
      </c>
      <c r="F182" s="6">
        <v>30.396999999999998</v>
      </c>
      <c r="G182" s="4">
        <v>-1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" thickBot="1" x14ac:dyDescent="0.35">
      <c r="A183" s="5" t="s">
        <v>187</v>
      </c>
      <c r="B183" s="4"/>
      <c r="C183" s="6">
        <v>21.3</v>
      </c>
      <c r="D183" s="6">
        <v>21.3</v>
      </c>
      <c r="E183" s="6">
        <v>21.3</v>
      </c>
      <c r="F183" s="6">
        <v>21.3</v>
      </c>
      <c r="G183" s="4">
        <v>-1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" thickBot="1" x14ac:dyDescent="0.35">
      <c r="A184" s="5" t="s">
        <v>188</v>
      </c>
      <c r="B184" s="4"/>
      <c r="C184" s="6">
        <v>21.3</v>
      </c>
      <c r="D184" s="6">
        <v>21.3</v>
      </c>
      <c r="E184" s="6">
        <v>21.3</v>
      </c>
      <c r="F184" s="6">
        <v>21.3</v>
      </c>
      <c r="G184" s="4">
        <v>-1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" thickBot="1" x14ac:dyDescent="0.35">
      <c r="A185" s="5" t="s">
        <v>189</v>
      </c>
      <c r="B185" s="4"/>
      <c r="C185" s="6">
        <v>14.81481481</v>
      </c>
      <c r="D185" s="6">
        <v>14.81481481</v>
      </c>
      <c r="E185" s="6">
        <v>14.81481481</v>
      </c>
      <c r="F185" s="6">
        <v>40.74074074</v>
      </c>
      <c r="G185" s="4">
        <v>-1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" thickBot="1" x14ac:dyDescent="0.35">
      <c r="A186" s="5" t="s">
        <v>190</v>
      </c>
      <c r="B186" s="4"/>
      <c r="C186" s="6">
        <v>22.3</v>
      </c>
      <c r="D186" s="6">
        <v>14.8</v>
      </c>
      <c r="E186" s="6">
        <v>19.600000000000001</v>
      </c>
      <c r="F186" s="6">
        <v>28.4</v>
      </c>
      <c r="G186" s="4">
        <v>-1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" thickBot="1" x14ac:dyDescent="0.35">
      <c r="A187" s="5" t="s">
        <v>191</v>
      </c>
      <c r="B187" s="4"/>
      <c r="C187" s="6">
        <v>22.337</v>
      </c>
      <c r="D187" s="6">
        <v>14.837</v>
      </c>
      <c r="E187" s="6">
        <v>19.63</v>
      </c>
      <c r="F187" s="6">
        <v>28.364999999999998</v>
      </c>
      <c r="G187" s="4">
        <v>-1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" thickBot="1" x14ac:dyDescent="0.35">
      <c r="A188" s="5" t="s">
        <v>192</v>
      </c>
      <c r="B188" s="4"/>
      <c r="C188" s="6">
        <v>16.22</v>
      </c>
      <c r="D188" s="6">
        <v>19.132000000000001</v>
      </c>
      <c r="E188" s="6">
        <v>32.462000000000003</v>
      </c>
      <c r="F188" s="6">
        <v>17.311</v>
      </c>
      <c r="G188" s="4">
        <v>-1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" thickBot="1" x14ac:dyDescent="0.35">
      <c r="A189" s="5" t="s">
        <v>193</v>
      </c>
      <c r="B189" s="4"/>
      <c r="C189" s="6">
        <v>20.776</v>
      </c>
      <c r="D189" s="6">
        <v>16.286999999999999</v>
      </c>
      <c r="E189" s="6">
        <v>21.803999999999998</v>
      </c>
      <c r="F189" s="6">
        <v>26.254999999999999</v>
      </c>
      <c r="G189" s="4">
        <v>-1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" thickBot="1" x14ac:dyDescent="0.35">
      <c r="A190" s="5" t="s">
        <v>194</v>
      </c>
      <c r="B190" s="4"/>
      <c r="C190" s="6">
        <v>20.8</v>
      </c>
      <c r="D190" s="6">
        <v>16.3</v>
      </c>
      <c r="E190" s="6">
        <v>21.8</v>
      </c>
      <c r="F190" s="6">
        <v>26.3</v>
      </c>
      <c r="G190" s="4">
        <v>-1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" thickBot="1" x14ac:dyDescent="0.35">
      <c r="A191" s="5" t="s">
        <v>195</v>
      </c>
      <c r="B191" s="7">
        <v>1</v>
      </c>
      <c r="C191" s="6">
        <v>21.276595740000001</v>
      </c>
      <c r="D191" s="6">
        <v>21.276595740000001</v>
      </c>
      <c r="E191" s="6">
        <v>21.276595740000001</v>
      </c>
      <c r="F191" s="6">
        <v>21.276595740000001</v>
      </c>
      <c r="G191" s="7">
        <v>1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" thickBot="1" x14ac:dyDescent="0.35">
      <c r="A192" s="5" t="s">
        <v>196</v>
      </c>
      <c r="B192" s="4"/>
      <c r="C192" s="6">
        <v>16.2</v>
      </c>
      <c r="D192" s="6">
        <v>19.100000000000001</v>
      </c>
      <c r="E192" s="6">
        <v>32.5</v>
      </c>
      <c r="F192" s="6">
        <v>17.3</v>
      </c>
      <c r="G192" s="4">
        <v>-1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" thickBot="1" x14ac:dyDescent="0.35">
      <c r="A193" s="5" t="s">
        <v>197</v>
      </c>
      <c r="B193" s="4"/>
      <c r="C193" s="6">
        <v>21.738</v>
      </c>
      <c r="D193" s="6">
        <v>19.271000000000001</v>
      </c>
      <c r="E193" s="6">
        <v>20.640999999999998</v>
      </c>
      <c r="F193" s="6">
        <v>23.443000000000001</v>
      </c>
      <c r="G193" s="4">
        <v>-1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" thickBot="1" x14ac:dyDescent="0.35">
      <c r="A194" s="5" t="s">
        <v>198</v>
      </c>
      <c r="B194" s="4"/>
      <c r="C194" s="6">
        <v>21.7</v>
      </c>
      <c r="D194" s="6">
        <v>19.3</v>
      </c>
      <c r="E194" s="6">
        <v>20.6</v>
      </c>
      <c r="F194" s="6">
        <v>23.4</v>
      </c>
      <c r="G194" s="4">
        <v>-1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" thickBot="1" x14ac:dyDescent="0.35">
      <c r="A195" s="5" t="s">
        <v>199</v>
      </c>
      <c r="B195" s="4"/>
      <c r="C195" s="6">
        <v>25</v>
      </c>
      <c r="D195" s="6">
        <v>10</v>
      </c>
      <c r="E195" s="6">
        <v>25</v>
      </c>
      <c r="F195" s="6">
        <v>25</v>
      </c>
      <c r="G195" s="4">
        <v>-1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" thickBot="1" x14ac:dyDescent="0.35">
      <c r="A196" s="5" t="s">
        <v>200</v>
      </c>
      <c r="B196" s="4"/>
      <c r="C196" s="6">
        <v>28.2</v>
      </c>
      <c r="D196" s="6">
        <v>20.3</v>
      </c>
      <c r="E196" s="6">
        <v>6.9</v>
      </c>
      <c r="F196" s="6">
        <v>29.5</v>
      </c>
      <c r="G196" s="4">
        <v>-1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" thickBot="1" x14ac:dyDescent="0.35">
      <c r="A197" s="5" t="s">
        <v>201</v>
      </c>
      <c r="B197" s="4"/>
      <c r="C197" s="6">
        <v>28.225000000000001</v>
      </c>
      <c r="D197" s="6">
        <v>20.286000000000001</v>
      </c>
      <c r="E197" s="6">
        <v>6.8925000000000001</v>
      </c>
      <c r="F197" s="6">
        <v>29.472000000000001</v>
      </c>
      <c r="G197" s="4">
        <v>-1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" thickBot="1" x14ac:dyDescent="0.35">
      <c r="A198" s="5" t="s">
        <v>202</v>
      </c>
      <c r="B198" s="4"/>
      <c r="C198" s="6">
        <v>23.2</v>
      </c>
      <c r="D198" s="6">
        <v>19.899999999999999</v>
      </c>
      <c r="E198" s="6">
        <v>17.399999999999999</v>
      </c>
      <c r="F198" s="6">
        <v>24.3</v>
      </c>
      <c r="G198" s="4">
        <v>-1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" thickBot="1" x14ac:dyDescent="0.35">
      <c r="A199" s="5" t="s">
        <v>203</v>
      </c>
      <c r="B199" s="4"/>
      <c r="C199" s="6">
        <v>23.157</v>
      </c>
      <c r="D199" s="6">
        <v>19.914999999999999</v>
      </c>
      <c r="E199" s="6">
        <v>17.396999999999998</v>
      </c>
      <c r="F199" s="6">
        <v>24.283999999999999</v>
      </c>
      <c r="G199" s="4">
        <v>-1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" thickBot="1" x14ac:dyDescent="0.35">
      <c r="A200" s="5" t="s">
        <v>204</v>
      </c>
      <c r="B200" s="4"/>
      <c r="C200" s="6">
        <v>27.4</v>
      </c>
      <c r="D200" s="6">
        <v>20.399999999999999</v>
      </c>
      <c r="E200" s="6">
        <v>7.7</v>
      </c>
      <c r="F200" s="6">
        <v>29.2</v>
      </c>
      <c r="G200" s="4">
        <v>-1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" thickBot="1" x14ac:dyDescent="0.35">
      <c r="A201" s="5" t="s">
        <v>205</v>
      </c>
      <c r="B201" s="4"/>
      <c r="C201" s="6">
        <v>27.382000000000001</v>
      </c>
      <c r="D201" s="6">
        <v>20.411000000000001</v>
      </c>
      <c r="E201" s="6">
        <v>7.7228000000000003</v>
      </c>
      <c r="F201" s="6">
        <v>29.157</v>
      </c>
      <c r="G201" s="4">
        <v>-1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" thickBot="1" x14ac:dyDescent="0.35">
      <c r="A202" s="5" t="s">
        <v>206</v>
      </c>
      <c r="B202" s="4"/>
      <c r="C202" s="6">
        <v>26.904</v>
      </c>
      <c r="D202" s="6">
        <v>20.469000000000001</v>
      </c>
      <c r="E202" s="6">
        <v>9.0168999999999997</v>
      </c>
      <c r="F202" s="6">
        <v>28.231000000000002</v>
      </c>
      <c r="G202" s="4">
        <v>-1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" thickBot="1" x14ac:dyDescent="0.35">
      <c r="A203" s="5" t="s">
        <v>207</v>
      </c>
      <c r="B203" s="4"/>
      <c r="C203" s="6">
        <v>15.38461538</v>
      </c>
      <c r="D203" s="6">
        <v>15.38461538</v>
      </c>
      <c r="E203" s="6">
        <v>15.38461538</v>
      </c>
      <c r="F203" s="6">
        <v>38.46153846</v>
      </c>
      <c r="G203" s="4">
        <v>-1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" thickBot="1" x14ac:dyDescent="0.35">
      <c r="A204" s="5" t="s">
        <v>208</v>
      </c>
      <c r="B204" s="4"/>
      <c r="C204" s="6">
        <v>26.9</v>
      </c>
      <c r="D204" s="6">
        <v>20.5</v>
      </c>
      <c r="E204" s="6">
        <v>9</v>
      </c>
      <c r="F204" s="6">
        <v>28.2</v>
      </c>
      <c r="G204" s="4">
        <v>-1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" thickBot="1" x14ac:dyDescent="0.35">
      <c r="A205" s="5" t="s">
        <v>209</v>
      </c>
      <c r="B205" s="4"/>
      <c r="C205" s="6">
        <v>25</v>
      </c>
      <c r="D205" s="6">
        <v>20.399999999999999</v>
      </c>
      <c r="E205" s="6">
        <v>12.6</v>
      </c>
      <c r="F205" s="6">
        <v>26.4</v>
      </c>
      <c r="G205" s="4">
        <v>-1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" thickBot="1" x14ac:dyDescent="0.35">
      <c r="A206" s="5" t="s">
        <v>210</v>
      </c>
      <c r="B206" s="4"/>
      <c r="C206" s="6">
        <v>21.097046410000001</v>
      </c>
      <c r="D206" s="6">
        <v>21.097046410000001</v>
      </c>
      <c r="E206" s="6">
        <v>21.097046410000001</v>
      </c>
      <c r="F206" s="6">
        <v>21.097046410000001</v>
      </c>
      <c r="G206" s="4">
        <v>-1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" thickBot="1" x14ac:dyDescent="0.35">
      <c r="A207" s="5" t="s">
        <v>211</v>
      </c>
      <c r="B207" s="4"/>
      <c r="C207" s="6">
        <v>21.09</v>
      </c>
      <c r="D207" s="6">
        <v>21.09</v>
      </c>
      <c r="E207" s="6">
        <v>21.09</v>
      </c>
      <c r="F207" s="6">
        <v>21.09</v>
      </c>
      <c r="G207" s="4">
        <v>-1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" thickBot="1" x14ac:dyDescent="0.35">
      <c r="A208" s="5" t="s">
        <v>212</v>
      </c>
      <c r="B208" s="4"/>
      <c r="C208" s="6">
        <v>21.09</v>
      </c>
      <c r="D208" s="6">
        <v>21.09</v>
      </c>
      <c r="E208" s="6">
        <v>21.09</v>
      </c>
      <c r="F208" s="6">
        <v>21.09</v>
      </c>
      <c r="G208" s="4">
        <v>-1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" thickBot="1" x14ac:dyDescent="0.35">
      <c r="A209" s="5" t="s">
        <v>213</v>
      </c>
      <c r="B209" s="4"/>
      <c r="C209" s="6">
        <v>24.963000000000001</v>
      </c>
      <c r="D209" s="6">
        <v>20.422999999999998</v>
      </c>
      <c r="E209" s="6">
        <v>12.565</v>
      </c>
      <c r="F209" s="6">
        <v>26.414999999999999</v>
      </c>
      <c r="G209" s="4">
        <v>-1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" thickBot="1" x14ac:dyDescent="0.35">
      <c r="A210" s="5" t="s">
        <v>214</v>
      </c>
      <c r="B210" s="4"/>
      <c r="C210" s="6">
        <v>25.8</v>
      </c>
      <c r="D210" s="6">
        <v>20.5</v>
      </c>
      <c r="E210" s="6">
        <v>10.5</v>
      </c>
      <c r="F210" s="6">
        <v>27.5</v>
      </c>
      <c r="G210" s="4">
        <v>-1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" thickBot="1" x14ac:dyDescent="0.35">
      <c r="A211" s="5" t="s">
        <v>215</v>
      </c>
      <c r="B211" s="4"/>
      <c r="C211" s="6">
        <v>25.808</v>
      </c>
      <c r="D211" s="6">
        <v>20.459</v>
      </c>
      <c r="E211" s="6">
        <v>10.494</v>
      </c>
      <c r="F211" s="6">
        <v>27.527999999999999</v>
      </c>
      <c r="G211" s="4">
        <v>-1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" thickBot="1" x14ac:dyDescent="0.35">
      <c r="A212" s="5" t="s">
        <v>216</v>
      </c>
      <c r="B212" s="4"/>
      <c r="C212" s="6">
        <v>24.088999999999999</v>
      </c>
      <c r="D212" s="6">
        <v>19.917999999999999</v>
      </c>
      <c r="E212" s="6">
        <v>14.693</v>
      </c>
      <c r="F212" s="6">
        <v>25.536000000000001</v>
      </c>
      <c r="G212" s="4">
        <v>-1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" thickBot="1" x14ac:dyDescent="0.35">
      <c r="A213" s="5" t="s">
        <v>217</v>
      </c>
      <c r="B213" s="4"/>
      <c r="C213" s="6">
        <v>21.05263158</v>
      </c>
      <c r="D213" s="6">
        <v>21.05263158</v>
      </c>
      <c r="E213" s="6">
        <v>21.05263158</v>
      </c>
      <c r="F213" s="6">
        <v>21.05263158</v>
      </c>
      <c r="G213" s="4">
        <v>-1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" thickBot="1" x14ac:dyDescent="0.35">
      <c r="A214" s="5" t="s">
        <v>218</v>
      </c>
      <c r="B214" s="4"/>
      <c r="C214" s="6">
        <v>21.05263158</v>
      </c>
      <c r="D214" s="6">
        <v>21.05263158</v>
      </c>
      <c r="E214" s="6">
        <v>21.05263158</v>
      </c>
      <c r="F214" s="6">
        <v>21.05263158</v>
      </c>
      <c r="G214" s="4">
        <v>-1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" thickBot="1" x14ac:dyDescent="0.35">
      <c r="A215" s="5" t="s">
        <v>219</v>
      </c>
      <c r="B215" s="4"/>
      <c r="C215" s="6">
        <v>24.1</v>
      </c>
      <c r="D215" s="6">
        <v>19.899999999999999</v>
      </c>
      <c r="E215" s="6">
        <v>14.7</v>
      </c>
      <c r="F215" s="6">
        <v>25.5</v>
      </c>
      <c r="G215" s="4">
        <v>-1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" thickBot="1" x14ac:dyDescent="0.35">
      <c r="A216" s="5" t="s">
        <v>220</v>
      </c>
      <c r="B216" s="4"/>
      <c r="C216" s="6">
        <v>16</v>
      </c>
      <c r="D216" s="6">
        <v>16</v>
      </c>
      <c r="E216" s="6">
        <v>16</v>
      </c>
      <c r="F216" s="6">
        <v>36</v>
      </c>
      <c r="G216" s="4">
        <v>-1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" thickBot="1" x14ac:dyDescent="0.35">
      <c r="A217" s="5" t="s">
        <v>221</v>
      </c>
      <c r="B217" s="4"/>
      <c r="C217" s="6">
        <v>16</v>
      </c>
      <c r="D217" s="6">
        <v>16</v>
      </c>
      <c r="E217" s="6">
        <v>20</v>
      </c>
      <c r="F217" s="6">
        <v>16</v>
      </c>
      <c r="G217" s="4">
        <v>-1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" thickBot="1" x14ac:dyDescent="0.35">
      <c r="A218" s="5" t="s">
        <v>222</v>
      </c>
      <c r="B218" s="4"/>
      <c r="C218" s="6">
        <v>21</v>
      </c>
      <c r="D218" s="6">
        <v>21</v>
      </c>
      <c r="E218" s="6">
        <v>21</v>
      </c>
      <c r="F218" s="6">
        <v>21</v>
      </c>
      <c r="G218" s="4">
        <v>-1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" thickBot="1" x14ac:dyDescent="0.35">
      <c r="A219" s="5" t="s">
        <v>223</v>
      </c>
      <c r="B219" s="4"/>
      <c r="C219" s="6">
        <v>41</v>
      </c>
      <c r="D219" s="6">
        <v>15</v>
      </c>
      <c r="E219" s="6">
        <v>10</v>
      </c>
      <c r="F219" s="6">
        <v>18</v>
      </c>
      <c r="G219" s="4">
        <v>-1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" thickBot="1" x14ac:dyDescent="0.35">
      <c r="A220" s="5" t="s">
        <v>224</v>
      </c>
      <c r="B220" s="4"/>
      <c r="C220" s="6">
        <v>17.358000000000001</v>
      </c>
      <c r="D220" s="6">
        <v>20.094000000000001</v>
      </c>
      <c r="E220" s="6">
        <v>27.863</v>
      </c>
      <c r="F220" s="6">
        <v>18.632999999999999</v>
      </c>
      <c r="G220" s="4">
        <v>-1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" thickBot="1" x14ac:dyDescent="0.35">
      <c r="A221" s="5" t="s">
        <v>225</v>
      </c>
      <c r="B221" s="4"/>
      <c r="C221" s="6">
        <v>17.399999999999999</v>
      </c>
      <c r="D221" s="6">
        <v>20.100000000000001</v>
      </c>
      <c r="E221" s="6">
        <v>27.9</v>
      </c>
      <c r="F221" s="6">
        <v>18.600000000000001</v>
      </c>
      <c r="G221" s="4">
        <v>-1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" thickBot="1" x14ac:dyDescent="0.35">
      <c r="A222" s="5" t="s">
        <v>226</v>
      </c>
      <c r="B222" s="4"/>
      <c r="C222" s="6">
        <v>16.7</v>
      </c>
      <c r="D222" s="6">
        <v>19.7</v>
      </c>
      <c r="E222" s="6">
        <v>26.4</v>
      </c>
      <c r="F222" s="6">
        <v>21.1</v>
      </c>
      <c r="G222" s="4">
        <v>-1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" thickBot="1" x14ac:dyDescent="0.35">
      <c r="A223" s="5" t="s">
        <v>227</v>
      </c>
      <c r="B223" s="7">
        <v>1</v>
      </c>
      <c r="C223" s="6">
        <v>16.129032259999999</v>
      </c>
      <c r="D223" s="6">
        <v>16.129032259999999</v>
      </c>
      <c r="E223" s="6">
        <v>16.129032259999999</v>
      </c>
      <c r="F223" s="6">
        <v>35.483870969999998</v>
      </c>
      <c r="G223" s="7">
        <v>1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" thickBot="1" x14ac:dyDescent="0.35">
      <c r="A224" s="5" t="s">
        <v>228</v>
      </c>
      <c r="B224" s="4"/>
      <c r="C224" s="6">
        <v>16.721</v>
      </c>
      <c r="D224" s="6">
        <v>19.712</v>
      </c>
      <c r="E224" s="6">
        <v>26.373000000000001</v>
      </c>
      <c r="F224" s="6">
        <v>21.064</v>
      </c>
      <c r="G224" s="4">
        <v>-1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" thickBot="1" x14ac:dyDescent="0.35">
      <c r="A225" s="5" t="s">
        <v>229</v>
      </c>
      <c r="B225" s="7">
        <v>1</v>
      </c>
      <c r="C225" s="6">
        <v>16.393442619999998</v>
      </c>
      <c r="D225" s="6">
        <v>16.393442619999998</v>
      </c>
      <c r="E225" s="6">
        <v>16.393442619999998</v>
      </c>
      <c r="F225" s="6">
        <v>34.426229509999999</v>
      </c>
      <c r="G225" s="7">
        <v>1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" thickBot="1" x14ac:dyDescent="0.35">
      <c r="A226" s="5" t="s">
        <v>230</v>
      </c>
      <c r="B226" s="4"/>
      <c r="C226" s="6">
        <v>14.6</v>
      </c>
      <c r="D226" s="6">
        <v>21.4</v>
      </c>
      <c r="E226" s="6">
        <v>31.8</v>
      </c>
      <c r="F226" s="6">
        <v>15.7</v>
      </c>
      <c r="G226" s="4">
        <v>-1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" thickBot="1" x14ac:dyDescent="0.35">
      <c r="A227" s="5" t="s">
        <v>231</v>
      </c>
      <c r="B227" s="4"/>
      <c r="C227" s="6">
        <v>14.632999999999999</v>
      </c>
      <c r="D227" s="6">
        <v>21.37</v>
      </c>
      <c r="E227" s="6">
        <v>31.821000000000002</v>
      </c>
      <c r="F227" s="6">
        <v>15.659000000000001</v>
      </c>
      <c r="G227" s="4">
        <v>-1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" thickBot="1" x14ac:dyDescent="0.35">
      <c r="A228" s="5" t="s">
        <v>232</v>
      </c>
      <c r="B228" s="4"/>
      <c r="C228" s="6">
        <v>20.035</v>
      </c>
      <c r="D228" s="6">
        <v>16.43</v>
      </c>
      <c r="E228" s="6">
        <v>21.664000000000001</v>
      </c>
      <c r="F228" s="6">
        <v>25.28</v>
      </c>
      <c r="G228" s="4">
        <v>-1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" thickBot="1" x14ac:dyDescent="0.35">
      <c r="A229" s="5" t="s">
        <v>233</v>
      </c>
      <c r="B229" s="4"/>
      <c r="C229" s="6">
        <v>18.3</v>
      </c>
      <c r="D229" s="6">
        <v>17.8</v>
      </c>
      <c r="E229" s="6">
        <v>24</v>
      </c>
      <c r="F229" s="6">
        <v>23.3</v>
      </c>
      <c r="G229" s="4">
        <v>-1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" thickBot="1" x14ac:dyDescent="0.35">
      <c r="A230" s="5" t="s">
        <v>234</v>
      </c>
      <c r="B230" s="4"/>
      <c r="C230" s="6">
        <v>20</v>
      </c>
      <c r="D230" s="6">
        <v>16.399999999999999</v>
      </c>
      <c r="E230" s="6">
        <v>21.7</v>
      </c>
      <c r="F230" s="6">
        <v>25.3</v>
      </c>
      <c r="G230" s="4">
        <v>-1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" thickBot="1" x14ac:dyDescent="0.35">
      <c r="A231" s="5" t="s">
        <v>235</v>
      </c>
      <c r="B231" s="4"/>
      <c r="C231" s="6">
        <v>18.329000000000001</v>
      </c>
      <c r="D231" s="6">
        <v>17.797999999999998</v>
      </c>
      <c r="E231" s="6">
        <v>23.995999999999999</v>
      </c>
      <c r="F231" s="6">
        <v>23.271000000000001</v>
      </c>
      <c r="G231" s="4">
        <v>-1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" thickBot="1" x14ac:dyDescent="0.35">
      <c r="A232" s="5" t="s">
        <v>236</v>
      </c>
      <c r="B232" s="4"/>
      <c r="C232" s="6">
        <v>20.8</v>
      </c>
      <c r="D232" s="6">
        <v>20.8</v>
      </c>
      <c r="E232" s="6">
        <v>20.8</v>
      </c>
      <c r="F232" s="6">
        <v>20.8</v>
      </c>
      <c r="G232" s="4">
        <v>-1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" thickBot="1" x14ac:dyDescent="0.35">
      <c r="A233" s="5" t="s">
        <v>237</v>
      </c>
      <c r="B233" s="7">
        <v>1</v>
      </c>
      <c r="C233" s="6">
        <v>3.3333333330000001</v>
      </c>
      <c r="D233" s="6">
        <v>16.666666670000001</v>
      </c>
      <c r="E233" s="6">
        <v>16.666666670000001</v>
      </c>
      <c r="F233" s="6">
        <v>46.666666669999998</v>
      </c>
      <c r="G233" s="7">
        <v>1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" thickBot="1" x14ac:dyDescent="0.35">
      <c r="A234" s="5" t="s">
        <v>238</v>
      </c>
      <c r="B234" s="7">
        <v>1</v>
      </c>
      <c r="C234" s="6">
        <v>6.6666666670000003</v>
      </c>
      <c r="D234" s="6">
        <v>16.666666670000001</v>
      </c>
      <c r="E234" s="6">
        <v>16.666666670000001</v>
      </c>
      <c r="F234" s="6">
        <v>43.333333330000002</v>
      </c>
      <c r="G234" s="7">
        <v>1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" thickBot="1" x14ac:dyDescent="0.35">
      <c r="A235" s="5" t="s">
        <v>239</v>
      </c>
      <c r="B235" s="7">
        <v>1</v>
      </c>
      <c r="C235" s="6">
        <v>10</v>
      </c>
      <c r="D235" s="6">
        <v>16.666666670000001</v>
      </c>
      <c r="E235" s="6">
        <v>16.666666670000001</v>
      </c>
      <c r="F235" s="6">
        <v>40</v>
      </c>
      <c r="G235" s="7">
        <v>1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" thickBot="1" x14ac:dyDescent="0.35">
      <c r="A236" s="5" t="s">
        <v>240</v>
      </c>
      <c r="B236" s="7">
        <v>1</v>
      </c>
      <c r="C236" s="6">
        <v>13.33333333</v>
      </c>
      <c r="D236" s="6">
        <v>16.666666670000001</v>
      </c>
      <c r="E236" s="6">
        <v>16.666666670000001</v>
      </c>
      <c r="F236" s="6">
        <v>36.666666669999998</v>
      </c>
      <c r="G236" s="7">
        <v>1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" thickBot="1" x14ac:dyDescent="0.35">
      <c r="A237" s="5" t="s">
        <v>241</v>
      </c>
      <c r="B237" s="7">
        <v>1</v>
      </c>
      <c r="C237" s="6">
        <v>16.666666670000001</v>
      </c>
      <c r="D237" s="6">
        <v>16.666666670000001</v>
      </c>
      <c r="E237" s="6">
        <v>16.666666670000001</v>
      </c>
      <c r="F237" s="6">
        <v>33.333333330000002</v>
      </c>
      <c r="G237" s="7">
        <v>1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" thickBot="1" x14ac:dyDescent="0.35">
      <c r="A238" s="5" t="s">
        <v>242</v>
      </c>
      <c r="B238" s="4"/>
      <c r="C238" s="6">
        <v>16.666666670000001</v>
      </c>
      <c r="D238" s="6">
        <v>33.333333330000002</v>
      </c>
      <c r="E238" s="6">
        <v>16.666666670000001</v>
      </c>
      <c r="F238" s="6">
        <v>16.666666670000001</v>
      </c>
      <c r="G238" s="4">
        <v>-1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" thickBot="1" x14ac:dyDescent="0.35">
      <c r="A239" s="5" t="s">
        <v>243</v>
      </c>
      <c r="B239" s="4"/>
      <c r="C239" s="6">
        <v>20.833333329999999</v>
      </c>
      <c r="D239" s="6">
        <v>20.833333329999999</v>
      </c>
      <c r="E239" s="6">
        <v>20.833333329999999</v>
      </c>
      <c r="F239" s="6">
        <v>20.833333329999999</v>
      </c>
      <c r="G239" s="4">
        <v>-1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" thickBot="1" x14ac:dyDescent="0.35">
      <c r="A240" s="5" t="s">
        <v>244</v>
      </c>
      <c r="B240" s="4"/>
      <c r="C240" s="6">
        <v>12.9</v>
      </c>
      <c r="D240" s="6">
        <v>22.8</v>
      </c>
      <c r="E240" s="6">
        <v>31.1</v>
      </c>
      <c r="F240" s="6">
        <v>16.5</v>
      </c>
      <c r="G240" s="4">
        <v>-1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" thickBot="1" x14ac:dyDescent="0.35">
      <c r="A241" s="5" t="s">
        <v>245</v>
      </c>
      <c r="B241" s="4"/>
      <c r="C241" s="6">
        <v>23.3</v>
      </c>
      <c r="D241" s="6">
        <v>13.3</v>
      </c>
      <c r="E241" s="6">
        <v>17.399999999999999</v>
      </c>
      <c r="F241" s="6">
        <v>29.3</v>
      </c>
      <c r="G241" s="4">
        <v>-1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" thickBot="1" x14ac:dyDescent="0.35">
      <c r="A242" s="5" t="s">
        <v>246</v>
      </c>
      <c r="B242" s="4"/>
      <c r="C242" s="6">
        <v>24.7</v>
      </c>
      <c r="D242" s="6">
        <v>11.8</v>
      </c>
      <c r="E242" s="6">
        <v>15.4</v>
      </c>
      <c r="F242" s="6">
        <v>31.3</v>
      </c>
      <c r="G242" s="4">
        <v>-1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" thickBot="1" x14ac:dyDescent="0.35">
      <c r="A243" s="5" t="s">
        <v>247</v>
      </c>
      <c r="B243" s="4"/>
      <c r="C243" s="6">
        <v>23.315999999999999</v>
      </c>
      <c r="D243" s="6">
        <v>13.282999999999999</v>
      </c>
      <c r="E243" s="6">
        <v>17.359000000000002</v>
      </c>
      <c r="F243" s="6">
        <v>29.314</v>
      </c>
      <c r="G243" s="4">
        <v>-1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" thickBot="1" x14ac:dyDescent="0.35">
      <c r="A244" s="5" t="s">
        <v>248</v>
      </c>
      <c r="B244" s="4"/>
      <c r="C244" s="6">
        <v>12.858000000000001</v>
      </c>
      <c r="D244" s="6">
        <v>22.827999999999999</v>
      </c>
      <c r="E244" s="6">
        <v>31.096</v>
      </c>
      <c r="F244" s="6">
        <v>16.489000000000001</v>
      </c>
      <c r="G244" s="4">
        <v>-1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" thickBot="1" x14ac:dyDescent="0.35">
      <c r="A245" s="5" t="s">
        <v>249</v>
      </c>
      <c r="B245" s="4"/>
      <c r="C245" s="6">
        <v>24.728999999999999</v>
      </c>
      <c r="D245" s="6">
        <v>11.833</v>
      </c>
      <c r="E245" s="6">
        <v>15.412000000000001</v>
      </c>
      <c r="F245" s="6">
        <v>31.277000000000001</v>
      </c>
      <c r="G245" s="4">
        <v>-1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" thickBot="1" x14ac:dyDescent="0.35">
      <c r="A246" s="5" t="s">
        <v>250</v>
      </c>
      <c r="B246" s="4"/>
      <c r="C246" s="6">
        <v>19.7</v>
      </c>
      <c r="D246" s="6">
        <v>21.8</v>
      </c>
      <c r="E246" s="6">
        <v>20.5</v>
      </c>
      <c r="F246" s="6">
        <v>21.1</v>
      </c>
      <c r="G246" s="4">
        <v>-1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" thickBot="1" x14ac:dyDescent="0.35">
      <c r="A247" s="5" t="s">
        <v>251</v>
      </c>
      <c r="B247" s="4"/>
      <c r="C247" s="6">
        <v>19.733000000000001</v>
      </c>
      <c r="D247" s="6">
        <v>21.792999999999999</v>
      </c>
      <c r="E247" s="6">
        <v>20.497</v>
      </c>
      <c r="F247" s="6">
        <v>21.062000000000001</v>
      </c>
      <c r="G247" s="4">
        <v>-1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" thickBot="1" x14ac:dyDescent="0.35">
      <c r="A248" s="5" t="s">
        <v>252</v>
      </c>
      <c r="B248" s="4"/>
      <c r="C248" s="6">
        <v>32.203389829999999</v>
      </c>
      <c r="D248" s="6">
        <v>16.94915254</v>
      </c>
      <c r="E248" s="6">
        <v>16.94915254</v>
      </c>
      <c r="F248" s="6">
        <v>16.94915254</v>
      </c>
      <c r="G248" s="4">
        <v>-1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" thickBot="1" x14ac:dyDescent="0.35">
      <c r="A249" s="5" t="s">
        <v>253</v>
      </c>
      <c r="B249" s="7">
        <v>1</v>
      </c>
      <c r="C249" s="6">
        <v>14.3</v>
      </c>
      <c r="D249" s="6">
        <v>14.3</v>
      </c>
      <c r="E249" s="6">
        <v>14.3</v>
      </c>
      <c r="F249" s="6">
        <v>40.1</v>
      </c>
      <c r="G249" s="7">
        <v>1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" thickBot="1" x14ac:dyDescent="0.35">
      <c r="A250" s="5" t="s">
        <v>254</v>
      </c>
      <c r="B250" s="7">
        <v>1</v>
      </c>
      <c r="C250" s="6">
        <v>14.3</v>
      </c>
      <c r="D250" s="6">
        <v>14.3</v>
      </c>
      <c r="E250" s="6">
        <v>28.6</v>
      </c>
      <c r="F250" s="6">
        <v>25.8</v>
      </c>
      <c r="G250" s="7">
        <v>1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" thickBot="1" x14ac:dyDescent="0.35">
      <c r="A251" s="5" t="s">
        <v>255</v>
      </c>
      <c r="B251" s="4"/>
      <c r="C251" s="6">
        <v>17</v>
      </c>
      <c r="D251" s="6">
        <v>17</v>
      </c>
      <c r="E251" s="6">
        <v>15</v>
      </c>
      <c r="F251" s="6">
        <v>17</v>
      </c>
      <c r="G251" s="4">
        <v>-1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" thickBot="1" x14ac:dyDescent="0.35">
      <c r="A252" s="5" t="s">
        <v>256</v>
      </c>
      <c r="B252" s="4"/>
      <c r="C252" s="6">
        <v>18.5</v>
      </c>
      <c r="D252" s="6">
        <v>21.1</v>
      </c>
      <c r="E252" s="6">
        <v>23.7</v>
      </c>
      <c r="F252" s="6">
        <v>19.7</v>
      </c>
      <c r="G252" s="4">
        <v>-1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" thickBot="1" x14ac:dyDescent="0.35">
      <c r="A253" s="5" t="s">
        <v>257</v>
      </c>
      <c r="B253" s="7">
        <v>1</v>
      </c>
      <c r="C253" s="6">
        <v>28.6</v>
      </c>
      <c r="D253" s="6">
        <v>14.3</v>
      </c>
      <c r="E253" s="6">
        <v>14.3</v>
      </c>
      <c r="F253" s="6">
        <v>25.8</v>
      </c>
      <c r="G253" s="7">
        <v>1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" thickBot="1" x14ac:dyDescent="0.35">
      <c r="A254" s="5" t="s">
        <v>258</v>
      </c>
      <c r="B254" s="4"/>
      <c r="C254" s="6">
        <v>18.481000000000002</v>
      </c>
      <c r="D254" s="6">
        <v>21.135999999999999</v>
      </c>
      <c r="E254" s="6">
        <v>23.663</v>
      </c>
      <c r="F254" s="6">
        <v>19.707000000000001</v>
      </c>
      <c r="G254" s="4">
        <v>-1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" thickBot="1" x14ac:dyDescent="0.35">
      <c r="A255" s="5" t="s">
        <v>259</v>
      </c>
      <c r="B255" s="4"/>
      <c r="C255" s="6">
        <v>21.56</v>
      </c>
      <c r="D255" s="6">
        <v>14.545999999999999</v>
      </c>
      <c r="E255" s="6">
        <v>19.405999999999999</v>
      </c>
      <c r="F255" s="6">
        <v>27.436</v>
      </c>
      <c r="G255" s="4">
        <v>-1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" thickBot="1" x14ac:dyDescent="0.35">
      <c r="A256" s="5" t="s">
        <v>260</v>
      </c>
      <c r="B256" s="4"/>
      <c r="C256" s="6">
        <v>21.6</v>
      </c>
      <c r="D256" s="6">
        <v>14.5</v>
      </c>
      <c r="E256" s="6">
        <v>19.399999999999999</v>
      </c>
      <c r="F256" s="6">
        <v>27.4</v>
      </c>
      <c r="G256" s="4">
        <v>-1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" thickBot="1" x14ac:dyDescent="0.35">
      <c r="A257" s="5" t="s">
        <v>261</v>
      </c>
      <c r="B257" s="4"/>
      <c r="C257" s="6">
        <v>17.391304349999999</v>
      </c>
      <c r="D257" s="6">
        <v>17.391304349999999</v>
      </c>
      <c r="E257" s="6">
        <v>17.391304349999999</v>
      </c>
      <c r="F257" s="6">
        <v>30.434782609999999</v>
      </c>
      <c r="G257" s="4">
        <v>-1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" thickBot="1" x14ac:dyDescent="0.35">
      <c r="A258" s="5" t="s">
        <v>262</v>
      </c>
      <c r="B258" s="4"/>
      <c r="C258" s="6">
        <v>20.7</v>
      </c>
      <c r="D258" s="6">
        <v>22.5</v>
      </c>
      <c r="E258" s="6">
        <v>17.3</v>
      </c>
      <c r="F258" s="6">
        <v>22.1</v>
      </c>
      <c r="G258" s="4">
        <v>-1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" thickBot="1" x14ac:dyDescent="0.35">
      <c r="A259" s="5" t="s">
        <v>263</v>
      </c>
      <c r="B259" s="4"/>
      <c r="C259" s="6">
        <v>20.713999999999999</v>
      </c>
      <c r="D259" s="6">
        <v>22.472000000000001</v>
      </c>
      <c r="E259" s="6">
        <v>17.257999999999999</v>
      </c>
      <c r="F259" s="6">
        <v>22.146999999999998</v>
      </c>
      <c r="G259" s="4">
        <v>-1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" thickBot="1" x14ac:dyDescent="0.35">
      <c r="A260" s="5" t="s">
        <v>264</v>
      </c>
      <c r="B260" s="4"/>
      <c r="C260" s="6">
        <v>7.5</v>
      </c>
      <c r="D260" s="6">
        <v>25</v>
      </c>
      <c r="E260" s="6">
        <v>25</v>
      </c>
      <c r="F260" s="6">
        <v>25</v>
      </c>
      <c r="G260" s="4">
        <v>-1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" thickBot="1" x14ac:dyDescent="0.35">
      <c r="A261" s="5" t="s">
        <v>265</v>
      </c>
      <c r="B261" s="4"/>
      <c r="C261" s="6">
        <v>25.7</v>
      </c>
      <c r="D261" s="6">
        <v>23.2</v>
      </c>
      <c r="E261" s="6">
        <v>6.8</v>
      </c>
      <c r="F261" s="6">
        <v>26.6</v>
      </c>
      <c r="G261" s="4">
        <v>-1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" thickBot="1" x14ac:dyDescent="0.35">
      <c r="A262" s="5" t="s">
        <v>266</v>
      </c>
      <c r="B262" s="4"/>
      <c r="C262" s="6">
        <v>25.722999999999999</v>
      </c>
      <c r="D262" s="6">
        <v>23.177</v>
      </c>
      <c r="E262" s="6">
        <v>6.8228</v>
      </c>
      <c r="F262" s="6">
        <v>26.635999999999999</v>
      </c>
      <c r="G262" s="4">
        <v>-1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" thickBot="1" x14ac:dyDescent="0.35">
      <c r="A263" s="5" t="s">
        <v>267</v>
      </c>
      <c r="B263" s="4"/>
      <c r="C263" s="6">
        <v>22.78</v>
      </c>
      <c r="D263" s="6">
        <v>23.102</v>
      </c>
      <c r="E263" s="6">
        <v>12.532</v>
      </c>
      <c r="F263" s="6">
        <v>23.923999999999999</v>
      </c>
      <c r="G263" s="4">
        <v>-1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" thickBot="1" x14ac:dyDescent="0.35">
      <c r="A264" s="5" t="s">
        <v>268</v>
      </c>
      <c r="B264" s="4"/>
      <c r="C264" s="6">
        <v>21.891999999999999</v>
      </c>
      <c r="D264" s="6">
        <v>22.937999999999999</v>
      </c>
      <c r="E264" s="6">
        <v>14.456</v>
      </c>
      <c r="F264" s="6">
        <v>23.015999999999998</v>
      </c>
      <c r="G264" s="4">
        <v>-1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" thickBot="1" x14ac:dyDescent="0.35">
      <c r="A265" s="5" t="s">
        <v>269</v>
      </c>
      <c r="B265" s="4"/>
      <c r="C265" s="6">
        <v>21.9</v>
      </c>
      <c r="D265" s="6">
        <v>22.9</v>
      </c>
      <c r="E265" s="6">
        <v>14.5</v>
      </c>
      <c r="F265" s="6">
        <v>23</v>
      </c>
      <c r="G265" s="4">
        <v>-1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" thickBot="1" x14ac:dyDescent="0.35">
      <c r="A266" s="5" t="s">
        <v>270</v>
      </c>
      <c r="B266" s="4"/>
      <c r="C266" s="6">
        <v>22.8</v>
      </c>
      <c r="D266" s="6">
        <v>23.1</v>
      </c>
      <c r="E266" s="6">
        <v>12.5</v>
      </c>
      <c r="F266" s="6">
        <v>23.9</v>
      </c>
      <c r="G266" s="4">
        <v>-1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" thickBot="1" x14ac:dyDescent="0.35">
      <c r="A267" s="5" t="s">
        <v>271</v>
      </c>
      <c r="B267" s="4"/>
      <c r="C267" s="6">
        <v>16.129032259999999</v>
      </c>
      <c r="D267" s="6">
        <v>16.129032259999999</v>
      </c>
      <c r="E267" s="6">
        <v>16.129032259999999</v>
      </c>
      <c r="F267" s="6">
        <v>33.870967739999998</v>
      </c>
      <c r="G267" s="4">
        <v>-1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" thickBot="1" x14ac:dyDescent="0.35">
      <c r="A268" s="5" t="s">
        <v>272</v>
      </c>
      <c r="B268" s="4"/>
      <c r="C268" s="6">
        <v>24.245999999999999</v>
      </c>
      <c r="D268" s="6">
        <v>23.36</v>
      </c>
      <c r="E268" s="6">
        <v>9.1903000000000006</v>
      </c>
      <c r="F268" s="6">
        <v>25.413</v>
      </c>
      <c r="G268" s="4">
        <v>-1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" thickBot="1" x14ac:dyDescent="0.35">
      <c r="A269" s="5" t="s">
        <v>273</v>
      </c>
      <c r="B269" s="4"/>
      <c r="C269" s="6">
        <v>24.2</v>
      </c>
      <c r="D269" s="6">
        <v>23.4</v>
      </c>
      <c r="E269" s="6">
        <v>9.1999999999999993</v>
      </c>
      <c r="F269" s="6">
        <v>25.4</v>
      </c>
      <c r="G269" s="4">
        <v>-1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" thickBot="1" x14ac:dyDescent="0.35">
      <c r="A270" s="5" t="s">
        <v>274</v>
      </c>
      <c r="B270" s="4"/>
      <c r="C270" s="6">
        <v>20.512820510000001</v>
      </c>
      <c r="D270" s="6">
        <v>20.512820510000001</v>
      </c>
      <c r="E270" s="6">
        <v>20.512820510000001</v>
      </c>
      <c r="F270" s="6">
        <v>20.512820510000001</v>
      </c>
      <c r="G270" s="4">
        <v>-1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" thickBot="1" x14ac:dyDescent="0.35">
      <c r="A271" s="5" t="s">
        <v>275</v>
      </c>
      <c r="B271" s="4"/>
      <c r="C271" s="6">
        <v>20.512820510000001</v>
      </c>
      <c r="D271" s="6">
        <v>20.512820510000001</v>
      </c>
      <c r="E271" s="6">
        <v>20.512820510000001</v>
      </c>
      <c r="F271" s="6">
        <v>20.512820510000001</v>
      </c>
      <c r="G271" s="4">
        <v>-1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" thickBot="1" x14ac:dyDescent="0.35">
      <c r="A272" s="5" t="s">
        <v>276</v>
      </c>
      <c r="B272" s="4"/>
      <c r="C272" s="6">
        <v>15.615</v>
      </c>
      <c r="D272" s="6">
        <v>22.526</v>
      </c>
      <c r="E272" s="6">
        <v>27.295999999999999</v>
      </c>
      <c r="F272" s="6">
        <v>16.562999999999999</v>
      </c>
      <c r="G272" s="4">
        <v>-1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" thickBot="1" x14ac:dyDescent="0.35">
      <c r="A273" s="5" t="s">
        <v>277</v>
      </c>
      <c r="B273" s="4"/>
      <c r="C273" s="6">
        <v>15.6</v>
      </c>
      <c r="D273" s="6">
        <v>22.5</v>
      </c>
      <c r="E273" s="6">
        <v>27.3</v>
      </c>
      <c r="F273" s="6">
        <v>16.600000000000001</v>
      </c>
      <c r="G273" s="4">
        <v>-1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" thickBot="1" x14ac:dyDescent="0.35">
      <c r="A274" s="5" t="s">
        <v>278</v>
      </c>
      <c r="B274" s="4"/>
      <c r="C274" s="6">
        <v>20</v>
      </c>
      <c r="D274" s="6">
        <v>21</v>
      </c>
      <c r="E274" s="6">
        <v>20</v>
      </c>
      <c r="F274" s="6">
        <v>21</v>
      </c>
      <c r="G274" s="4">
        <v>-1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" thickBot="1" x14ac:dyDescent="0.35">
      <c r="A275" s="5" t="s">
        <v>279</v>
      </c>
      <c r="B275" s="4"/>
      <c r="C275" s="6">
        <v>24.8</v>
      </c>
      <c r="D275" s="6">
        <v>23.4</v>
      </c>
      <c r="E275" s="6">
        <v>7.7</v>
      </c>
      <c r="F275" s="6">
        <v>26.1</v>
      </c>
      <c r="G275" s="4">
        <v>-1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" thickBot="1" x14ac:dyDescent="0.35">
      <c r="A276" s="5" t="s">
        <v>280</v>
      </c>
      <c r="B276" s="4"/>
      <c r="C276" s="6">
        <v>30</v>
      </c>
      <c r="D276" s="6">
        <v>10</v>
      </c>
      <c r="E276" s="6">
        <v>10</v>
      </c>
      <c r="F276" s="6">
        <v>32</v>
      </c>
      <c r="G276" s="4">
        <v>-1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" thickBot="1" x14ac:dyDescent="0.35">
      <c r="A277" s="5" t="s">
        <v>281</v>
      </c>
      <c r="B277" s="4"/>
      <c r="C277" s="6">
        <v>24.774999999999999</v>
      </c>
      <c r="D277" s="6">
        <v>23.443999999999999</v>
      </c>
      <c r="E277" s="6">
        <v>7.7195</v>
      </c>
      <c r="F277" s="6">
        <v>26.050999999999998</v>
      </c>
      <c r="G277" s="4">
        <v>-1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" thickBot="1" x14ac:dyDescent="0.35">
      <c r="A278" s="5" t="s">
        <v>282</v>
      </c>
      <c r="B278" s="4"/>
      <c r="C278" s="6">
        <v>20.491803279999999</v>
      </c>
      <c r="D278" s="6">
        <v>20.491803279999999</v>
      </c>
      <c r="E278" s="6">
        <v>20.491803279999999</v>
      </c>
      <c r="F278" s="6">
        <v>20.491803279999999</v>
      </c>
      <c r="G278" s="4">
        <v>-1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" thickBot="1" x14ac:dyDescent="0.35">
      <c r="A279" s="5" t="s">
        <v>283</v>
      </c>
      <c r="B279" s="4"/>
      <c r="C279" s="6">
        <v>23.492000000000001</v>
      </c>
      <c r="D279" s="6">
        <v>23.327000000000002</v>
      </c>
      <c r="E279" s="6">
        <v>10.651999999999999</v>
      </c>
      <c r="F279" s="6">
        <v>24.457999999999998</v>
      </c>
      <c r="G279" s="4">
        <v>-1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" thickBot="1" x14ac:dyDescent="0.35">
      <c r="A280" s="5" t="s">
        <v>284</v>
      </c>
      <c r="B280" s="4"/>
      <c r="C280" s="6">
        <v>14.222</v>
      </c>
      <c r="D280" s="6">
        <v>20.981000000000002</v>
      </c>
      <c r="E280" s="6">
        <v>28.344999999999999</v>
      </c>
      <c r="F280" s="6">
        <v>18.373000000000001</v>
      </c>
      <c r="G280" s="4">
        <v>-1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" thickBot="1" x14ac:dyDescent="0.35">
      <c r="A281" s="5" t="s">
        <v>285</v>
      </c>
      <c r="B281" s="4"/>
      <c r="C281" s="6">
        <v>23.5</v>
      </c>
      <c r="D281" s="6">
        <v>23.3</v>
      </c>
      <c r="E281" s="6">
        <v>10.7</v>
      </c>
      <c r="F281" s="6">
        <v>24.5</v>
      </c>
      <c r="G281" s="4">
        <v>-1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" thickBot="1" x14ac:dyDescent="0.35">
      <c r="A282" s="5" t="s">
        <v>286</v>
      </c>
      <c r="B282" s="4"/>
      <c r="C282" s="6">
        <v>14.2</v>
      </c>
      <c r="D282" s="6">
        <v>21</v>
      </c>
      <c r="E282" s="6">
        <v>28.3</v>
      </c>
      <c r="F282" s="6">
        <v>18.399999999999999</v>
      </c>
      <c r="G282" s="4">
        <v>-1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" thickBot="1" x14ac:dyDescent="0.35">
      <c r="A283" s="5" t="s">
        <v>287</v>
      </c>
      <c r="B283" s="4"/>
      <c r="C283" s="6">
        <v>18.18181818</v>
      </c>
      <c r="D283" s="6">
        <v>18.18181818</v>
      </c>
      <c r="E283" s="6">
        <v>18.18181818</v>
      </c>
      <c r="F283" s="6">
        <v>27.272727270000001</v>
      </c>
      <c r="G283" s="4">
        <v>-1</v>
      </c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" thickBot="1" x14ac:dyDescent="0.35">
      <c r="A284" s="5" t="s">
        <v>288</v>
      </c>
      <c r="B284" s="4"/>
      <c r="C284" s="6">
        <v>20.408163269999999</v>
      </c>
      <c r="D284" s="6">
        <v>20.408163269999999</v>
      </c>
      <c r="E284" s="6">
        <v>20.408163269999999</v>
      </c>
      <c r="F284" s="6">
        <v>20.408163269999999</v>
      </c>
      <c r="G284" s="4">
        <v>-1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" thickBot="1" x14ac:dyDescent="0.35">
      <c r="A285" s="5" t="s">
        <v>289</v>
      </c>
      <c r="B285" s="4"/>
      <c r="C285" s="6">
        <v>20.399999999999999</v>
      </c>
      <c r="D285" s="6">
        <v>20.399999999999999</v>
      </c>
      <c r="E285" s="6">
        <v>20.399999999999999</v>
      </c>
      <c r="F285" s="6">
        <v>20.399999999999999</v>
      </c>
      <c r="G285" s="4">
        <v>-1</v>
      </c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" thickBot="1" x14ac:dyDescent="0.35">
      <c r="A286" s="5" t="s">
        <v>290</v>
      </c>
      <c r="B286" s="4"/>
      <c r="C286" s="6">
        <v>10.887</v>
      </c>
      <c r="D286" s="6">
        <v>23.963000000000001</v>
      </c>
      <c r="E286" s="6">
        <v>32.502000000000002</v>
      </c>
      <c r="F286" s="6">
        <v>14.093999999999999</v>
      </c>
      <c r="G286" s="4">
        <v>-1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" thickBot="1" x14ac:dyDescent="0.35">
      <c r="A287" s="5" t="s">
        <v>291</v>
      </c>
      <c r="B287" s="4"/>
      <c r="C287" s="6">
        <v>10.9</v>
      </c>
      <c r="D287" s="6">
        <v>24</v>
      </c>
      <c r="E287" s="6">
        <v>32.5</v>
      </c>
      <c r="F287" s="6">
        <v>14.1</v>
      </c>
      <c r="G287" s="4">
        <v>-1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" thickBot="1" x14ac:dyDescent="0.35">
      <c r="A288" s="5" t="s">
        <v>292</v>
      </c>
      <c r="B288" s="4"/>
      <c r="C288" s="6">
        <v>13.135</v>
      </c>
      <c r="D288" s="6">
        <v>23.706</v>
      </c>
      <c r="E288" s="6">
        <v>30.334</v>
      </c>
      <c r="F288" s="6">
        <v>14.231</v>
      </c>
      <c r="G288" s="4">
        <v>-1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" thickBot="1" x14ac:dyDescent="0.35">
      <c r="A289" s="5" t="s">
        <v>293</v>
      </c>
      <c r="B289" s="4"/>
      <c r="C289" s="6">
        <v>13.1</v>
      </c>
      <c r="D289" s="6">
        <v>23.7</v>
      </c>
      <c r="E289" s="6">
        <v>30.3</v>
      </c>
      <c r="F289" s="6">
        <v>14.2</v>
      </c>
      <c r="G289" s="4">
        <v>-1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" thickBot="1" x14ac:dyDescent="0.35">
      <c r="A290" s="5" t="s">
        <v>294</v>
      </c>
      <c r="B290" s="4"/>
      <c r="C290" s="6">
        <v>20.325203250000001</v>
      </c>
      <c r="D290" s="6">
        <v>20.325203250000001</v>
      </c>
      <c r="E290" s="6">
        <v>20.325203250000001</v>
      </c>
      <c r="F290" s="6">
        <v>20.325203250000001</v>
      </c>
      <c r="G290" s="4">
        <v>-1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" thickBot="1" x14ac:dyDescent="0.35">
      <c r="A291" s="5" t="s">
        <v>295</v>
      </c>
      <c r="B291" s="4"/>
      <c r="C291" s="6">
        <v>15.608000000000001</v>
      </c>
      <c r="D291" s="6">
        <v>19.402999999999999</v>
      </c>
      <c r="E291" s="6">
        <v>26.079000000000001</v>
      </c>
      <c r="F291" s="6">
        <v>20.148</v>
      </c>
      <c r="G291" s="4">
        <v>-1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" thickBot="1" x14ac:dyDescent="0.35">
      <c r="A292" s="5" t="s">
        <v>296</v>
      </c>
      <c r="B292" s="4"/>
      <c r="C292" s="6">
        <v>16.664000000000001</v>
      </c>
      <c r="D292" s="6">
        <v>23.518000000000001</v>
      </c>
      <c r="E292" s="6">
        <v>23.335000000000001</v>
      </c>
      <c r="F292" s="6">
        <v>17.713000000000001</v>
      </c>
      <c r="G292" s="4">
        <v>-1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" thickBot="1" x14ac:dyDescent="0.35">
      <c r="A293" s="5" t="s">
        <v>297</v>
      </c>
      <c r="B293" s="4"/>
      <c r="C293" s="6">
        <v>15.6</v>
      </c>
      <c r="D293" s="6">
        <v>19.399999999999999</v>
      </c>
      <c r="E293" s="6">
        <v>26.1</v>
      </c>
      <c r="F293" s="6">
        <v>20.100000000000001</v>
      </c>
      <c r="G293" s="4">
        <v>-1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" thickBot="1" x14ac:dyDescent="0.35">
      <c r="A294" s="5" t="s">
        <v>298</v>
      </c>
      <c r="B294" s="4"/>
      <c r="C294" s="6">
        <v>16.7</v>
      </c>
      <c r="D294" s="6">
        <v>23.5</v>
      </c>
      <c r="E294" s="6">
        <v>23.3</v>
      </c>
      <c r="F294" s="6">
        <v>17.7</v>
      </c>
      <c r="G294" s="4">
        <v>-1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" thickBot="1" x14ac:dyDescent="0.35">
      <c r="A295" s="5" t="s">
        <v>299</v>
      </c>
      <c r="B295" s="4"/>
      <c r="C295" s="6">
        <v>17.873000000000001</v>
      </c>
      <c r="D295" s="6">
        <v>24.332000000000001</v>
      </c>
      <c r="E295" s="6">
        <v>19.843</v>
      </c>
      <c r="F295" s="6">
        <v>18.998000000000001</v>
      </c>
      <c r="G295" s="4">
        <v>-1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" thickBot="1" x14ac:dyDescent="0.35">
      <c r="A296" s="5" t="s">
        <v>300</v>
      </c>
      <c r="B296" s="4"/>
      <c r="C296" s="6">
        <v>17.600000000000001</v>
      </c>
      <c r="D296" s="6">
        <v>17.600000000000001</v>
      </c>
      <c r="E296" s="6">
        <v>23.6</v>
      </c>
      <c r="F296" s="6">
        <v>22.2</v>
      </c>
      <c r="G296" s="4">
        <v>-1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" thickBot="1" x14ac:dyDescent="0.35">
      <c r="A297" s="5" t="s">
        <v>301</v>
      </c>
      <c r="B297" s="4"/>
      <c r="C297" s="6">
        <v>17.899999999999999</v>
      </c>
      <c r="D297" s="6">
        <v>24.3</v>
      </c>
      <c r="E297" s="6">
        <v>19.8</v>
      </c>
      <c r="F297" s="6">
        <v>19</v>
      </c>
      <c r="G297" s="4">
        <v>-1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" thickBot="1" x14ac:dyDescent="0.35">
      <c r="A298" s="5" t="s">
        <v>302</v>
      </c>
      <c r="B298" s="4"/>
      <c r="C298" s="6">
        <v>19</v>
      </c>
      <c r="D298" s="6">
        <v>19</v>
      </c>
      <c r="E298" s="6">
        <v>5</v>
      </c>
      <c r="F298" s="6">
        <v>19</v>
      </c>
      <c r="G298" s="4">
        <v>-1</v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" thickBot="1" x14ac:dyDescent="0.35">
      <c r="A299" s="5" t="s">
        <v>303</v>
      </c>
      <c r="B299" s="4"/>
      <c r="C299" s="6">
        <v>17.574999999999999</v>
      </c>
      <c r="D299" s="6">
        <v>17.568999999999999</v>
      </c>
      <c r="E299" s="6">
        <v>23.603000000000002</v>
      </c>
      <c r="F299" s="6">
        <v>22.222000000000001</v>
      </c>
      <c r="G299" s="4">
        <v>-1</v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" thickBot="1" x14ac:dyDescent="0.35">
      <c r="A300" s="5" t="s">
        <v>304</v>
      </c>
      <c r="B300" s="4"/>
      <c r="C300" s="6">
        <v>11</v>
      </c>
      <c r="D300" s="6">
        <v>24.4</v>
      </c>
      <c r="E300" s="6">
        <v>33.4</v>
      </c>
      <c r="F300" s="6">
        <v>12</v>
      </c>
      <c r="G300" s="4">
        <v>-1</v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" thickBot="1" x14ac:dyDescent="0.35">
      <c r="A301" s="5" t="s">
        <v>305</v>
      </c>
      <c r="B301" s="4"/>
      <c r="C301" s="6">
        <v>11.023999999999999</v>
      </c>
      <c r="D301" s="6">
        <v>24.446000000000002</v>
      </c>
      <c r="E301" s="6">
        <v>33.430999999999997</v>
      </c>
      <c r="F301" s="6">
        <v>11.965999999999999</v>
      </c>
      <c r="G301" s="4">
        <v>-1</v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" thickBot="1" x14ac:dyDescent="0.35">
      <c r="A302" s="5" t="s">
        <v>306</v>
      </c>
      <c r="B302" s="4"/>
      <c r="C302" s="6">
        <v>18.684999999999999</v>
      </c>
      <c r="D302" s="6">
        <v>25.34</v>
      </c>
      <c r="E302" s="6">
        <v>16.827000000000002</v>
      </c>
      <c r="F302" s="6">
        <v>19.777999999999999</v>
      </c>
      <c r="G302" s="4">
        <v>-1</v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" thickBot="1" x14ac:dyDescent="0.35">
      <c r="A303" s="5" t="s">
        <v>307</v>
      </c>
      <c r="B303" s="4"/>
      <c r="C303" s="6">
        <v>18.7</v>
      </c>
      <c r="D303" s="6">
        <v>25.3</v>
      </c>
      <c r="E303" s="6">
        <v>16.8</v>
      </c>
      <c r="F303" s="6">
        <v>19.8</v>
      </c>
      <c r="G303" s="4">
        <v>-1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" thickBot="1" x14ac:dyDescent="0.35">
      <c r="A304" s="5" t="s">
        <v>308</v>
      </c>
      <c r="B304" s="4"/>
      <c r="C304" s="6">
        <v>12.3</v>
      </c>
      <c r="D304" s="6">
        <v>22.2</v>
      </c>
      <c r="E304" s="6">
        <v>30.2</v>
      </c>
      <c r="F304" s="6">
        <v>15.7</v>
      </c>
      <c r="G304" s="4">
        <v>-1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" thickBot="1" x14ac:dyDescent="0.35">
      <c r="A305" s="5" t="s">
        <v>309</v>
      </c>
      <c r="B305" s="4"/>
      <c r="C305" s="6">
        <v>12.315</v>
      </c>
      <c r="D305" s="6">
        <v>22.204000000000001</v>
      </c>
      <c r="E305" s="6">
        <v>30.231999999999999</v>
      </c>
      <c r="F305" s="6">
        <v>15.708</v>
      </c>
      <c r="G305" s="4">
        <v>-1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" thickBot="1" x14ac:dyDescent="0.35">
      <c r="A306" s="5" t="s">
        <v>310</v>
      </c>
      <c r="B306" s="4"/>
      <c r="C306" s="6">
        <v>14.143000000000001</v>
      </c>
      <c r="D306" s="6">
        <v>24.992999999999999</v>
      </c>
      <c r="E306" s="6">
        <v>26.236999999999998</v>
      </c>
      <c r="F306" s="6">
        <v>15.061999999999999</v>
      </c>
      <c r="G306" s="4">
        <v>-1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" thickBot="1" x14ac:dyDescent="0.35">
      <c r="A307" s="5" t="s">
        <v>311</v>
      </c>
      <c r="B307" s="4"/>
      <c r="C307" s="6">
        <v>18.98</v>
      </c>
      <c r="D307" s="6">
        <v>16.114000000000001</v>
      </c>
      <c r="E307" s="6">
        <v>21.306000000000001</v>
      </c>
      <c r="F307" s="6">
        <v>24.015999999999998</v>
      </c>
      <c r="G307" s="4">
        <v>-1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" thickBot="1" x14ac:dyDescent="0.35">
      <c r="A308" s="5" t="s">
        <v>312</v>
      </c>
      <c r="B308" s="4"/>
      <c r="C308" s="6">
        <v>14.1</v>
      </c>
      <c r="D308" s="6">
        <v>25</v>
      </c>
      <c r="E308" s="6">
        <v>26.2</v>
      </c>
      <c r="F308" s="6">
        <v>15.1</v>
      </c>
      <c r="G308" s="4">
        <v>-1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" thickBot="1" x14ac:dyDescent="0.35">
      <c r="A309" s="5" t="s">
        <v>313</v>
      </c>
      <c r="B309" s="4"/>
      <c r="C309" s="6">
        <v>19</v>
      </c>
      <c r="D309" s="6">
        <v>16.100000000000001</v>
      </c>
      <c r="E309" s="6">
        <v>21.3</v>
      </c>
      <c r="F309" s="6">
        <v>24</v>
      </c>
      <c r="G309" s="4">
        <v>-1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" thickBot="1" x14ac:dyDescent="0.35">
      <c r="A310" s="5" t="s">
        <v>314</v>
      </c>
      <c r="B310" s="4"/>
      <c r="C310" s="6">
        <v>22</v>
      </c>
      <c r="D310" s="6">
        <v>13.3</v>
      </c>
      <c r="E310" s="6">
        <v>17.2</v>
      </c>
      <c r="F310" s="6">
        <v>27.9</v>
      </c>
      <c r="G310" s="4">
        <v>-1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" thickBot="1" x14ac:dyDescent="0.35">
      <c r="A311" s="5" t="s">
        <v>315</v>
      </c>
      <c r="B311" s="4"/>
      <c r="C311" s="6">
        <v>22.02</v>
      </c>
      <c r="D311" s="6">
        <v>13.317</v>
      </c>
      <c r="E311" s="6">
        <v>17.163</v>
      </c>
      <c r="F311" s="6">
        <v>27.864000000000001</v>
      </c>
      <c r="G311" s="4">
        <v>-1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" thickBot="1" x14ac:dyDescent="0.35">
      <c r="A312" s="5" t="s">
        <v>316</v>
      </c>
      <c r="B312" s="4"/>
      <c r="C312" s="6">
        <v>23.4</v>
      </c>
      <c r="D312" s="6">
        <v>11.7</v>
      </c>
      <c r="E312" s="6">
        <v>15.5</v>
      </c>
      <c r="F312" s="6">
        <v>29.7</v>
      </c>
      <c r="G312" s="4">
        <v>-1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" thickBot="1" x14ac:dyDescent="0.35">
      <c r="A313" s="5" t="s">
        <v>317</v>
      </c>
      <c r="B313" s="4"/>
      <c r="C313" s="6">
        <v>23.353000000000002</v>
      </c>
      <c r="D313" s="6">
        <v>11.701000000000001</v>
      </c>
      <c r="E313" s="6">
        <v>15.513</v>
      </c>
      <c r="F313" s="6">
        <v>29.698</v>
      </c>
      <c r="G313" s="4">
        <v>-1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" thickBot="1" x14ac:dyDescent="0.35">
      <c r="A314" s="5" t="s">
        <v>318</v>
      </c>
      <c r="B314" s="4"/>
      <c r="C314" s="6">
        <v>20.658999999999999</v>
      </c>
      <c r="D314" s="6">
        <v>14.461</v>
      </c>
      <c r="E314" s="6">
        <v>19.114999999999998</v>
      </c>
      <c r="F314" s="6">
        <v>26.009</v>
      </c>
      <c r="G314" s="4">
        <v>-1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" thickBot="1" x14ac:dyDescent="0.35">
      <c r="A315" s="5" t="s">
        <v>319</v>
      </c>
      <c r="B315" s="4"/>
      <c r="C315" s="6">
        <v>20.7</v>
      </c>
      <c r="D315" s="6">
        <v>14.5</v>
      </c>
      <c r="E315" s="6">
        <v>19.100000000000001</v>
      </c>
      <c r="F315" s="6">
        <v>26</v>
      </c>
      <c r="G315" s="4">
        <v>-1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" thickBot="1" x14ac:dyDescent="0.35">
      <c r="A316" s="5" t="s">
        <v>320</v>
      </c>
      <c r="B316" s="4"/>
      <c r="C316" s="6">
        <v>19.527999999999999</v>
      </c>
      <c r="D316" s="6">
        <v>25.861000000000001</v>
      </c>
      <c r="E316" s="6">
        <v>14.279</v>
      </c>
      <c r="F316" s="6">
        <v>20.367000000000001</v>
      </c>
      <c r="G316" s="4">
        <v>-1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" thickBot="1" x14ac:dyDescent="0.35">
      <c r="A317" s="5" t="s">
        <v>321</v>
      </c>
      <c r="B317" s="4"/>
      <c r="C317" s="6">
        <v>19.5</v>
      </c>
      <c r="D317" s="6">
        <v>25.9</v>
      </c>
      <c r="E317" s="6">
        <v>14.3</v>
      </c>
      <c r="F317" s="6">
        <v>20.399999999999999</v>
      </c>
      <c r="G317" s="4">
        <v>-1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" thickBot="1" x14ac:dyDescent="0.35">
      <c r="A318" s="5" t="s">
        <v>322</v>
      </c>
      <c r="B318" s="4"/>
      <c r="C318" s="6">
        <v>20</v>
      </c>
      <c r="D318" s="6">
        <v>20</v>
      </c>
      <c r="E318" s="6">
        <v>20</v>
      </c>
      <c r="F318" s="6">
        <v>20</v>
      </c>
      <c r="G318" s="4">
        <v>-1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" thickBot="1" x14ac:dyDescent="0.35">
      <c r="A319" s="5" t="s">
        <v>323</v>
      </c>
      <c r="B319" s="4"/>
      <c r="C319" s="6">
        <v>9.3225999999999996</v>
      </c>
      <c r="D319" s="6">
        <v>24.911000000000001</v>
      </c>
      <c r="E319" s="6">
        <v>33.734000000000002</v>
      </c>
      <c r="F319" s="6">
        <v>11.961</v>
      </c>
      <c r="G319" s="4">
        <v>-1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" thickBot="1" x14ac:dyDescent="0.35">
      <c r="A320" s="5" t="s">
        <v>324</v>
      </c>
      <c r="B320" s="4"/>
      <c r="C320" s="6">
        <v>15.1</v>
      </c>
      <c r="D320" s="6">
        <v>26.5</v>
      </c>
      <c r="E320" s="6">
        <v>22.3</v>
      </c>
      <c r="F320" s="6">
        <v>16.100000000000001</v>
      </c>
      <c r="G320" s="4">
        <v>-1</v>
      </c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" thickBot="1" x14ac:dyDescent="0.35">
      <c r="A321" s="5" t="s">
        <v>325</v>
      </c>
      <c r="B321" s="4"/>
      <c r="C321" s="6">
        <v>21</v>
      </c>
      <c r="D321" s="6">
        <v>26.6</v>
      </c>
      <c r="E321" s="6">
        <v>10.4</v>
      </c>
      <c r="F321" s="6">
        <v>22</v>
      </c>
      <c r="G321" s="4">
        <v>-1</v>
      </c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" thickBot="1" x14ac:dyDescent="0.35">
      <c r="A322" s="5" t="s">
        <v>326</v>
      </c>
      <c r="B322" s="4"/>
      <c r="C322" s="6">
        <v>9.3000000000000007</v>
      </c>
      <c r="D322" s="6">
        <v>24.9</v>
      </c>
      <c r="E322" s="6">
        <v>33.700000000000003</v>
      </c>
      <c r="F322" s="6">
        <v>12</v>
      </c>
      <c r="G322" s="4">
        <v>-1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" thickBot="1" x14ac:dyDescent="0.35">
      <c r="A323" s="5" t="s">
        <v>327</v>
      </c>
      <c r="B323" s="4"/>
      <c r="C323" s="6">
        <v>21.018000000000001</v>
      </c>
      <c r="D323" s="6">
        <v>26.553000000000001</v>
      </c>
      <c r="E323" s="6">
        <v>10.36</v>
      </c>
      <c r="F323" s="6">
        <v>21.966999999999999</v>
      </c>
      <c r="G323" s="4">
        <v>-1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" thickBot="1" x14ac:dyDescent="0.35">
      <c r="A324" s="5" t="s">
        <v>328</v>
      </c>
      <c r="B324" s="4"/>
      <c r="C324" s="6">
        <v>20.100000000000001</v>
      </c>
      <c r="D324" s="6">
        <v>26.4</v>
      </c>
      <c r="E324" s="6">
        <v>12.1</v>
      </c>
      <c r="F324" s="6">
        <v>21.2</v>
      </c>
      <c r="G324" s="4">
        <v>-1</v>
      </c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" thickBot="1" x14ac:dyDescent="0.35">
      <c r="A325" s="5" t="s">
        <v>329</v>
      </c>
      <c r="B325" s="4"/>
      <c r="C325" s="6">
        <v>20.122</v>
      </c>
      <c r="D325" s="6">
        <v>26.417000000000002</v>
      </c>
      <c r="E325" s="6">
        <v>12.108000000000001</v>
      </c>
      <c r="F325" s="6">
        <v>21.221</v>
      </c>
      <c r="G325" s="4">
        <v>-1</v>
      </c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" thickBot="1" x14ac:dyDescent="0.35">
      <c r="A326" s="5" t="s">
        <v>330</v>
      </c>
      <c r="B326" s="4"/>
      <c r="C326" s="6">
        <v>15.071</v>
      </c>
      <c r="D326" s="6">
        <v>26.462</v>
      </c>
      <c r="E326" s="6">
        <v>22.28</v>
      </c>
      <c r="F326" s="6">
        <v>16.050999999999998</v>
      </c>
      <c r="G326" s="4">
        <v>-1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" thickBot="1" x14ac:dyDescent="0.35">
      <c r="A327" s="5" t="s">
        <v>331</v>
      </c>
      <c r="B327" s="4"/>
      <c r="C327" s="6">
        <v>11.986000000000001</v>
      </c>
      <c r="D327" s="6">
        <v>26.029</v>
      </c>
      <c r="E327" s="6">
        <v>29.196000000000002</v>
      </c>
      <c r="F327" s="6">
        <v>12.53</v>
      </c>
      <c r="G327" s="4">
        <v>-1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" thickBot="1" x14ac:dyDescent="0.35">
      <c r="A328" s="5" t="s">
        <v>332</v>
      </c>
      <c r="B328" s="4"/>
      <c r="C328" s="6">
        <v>12</v>
      </c>
      <c r="D328" s="6">
        <v>26</v>
      </c>
      <c r="E328" s="6">
        <v>29.2</v>
      </c>
      <c r="F328" s="6">
        <v>12.5</v>
      </c>
      <c r="G328" s="4">
        <v>-1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" thickBot="1" x14ac:dyDescent="0.35">
      <c r="A329" s="5" t="s">
        <v>333</v>
      </c>
      <c r="B329" s="4"/>
      <c r="C329" s="6">
        <v>22.3</v>
      </c>
      <c r="D329" s="6">
        <v>26.7</v>
      </c>
      <c r="E329" s="6">
        <v>7.6</v>
      </c>
      <c r="F329" s="6">
        <v>23.1</v>
      </c>
      <c r="G329" s="4">
        <v>-1</v>
      </c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" thickBot="1" x14ac:dyDescent="0.35">
      <c r="A330" s="5" t="s">
        <v>334</v>
      </c>
      <c r="B330" s="4"/>
      <c r="C330" s="6">
        <v>21.5</v>
      </c>
      <c r="D330" s="6">
        <v>26.7</v>
      </c>
      <c r="E330" s="6">
        <v>9</v>
      </c>
      <c r="F330" s="6">
        <v>22.4</v>
      </c>
      <c r="G330" s="4">
        <v>-1</v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" thickBot="1" x14ac:dyDescent="0.35">
      <c r="A331" s="5" t="s">
        <v>335</v>
      </c>
      <c r="B331" s="4"/>
      <c r="C331" s="6">
        <v>21.515999999999998</v>
      </c>
      <c r="D331" s="6">
        <v>26.742999999999999</v>
      </c>
      <c r="E331" s="6">
        <v>8.9777000000000005</v>
      </c>
      <c r="F331" s="6">
        <v>22.431000000000001</v>
      </c>
      <c r="G331" s="4">
        <v>-1</v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" thickBot="1" x14ac:dyDescent="0.35">
      <c r="A332" s="5" t="s">
        <v>336</v>
      </c>
      <c r="B332" s="4"/>
      <c r="C332" s="6">
        <v>22.306000000000001</v>
      </c>
      <c r="D332" s="6">
        <v>26.742000000000001</v>
      </c>
      <c r="E332" s="6">
        <v>7.5617999999999999</v>
      </c>
      <c r="F332" s="6">
        <v>23.053999999999998</v>
      </c>
      <c r="G332" s="4">
        <v>-1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" thickBot="1" x14ac:dyDescent="0.35">
      <c r="A333" s="5" t="s">
        <v>337</v>
      </c>
      <c r="B333" s="4"/>
      <c r="C333" s="6">
        <v>20.408163269999999</v>
      </c>
      <c r="D333" s="6">
        <v>20.408163269999999</v>
      </c>
      <c r="E333" s="6">
        <v>20.408163269999999</v>
      </c>
      <c r="F333" s="6">
        <v>18.367346940000001</v>
      </c>
      <c r="G333" s="4">
        <v>-1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" thickBot="1" x14ac:dyDescent="0.35">
      <c r="A334" s="5" t="s">
        <v>338</v>
      </c>
      <c r="B334" s="4"/>
      <c r="C334" s="6">
        <v>22.7</v>
      </c>
      <c r="D334" s="6">
        <v>26.6</v>
      </c>
      <c r="E334" s="6">
        <v>6.6</v>
      </c>
      <c r="F334" s="6">
        <v>23.6</v>
      </c>
      <c r="G334" s="4">
        <v>-1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" thickBot="1" x14ac:dyDescent="0.35">
      <c r="A335" s="5" t="s">
        <v>339</v>
      </c>
      <c r="B335" s="4"/>
      <c r="C335" s="6">
        <v>22.666</v>
      </c>
      <c r="D335" s="6">
        <v>26.571999999999999</v>
      </c>
      <c r="E335" s="6">
        <v>6.6120000000000001</v>
      </c>
      <c r="F335" s="6">
        <v>23.638000000000002</v>
      </c>
      <c r="G335" s="4">
        <v>-1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" thickBot="1" x14ac:dyDescent="0.35">
      <c r="A336" s="5" t="s">
        <v>340</v>
      </c>
      <c r="B336" s="4"/>
      <c r="C336" s="6">
        <v>13.6</v>
      </c>
      <c r="D336" s="6">
        <v>20.6</v>
      </c>
      <c r="E336" s="6">
        <v>27.5</v>
      </c>
      <c r="F336" s="6">
        <v>17.7</v>
      </c>
      <c r="G336" s="4">
        <v>-1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" thickBot="1" x14ac:dyDescent="0.35">
      <c r="A337" s="5" t="s">
        <v>341</v>
      </c>
      <c r="B337" s="4"/>
      <c r="C337" s="6">
        <v>13.632</v>
      </c>
      <c r="D337" s="6">
        <v>20.56</v>
      </c>
      <c r="E337" s="6">
        <v>27.545000000000002</v>
      </c>
      <c r="F337" s="6">
        <v>17.655000000000001</v>
      </c>
      <c r="G337" s="4">
        <v>-1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" thickBot="1" x14ac:dyDescent="0.35">
      <c r="A338" s="5" t="s">
        <v>342</v>
      </c>
      <c r="B338" s="4"/>
      <c r="C338" s="6">
        <v>20.833333329999999</v>
      </c>
      <c r="D338" s="6">
        <v>20.833333329999999</v>
      </c>
      <c r="E338" s="6">
        <v>20.833333329999999</v>
      </c>
      <c r="F338" s="6">
        <v>16.666666670000001</v>
      </c>
      <c r="G338" s="4">
        <v>-1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" thickBot="1" x14ac:dyDescent="0.35">
      <c r="A339" s="5" t="s">
        <v>343</v>
      </c>
      <c r="B339" s="4"/>
      <c r="C339" s="6">
        <v>15.811</v>
      </c>
      <c r="D339" s="6">
        <v>27.277000000000001</v>
      </c>
      <c r="E339" s="6">
        <v>19.064</v>
      </c>
      <c r="F339" s="6">
        <v>16.891999999999999</v>
      </c>
      <c r="G339" s="4">
        <v>-1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" thickBot="1" x14ac:dyDescent="0.35">
      <c r="A340" s="5" t="s">
        <v>344</v>
      </c>
      <c r="B340" s="4"/>
      <c r="C340" s="6">
        <v>10.1</v>
      </c>
      <c r="D340" s="6">
        <v>26.8</v>
      </c>
      <c r="E340" s="6">
        <v>31.6</v>
      </c>
      <c r="F340" s="6">
        <v>10.6</v>
      </c>
      <c r="G340" s="4">
        <v>-1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" thickBot="1" x14ac:dyDescent="0.35">
      <c r="A341" s="5" t="s">
        <v>345</v>
      </c>
      <c r="B341" s="4"/>
      <c r="C341" s="6">
        <v>15.8</v>
      </c>
      <c r="D341" s="6">
        <v>27.3</v>
      </c>
      <c r="E341" s="6">
        <v>19.100000000000001</v>
      </c>
      <c r="F341" s="6">
        <v>16.899999999999999</v>
      </c>
      <c r="G341" s="4">
        <v>-1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" thickBot="1" x14ac:dyDescent="0.35">
      <c r="A342" s="5" t="s">
        <v>346</v>
      </c>
      <c r="B342" s="4"/>
      <c r="C342" s="6">
        <v>10.066000000000001</v>
      </c>
      <c r="D342" s="6">
        <v>26.766999999999999</v>
      </c>
      <c r="E342" s="6">
        <v>31.584</v>
      </c>
      <c r="F342" s="6">
        <v>10.561999999999999</v>
      </c>
      <c r="G342" s="4">
        <v>-1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" thickBot="1" x14ac:dyDescent="0.35">
      <c r="A343" s="5" t="s">
        <v>347</v>
      </c>
      <c r="B343" s="4"/>
      <c r="C343" s="6">
        <v>21.05263158</v>
      </c>
      <c r="D343" s="6">
        <v>21.05263158</v>
      </c>
      <c r="E343" s="6">
        <v>21.05263158</v>
      </c>
      <c r="F343" s="6">
        <v>15.78947368</v>
      </c>
      <c r="G343" s="4">
        <v>-1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" thickBot="1" x14ac:dyDescent="0.35">
      <c r="A344" s="5" t="s">
        <v>348</v>
      </c>
      <c r="B344" s="4"/>
      <c r="C344" s="6">
        <v>8.0868000000000002</v>
      </c>
      <c r="D344" s="6">
        <v>25.707999999999998</v>
      </c>
      <c r="E344" s="6">
        <v>34.768000000000001</v>
      </c>
      <c r="F344" s="6">
        <v>10.374000000000001</v>
      </c>
      <c r="G344" s="4">
        <v>-1</v>
      </c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" thickBot="1" x14ac:dyDescent="0.35">
      <c r="A345" s="5" t="s">
        <v>349</v>
      </c>
      <c r="B345" s="4"/>
      <c r="C345" s="6">
        <v>8.1</v>
      </c>
      <c r="D345" s="6">
        <v>25.7</v>
      </c>
      <c r="E345" s="6">
        <v>34.799999999999997</v>
      </c>
      <c r="F345" s="6">
        <v>10.4</v>
      </c>
      <c r="G345" s="4">
        <v>-1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" thickBot="1" x14ac:dyDescent="0.35">
      <c r="A346" s="5" t="s">
        <v>350</v>
      </c>
      <c r="B346" s="4"/>
      <c r="C346" s="6">
        <v>15.1</v>
      </c>
      <c r="D346" s="6">
        <v>18.899999999999999</v>
      </c>
      <c r="E346" s="6">
        <v>25.6</v>
      </c>
      <c r="F346" s="6">
        <v>19.399999999999999</v>
      </c>
      <c r="G346" s="4">
        <v>-1</v>
      </c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" thickBot="1" x14ac:dyDescent="0.35">
      <c r="A347" s="5" t="s">
        <v>351</v>
      </c>
      <c r="B347" s="4"/>
      <c r="C347" s="6">
        <v>15.095000000000001</v>
      </c>
      <c r="D347" s="6">
        <v>18.850000000000001</v>
      </c>
      <c r="E347" s="6">
        <v>25.552</v>
      </c>
      <c r="F347" s="6">
        <v>19.382000000000001</v>
      </c>
      <c r="G347" s="4">
        <v>-1</v>
      </c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" thickBot="1" x14ac:dyDescent="0.35">
      <c r="A348" s="5" t="s">
        <v>352</v>
      </c>
      <c r="B348" s="4"/>
      <c r="C348" s="6">
        <v>21.276595740000001</v>
      </c>
      <c r="D348" s="6">
        <v>14.893617020000001</v>
      </c>
      <c r="E348" s="6">
        <v>21.276595740000001</v>
      </c>
      <c r="F348" s="6">
        <v>21.276595740000001</v>
      </c>
      <c r="G348" s="4">
        <v>-1</v>
      </c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" thickBot="1" x14ac:dyDescent="0.35">
      <c r="A349" s="5" t="s">
        <v>353</v>
      </c>
      <c r="B349" s="4"/>
      <c r="C349" s="6">
        <v>21.276595740000001</v>
      </c>
      <c r="D349" s="6">
        <v>21.276595740000001</v>
      </c>
      <c r="E349" s="6">
        <v>21.276595740000001</v>
      </c>
      <c r="F349" s="6">
        <v>14.893617020000001</v>
      </c>
      <c r="G349" s="4">
        <v>-1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" thickBot="1" x14ac:dyDescent="0.35">
      <c r="A350" s="5" t="s">
        <v>354</v>
      </c>
      <c r="B350" s="4"/>
      <c r="C350" s="6">
        <v>12.6</v>
      </c>
      <c r="D350" s="6">
        <v>27.7</v>
      </c>
      <c r="E350" s="6">
        <v>24.9</v>
      </c>
      <c r="F350" s="6">
        <v>13.5</v>
      </c>
      <c r="G350" s="4">
        <v>-1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" thickBot="1" x14ac:dyDescent="0.35">
      <c r="A351" s="5" t="s">
        <v>355</v>
      </c>
      <c r="B351" s="4"/>
      <c r="C351" s="6">
        <v>12.593</v>
      </c>
      <c r="D351" s="6">
        <v>27.675000000000001</v>
      </c>
      <c r="E351" s="6">
        <v>24.946999999999999</v>
      </c>
      <c r="F351" s="6">
        <v>13.481999999999999</v>
      </c>
      <c r="G351" s="4">
        <v>-1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" thickBot="1" x14ac:dyDescent="0.35">
      <c r="A352" s="5" t="s">
        <v>356</v>
      </c>
      <c r="B352" s="4"/>
      <c r="C352" s="6">
        <v>21.505376340000002</v>
      </c>
      <c r="D352" s="6">
        <v>21.505376340000002</v>
      </c>
      <c r="E352" s="6">
        <v>21.505376340000002</v>
      </c>
      <c r="F352" s="6">
        <v>13.978494619999999</v>
      </c>
      <c r="G352" s="4">
        <v>-1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" thickBot="1" x14ac:dyDescent="0.35">
      <c r="A353" s="5" t="s">
        <v>357</v>
      </c>
      <c r="B353" s="4"/>
      <c r="C353" s="6">
        <v>19.60784314</v>
      </c>
      <c r="D353" s="6">
        <v>19.60784314</v>
      </c>
      <c r="E353" s="6">
        <v>19.60784314</v>
      </c>
      <c r="F353" s="6">
        <v>19.60784314</v>
      </c>
      <c r="G353" s="4">
        <v>-1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" thickBot="1" x14ac:dyDescent="0.35">
      <c r="A354" s="5" t="s">
        <v>358</v>
      </c>
      <c r="B354" s="4"/>
      <c r="C354" s="6">
        <v>8.6041000000000007</v>
      </c>
      <c r="D354" s="6">
        <v>26.981999999999999</v>
      </c>
      <c r="E354" s="6">
        <v>33.912999999999997</v>
      </c>
      <c r="F354" s="6">
        <v>8.9265000000000008</v>
      </c>
      <c r="G354" s="4">
        <v>-1</v>
      </c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" thickBot="1" x14ac:dyDescent="0.35">
      <c r="A355" s="5" t="s">
        <v>359</v>
      </c>
      <c r="B355" s="4"/>
      <c r="C355" s="6">
        <v>8.6</v>
      </c>
      <c r="D355" s="6">
        <v>27</v>
      </c>
      <c r="E355" s="6">
        <v>33.9</v>
      </c>
      <c r="F355" s="6">
        <v>8.9</v>
      </c>
      <c r="G355" s="4">
        <v>-1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" thickBot="1" x14ac:dyDescent="0.35">
      <c r="A356" s="5" t="s">
        <v>360</v>
      </c>
      <c r="B356" s="4"/>
      <c r="C356" s="6">
        <v>21.739130429999999</v>
      </c>
      <c r="D356" s="6">
        <v>21.739130429999999</v>
      </c>
      <c r="E356" s="6">
        <v>21.739130429999999</v>
      </c>
      <c r="F356" s="6">
        <v>13.043478260000001</v>
      </c>
      <c r="G356" s="4">
        <v>-1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" thickBot="1" x14ac:dyDescent="0.35">
      <c r="A357" s="5" t="s">
        <v>361</v>
      </c>
      <c r="B357" s="4"/>
      <c r="C357" s="6">
        <v>16.495999999999999</v>
      </c>
      <c r="D357" s="6">
        <v>28.393999999999998</v>
      </c>
      <c r="E357" s="6">
        <v>16.055</v>
      </c>
      <c r="F357" s="6">
        <v>17.298999999999999</v>
      </c>
      <c r="G357" s="4">
        <v>-1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" thickBot="1" x14ac:dyDescent="0.35">
      <c r="A358" s="5" t="s">
        <v>362</v>
      </c>
      <c r="B358" s="4"/>
      <c r="C358" s="6">
        <v>16.5</v>
      </c>
      <c r="D358" s="6">
        <v>28.4</v>
      </c>
      <c r="E358" s="6">
        <v>16.100000000000001</v>
      </c>
      <c r="F358" s="6">
        <v>17.3</v>
      </c>
      <c r="G358" s="4">
        <v>-1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" thickBot="1" x14ac:dyDescent="0.35">
      <c r="A359" s="5" t="s">
        <v>363</v>
      </c>
      <c r="B359" s="4"/>
      <c r="C359" s="6">
        <v>19.53125</v>
      </c>
      <c r="D359" s="6">
        <v>19.53125</v>
      </c>
      <c r="E359" s="6">
        <v>19.53125</v>
      </c>
      <c r="F359" s="6">
        <v>19.53125</v>
      </c>
      <c r="G359" s="4">
        <v>-1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" thickBot="1" x14ac:dyDescent="0.35">
      <c r="A360" s="5" t="s">
        <v>364</v>
      </c>
      <c r="B360" s="4"/>
      <c r="C360" s="6">
        <v>19.53</v>
      </c>
      <c r="D360" s="6">
        <v>19.53</v>
      </c>
      <c r="E360" s="6">
        <v>19.53</v>
      </c>
      <c r="F360" s="6">
        <v>19.53</v>
      </c>
      <c r="G360" s="4">
        <v>-1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" thickBot="1" x14ac:dyDescent="0.35">
      <c r="A361" s="5" t="s">
        <v>365</v>
      </c>
      <c r="B361" s="4"/>
      <c r="C361" s="6">
        <v>5.9782999999999999</v>
      </c>
      <c r="D361" s="6">
        <v>27.350999999999999</v>
      </c>
      <c r="E361" s="6">
        <v>36.993000000000002</v>
      </c>
      <c r="F361" s="6">
        <v>7.7256999999999998</v>
      </c>
      <c r="G361" s="4">
        <v>-1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" thickBot="1" x14ac:dyDescent="0.35">
      <c r="A362" s="5" t="s">
        <v>366</v>
      </c>
      <c r="B362" s="4"/>
      <c r="C362" s="6">
        <v>21.978021980000001</v>
      </c>
      <c r="D362" s="6">
        <v>21.978021980000001</v>
      </c>
      <c r="E362" s="6">
        <v>21.978021980000001</v>
      </c>
      <c r="F362" s="6">
        <v>12.08791209</v>
      </c>
      <c r="G362" s="4">
        <v>-1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" thickBot="1" x14ac:dyDescent="0.35">
      <c r="A363" s="5" t="s">
        <v>367</v>
      </c>
      <c r="B363" s="4"/>
      <c r="C363" s="6">
        <v>6</v>
      </c>
      <c r="D363" s="6">
        <v>27.4</v>
      </c>
      <c r="E363" s="6">
        <v>37</v>
      </c>
      <c r="F363" s="6">
        <v>7.7</v>
      </c>
      <c r="G363" s="4">
        <v>-1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" thickBot="1" x14ac:dyDescent="0.35">
      <c r="A364" s="5" t="s">
        <v>368</v>
      </c>
      <c r="B364" s="4"/>
      <c r="C364" s="6">
        <v>10.364000000000001</v>
      </c>
      <c r="D364" s="6">
        <v>23.021000000000001</v>
      </c>
      <c r="E364" s="6">
        <v>31.344000000000001</v>
      </c>
      <c r="F364" s="6">
        <v>13.288</v>
      </c>
      <c r="G364" s="4">
        <v>-1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" thickBot="1" x14ac:dyDescent="0.35">
      <c r="A365" s="5" t="s">
        <v>369</v>
      </c>
      <c r="B365" s="4"/>
      <c r="C365" s="6">
        <v>10.4</v>
      </c>
      <c r="D365" s="6">
        <v>23</v>
      </c>
      <c r="E365" s="6">
        <v>31.3</v>
      </c>
      <c r="F365" s="6">
        <v>13.3</v>
      </c>
      <c r="G365" s="4">
        <v>-1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" thickBot="1" x14ac:dyDescent="0.35">
      <c r="A366" s="5" t="s">
        <v>370</v>
      </c>
      <c r="B366" s="4"/>
      <c r="C366" s="6">
        <v>10.6</v>
      </c>
      <c r="D366" s="6">
        <v>28.8</v>
      </c>
      <c r="E366" s="6">
        <v>27.1</v>
      </c>
      <c r="F366" s="6">
        <v>11.4</v>
      </c>
      <c r="G366" s="4">
        <v>-1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" thickBot="1" x14ac:dyDescent="0.35">
      <c r="A367" s="5" t="s">
        <v>371</v>
      </c>
      <c r="B367" s="4"/>
      <c r="C367" s="6">
        <v>17.3</v>
      </c>
      <c r="D367" s="6">
        <v>28.9</v>
      </c>
      <c r="E367" s="6">
        <v>13.7</v>
      </c>
      <c r="F367" s="6">
        <v>18</v>
      </c>
      <c r="G367" s="4">
        <v>-1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" thickBot="1" x14ac:dyDescent="0.35">
      <c r="A368" s="5" t="s">
        <v>372</v>
      </c>
      <c r="B368" s="4"/>
      <c r="C368" s="6">
        <v>17.262</v>
      </c>
      <c r="D368" s="6">
        <v>28.93</v>
      </c>
      <c r="E368" s="6">
        <v>13.680999999999999</v>
      </c>
      <c r="F368" s="6">
        <v>18.024000000000001</v>
      </c>
      <c r="G368" s="4">
        <v>-1</v>
      </c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" thickBot="1" x14ac:dyDescent="0.35">
      <c r="A369" s="5" t="s">
        <v>373</v>
      </c>
      <c r="B369" s="4"/>
      <c r="C369" s="6">
        <v>10.563000000000001</v>
      </c>
      <c r="D369" s="6">
        <v>28.777000000000001</v>
      </c>
      <c r="E369" s="6">
        <v>27.106000000000002</v>
      </c>
      <c r="F369" s="6">
        <v>11.422000000000001</v>
      </c>
      <c r="G369" s="4">
        <v>-1</v>
      </c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" thickBot="1" x14ac:dyDescent="0.35">
      <c r="A370" s="5" t="s">
        <v>374</v>
      </c>
      <c r="B370" s="4"/>
      <c r="C370" s="6">
        <v>17.899999999999999</v>
      </c>
      <c r="D370" s="6">
        <v>15.8</v>
      </c>
      <c r="E370" s="6">
        <v>21.1</v>
      </c>
      <c r="F370" s="6">
        <v>23</v>
      </c>
      <c r="G370" s="4">
        <v>-1</v>
      </c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" thickBot="1" x14ac:dyDescent="0.35">
      <c r="A371" s="5" t="s">
        <v>375</v>
      </c>
      <c r="B371" s="4"/>
      <c r="C371" s="6">
        <v>22.222222219999999</v>
      </c>
      <c r="D371" s="6">
        <v>11.11111111</v>
      </c>
      <c r="E371" s="6">
        <v>22.222222219999999</v>
      </c>
      <c r="F371" s="6">
        <v>22.222222219999999</v>
      </c>
      <c r="G371" s="4">
        <v>-1</v>
      </c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" thickBot="1" x14ac:dyDescent="0.35">
      <c r="A372" s="5" t="s">
        <v>376</v>
      </c>
      <c r="B372" s="4"/>
      <c r="C372" s="6">
        <v>22.222222219999999</v>
      </c>
      <c r="D372" s="6">
        <v>22.222222219999999</v>
      </c>
      <c r="E372" s="6">
        <v>22.222222219999999</v>
      </c>
      <c r="F372" s="6">
        <v>11.11111111</v>
      </c>
      <c r="G372" s="4">
        <v>-1</v>
      </c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" thickBot="1" x14ac:dyDescent="0.35">
      <c r="A373" s="5" t="s">
        <v>377</v>
      </c>
      <c r="B373" s="4"/>
      <c r="C373" s="6">
        <v>17.861000000000001</v>
      </c>
      <c r="D373" s="6">
        <v>15.805999999999999</v>
      </c>
      <c r="E373" s="6">
        <v>21.132000000000001</v>
      </c>
      <c r="F373" s="6">
        <v>22.977</v>
      </c>
      <c r="G373" s="4">
        <v>-1</v>
      </c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" thickBot="1" x14ac:dyDescent="0.35">
      <c r="A374" s="5" t="s">
        <v>378</v>
      </c>
      <c r="B374" s="4"/>
      <c r="C374" s="6">
        <v>16.5</v>
      </c>
      <c r="D374" s="6">
        <v>17.399999999999999</v>
      </c>
      <c r="E374" s="6">
        <v>23.1</v>
      </c>
      <c r="F374" s="6">
        <v>20.8</v>
      </c>
      <c r="G374" s="4">
        <v>-1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" thickBot="1" x14ac:dyDescent="0.35">
      <c r="A375" s="5" t="s">
        <v>379</v>
      </c>
      <c r="B375" s="4"/>
      <c r="C375" s="6">
        <v>16.484999999999999</v>
      </c>
      <c r="D375" s="6">
        <v>17.373000000000001</v>
      </c>
      <c r="E375" s="6">
        <v>23.091999999999999</v>
      </c>
      <c r="F375" s="6">
        <v>20.765999999999998</v>
      </c>
      <c r="G375" s="4">
        <v>-1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" thickBot="1" x14ac:dyDescent="0.35">
      <c r="A376" s="5" t="s">
        <v>380</v>
      </c>
      <c r="B376" s="4"/>
      <c r="C376" s="6">
        <v>17.776</v>
      </c>
      <c r="D376" s="6">
        <v>29.495000000000001</v>
      </c>
      <c r="E376" s="6">
        <v>11.632</v>
      </c>
      <c r="F376" s="6">
        <v>18.721</v>
      </c>
      <c r="G376" s="4">
        <v>-1</v>
      </c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" thickBot="1" x14ac:dyDescent="0.35">
      <c r="A377" s="5" t="s">
        <v>381</v>
      </c>
      <c r="B377" s="4"/>
      <c r="C377" s="6">
        <v>13.1</v>
      </c>
      <c r="D377" s="6">
        <v>29</v>
      </c>
      <c r="E377" s="6">
        <v>21.2</v>
      </c>
      <c r="F377" s="6">
        <v>14.3</v>
      </c>
      <c r="G377" s="4">
        <v>-1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" thickBot="1" x14ac:dyDescent="0.35">
      <c r="A378" s="5" t="s">
        <v>382</v>
      </c>
      <c r="B378" s="4"/>
      <c r="C378" s="6">
        <v>17.8</v>
      </c>
      <c r="D378" s="6">
        <v>29.5</v>
      </c>
      <c r="E378" s="6">
        <v>11.6</v>
      </c>
      <c r="F378" s="6">
        <v>18.7</v>
      </c>
      <c r="G378" s="4">
        <v>-1</v>
      </c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" thickBot="1" x14ac:dyDescent="0.35">
      <c r="A379" s="5" t="s">
        <v>383</v>
      </c>
      <c r="B379" s="4"/>
      <c r="C379" s="6">
        <v>18.399999999999999</v>
      </c>
      <c r="D379" s="6">
        <v>29.8</v>
      </c>
      <c r="E379" s="6">
        <v>10</v>
      </c>
      <c r="F379" s="6">
        <v>19.399999999999999</v>
      </c>
      <c r="G379" s="4">
        <v>-1</v>
      </c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" thickBot="1" x14ac:dyDescent="0.35">
      <c r="A380" s="5" t="s">
        <v>384</v>
      </c>
      <c r="B380" s="4"/>
      <c r="C380" s="6">
        <v>18.398</v>
      </c>
      <c r="D380" s="6">
        <v>29.802</v>
      </c>
      <c r="E380" s="6">
        <v>10.038</v>
      </c>
      <c r="F380" s="6">
        <v>19.350999999999999</v>
      </c>
      <c r="G380" s="4">
        <v>-1</v>
      </c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" thickBot="1" x14ac:dyDescent="0.35">
      <c r="A381" s="5" t="s">
        <v>385</v>
      </c>
      <c r="B381" s="4"/>
      <c r="C381" s="6">
        <v>13.115</v>
      </c>
      <c r="D381" s="6">
        <v>28.981999999999999</v>
      </c>
      <c r="E381" s="6">
        <v>21.178000000000001</v>
      </c>
      <c r="F381" s="6">
        <v>14.307</v>
      </c>
      <c r="G381" s="4">
        <v>-1</v>
      </c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" thickBot="1" x14ac:dyDescent="0.35">
      <c r="A382" s="5" t="s">
        <v>386</v>
      </c>
      <c r="B382" s="4"/>
      <c r="C382" s="6">
        <v>22.47191011</v>
      </c>
      <c r="D382" s="6">
        <v>22.47191011</v>
      </c>
      <c r="E382" s="6">
        <v>22.47191011</v>
      </c>
      <c r="F382" s="6">
        <v>10.112359550000001</v>
      </c>
      <c r="G382" s="4">
        <v>-1</v>
      </c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" thickBot="1" x14ac:dyDescent="0.35">
      <c r="A383" s="5" t="s">
        <v>387</v>
      </c>
      <c r="B383" s="4"/>
      <c r="C383" s="6">
        <v>19.342359770000002</v>
      </c>
      <c r="D383" s="6">
        <v>19.342359770000002</v>
      </c>
      <c r="E383" s="6">
        <v>19.342359770000002</v>
      </c>
      <c r="F383" s="6">
        <v>19.342359770000002</v>
      </c>
      <c r="G383" s="4">
        <v>-1</v>
      </c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" thickBot="1" x14ac:dyDescent="0.35">
      <c r="A384" s="5" t="s">
        <v>388</v>
      </c>
      <c r="B384" s="4"/>
      <c r="C384" s="6">
        <v>19.391999999999999</v>
      </c>
      <c r="D384" s="6">
        <v>14.273999999999999</v>
      </c>
      <c r="E384" s="6">
        <v>18.748000000000001</v>
      </c>
      <c r="F384" s="6">
        <v>24.887</v>
      </c>
      <c r="G384" s="4">
        <v>-1</v>
      </c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" thickBot="1" x14ac:dyDescent="0.35">
      <c r="A385" s="5" t="s">
        <v>389</v>
      </c>
      <c r="B385" s="4"/>
      <c r="C385" s="6">
        <v>19.399999999999999</v>
      </c>
      <c r="D385" s="6">
        <v>14.3</v>
      </c>
      <c r="E385" s="6">
        <v>18.7</v>
      </c>
      <c r="F385" s="6">
        <v>24.9</v>
      </c>
      <c r="G385" s="4">
        <v>-1</v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" thickBot="1" x14ac:dyDescent="0.35">
      <c r="A386" s="5" t="s">
        <v>390</v>
      </c>
      <c r="B386" s="4"/>
      <c r="C386" s="6">
        <v>11.7</v>
      </c>
      <c r="D386" s="6">
        <v>21.6</v>
      </c>
      <c r="E386" s="6">
        <v>28.9</v>
      </c>
      <c r="F386" s="6">
        <v>14.9</v>
      </c>
      <c r="G386" s="4">
        <v>-1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" thickBot="1" x14ac:dyDescent="0.35">
      <c r="A387" s="5" t="s">
        <v>391</v>
      </c>
      <c r="B387" s="4"/>
      <c r="C387" s="6">
        <v>11.686999999999999</v>
      </c>
      <c r="D387" s="6">
        <v>21.571999999999999</v>
      </c>
      <c r="E387" s="6">
        <v>28.887</v>
      </c>
      <c r="F387" s="6">
        <v>14.907999999999999</v>
      </c>
      <c r="G387" s="4">
        <v>-1</v>
      </c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" thickBot="1" x14ac:dyDescent="0.35">
      <c r="A388" s="5" t="s">
        <v>392</v>
      </c>
      <c r="B388" s="4"/>
      <c r="C388" s="6">
        <v>5.3003</v>
      </c>
      <c r="D388" s="6">
        <v>27.498999999999999</v>
      </c>
      <c r="E388" s="6">
        <v>37.191000000000003</v>
      </c>
      <c r="F388" s="6">
        <v>7.0456000000000003</v>
      </c>
      <c r="G388" s="4">
        <v>-1</v>
      </c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" thickBot="1" x14ac:dyDescent="0.35">
      <c r="A389" s="5" t="s">
        <v>393</v>
      </c>
      <c r="B389" s="4"/>
      <c r="C389" s="6">
        <v>5.3</v>
      </c>
      <c r="D389" s="6">
        <v>27.5</v>
      </c>
      <c r="E389" s="6">
        <v>37.200000000000003</v>
      </c>
      <c r="F389" s="6">
        <v>7</v>
      </c>
      <c r="G389" s="4">
        <v>-1</v>
      </c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" thickBot="1" x14ac:dyDescent="0.35">
      <c r="A390" s="5" t="s">
        <v>394</v>
      </c>
      <c r="B390" s="4"/>
      <c r="C390" s="6">
        <v>19.23076923</v>
      </c>
      <c r="D390" s="6">
        <v>19.23076923</v>
      </c>
      <c r="E390" s="6">
        <v>19.23076923</v>
      </c>
      <c r="F390" s="6">
        <v>19.23076923</v>
      </c>
      <c r="G390" s="4">
        <v>-1</v>
      </c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" thickBot="1" x14ac:dyDescent="0.35">
      <c r="A391" s="5" t="s">
        <v>395</v>
      </c>
      <c r="B391" s="4"/>
      <c r="C391" s="6">
        <v>18.846</v>
      </c>
      <c r="D391" s="6">
        <v>29.988</v>
      </c>
      <c r="E391" s="6">
        <v>8.4699000000000009</v>
      </c>
      <c r="F391" s="6">
        <v>19.606000000000002</v>
      </c>
      <c r="G391" s="4">
        <v>-1</v>
      </c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" thickBot="1" x14ac:dyDescent="0.35">
      <c r="A392" s="5" t="s">
        <v>396</v>
      </c>
      <c r="B392" s="4"/>
      <c r="C392" s="6">
        <v>11.371</v>
      </c>
      <c r="D392" s="6">
        <v>30.353999999999999</v>
      </c>
      <c r="E392" s="6">
        <v>23.434999999999999</v>
      </c>
      <c r="F392" s="6">
        <v>11.746</v>
      </c>
      <c r="G392" s="4">
        <v>-1</v>
      </c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" thickBot="1" x14ac:dyDescent="0.35">
      <c r="A393" s="5" t="s">
        <v>397</v>
      </c>
      <c r="B393" s="4"/>
      <c r="C393" s="6">
        <v>11.4</v>
      </c>
      <c r="D393" s="6">
        <v>30.4</v>
      </c>
      <c r="E393" s="6">
        <v>23.4</v>
      </c>
      <c r="F393" s="6">
        <v>11.7</v>
      </c>
      <c r="G393" s="4">
        <v>-1</v>
      </c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" thickBot="1" x14ac:dyDescent="0.35">
      <c r="A394" s="5" t="s">
        <v>398</v>
      </c>
      <c r="B394" s="4"/>
      <c r="C394" s="6">
        <v>18.8</v>
      </c>
      <c r="D394" s="6">
        <v>30</v>
      </c>
      <c r="E394" s="6">
        <v>8.5</v>
      </c>
      <c r="F394" s="6">
        <v>19.600000000000001</v>
      </c>
      <c r="G394" s="4">
        <v>-1</v>
      </c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" thickBot="1" x14ac:dyDescent="0.35">
      <c r="A395" s="5" t="s">
        <v>399</v>
      </c>
      <c r="B395" s="4"/>
      <c r="C395" s="6">
        <v>19.3</v>
      </c>
      <c r="D395" s="6">
        <v>30.1</v>
      </c>
      <c r="E395" s="6">
        <v>7.5</v>
      </c>
      <c r="F395" s="6">
        <v>19.899999999999999</v>
      </c>
      <c r="G395" s="4">
        <v>-1</v>
      </c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" thickBot="1" x14ac:dyDescent="0.35">
      <c r="A396" s="5" t="s">
        <v>400</v>
      </c>
      <c r="B396" s="4"/>
      <c r="C396" s="6">
        <v>19.329999999999998</v>
      </c>
      <c r="D396" s="6">
        <v>30.102</v>
      </c>
      <c r="E396" s="6">
        <v>7.5072999999999999</v>
      </c>
      <c r="F396" s="6">
        <v>19.928999999999998</v>
      </c>
      <c r="G396" s="4">
        <v>-1</v>
      </c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" thickBot="1" x14ac:dyDescent="0.35">
      <c r="A397" s="5" t="s">
        <v>401</v>
      </c>
      <c r="B397" s="4"/>
      <c r="C397" s="6">
        <v>19.2</v>
      </c>
      <c r="D397" s="6">
        <v>19.2</v>
      </c>
      <c r="E397" s="6">
        <v>19.2</v>
      </c>
      <c r="F397" s="6">
        <v>19.2</v>
      </c>
      <c r="G397" s="4">
        <v>-1</v>
      </c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" thickBot="1" x14ac:dyDescent="0.35">
      <c r="A398" s="5" t="s">
        <v>402</v>
      </c>
      <c r="B398" s="4"/>
      <c r="C398" s="6">
        <v>19.19385797</v>
      </c>
      <c r="D398" s="6">
        <v>19.19385797</v>
      </c>
      <c r="E398" s="6">
        <v>19.19385797</v>
      </c>
      <c r="F398" s="6">
        <v>19.19385797</v>
      </c>
      <c r="G398" s="4">
        <v>-1</v>
      </c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" thickBot="1" x14ac:dyDescent="0.35">
      <c r="A399" s="5" t="s">
        <v>403</v>
      </c>
      <c r="B399" s="4"/>
      <c r="C399" s="6">
        <v>19.783000000000001</v>
      </c>
      <c r="D399" s="6">
        <v>30.117999999999999</v>
      </c>
      <c r="E399" s="6">
        <v>6.4328000000000003</v>
      </c>
      <c r="F399" s="6">
        <v>20.414999999999999</v>
      </c>
      <c r="G399" s="4">
        <v>-1</v>
      </c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" thickBot="1" x14ac:dyDescent="0.35">
      <c r="A400" s="5" t="s">
        <v>404</v>
      </c>
      <c r="B400" s="4"/>
      <c r="C400" s="6">
        <v>13.717000000000001</v>
      </c>
      <c r="D400" s="6">
        <v>30.138000000000002</v>
      </c>
      <c r="E400" s="6">
        <v>18.137</v>
      </c>
      <c r="F400" s="6">
        <v>14.756</v>
      </c>
      <c r="G400" s="4">
        <v>-1</v>
      </c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" thickBot="1" x14ac:dyDescent="0.35">
      <c r="A401" s="5" t="s">
        <v>405</v>
      </c>
      <c r="B401" s="4"/>
      <c r="C401" s="6">
        <v>23.25581395</v>
      </c>
      <c r="D401" s="6">
        <v>6.9767441860000003</v>
      </c>
      <c r="E401" s="6">
        <v>23.25581395</v>
      </c>
      <c r="F401" s="6">
        <v>23.25581395</v>
      </c>
      <c r="G401" s="4">
        <v>-1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" thickBot="1" x14ac:dyDescent="0.35">
      <c r="A402" s="5" t="s">
        <v>406</v>
      </c>
      <c r="B402" s="4"/>
      <c r="C402" s="6">
        <v>6.9</v>
      </c>
      <c r="D402" s="6">
        <v>26.1</v>
      </c>
      <c r="E402" s="6">
        <v>35</v>
      </c>
      <c r="F402" s="6">
        <v>8.6999999999999993</v>
      </c>
      <c r="G402" s="4">
        <v>-1</v>
      </c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" thickBot="1" x14ac:dyDescent="0.35">
      <c r="A403" s="5" t="s">
        <v>407</v>
      </c>
      <c r="B403" s="4"/>
      <c r="C403" s="6">
        <v>13.7</v>
      </c>
      <c r="D403" s="6">
        <v>30.1</v>
      </c>
      <c r="E403" s="6">
        <v>18.100000000000001</v>
      </c>
      <c r="F403" s="6">
        <v>14.8</v>
      </c>
      <c r="G403" s="4">
        <v>-1</v>
      </c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" thickBot="1" x14ac:dyDescent="0.35">
      <c r="A404" s="5" t="s">
        <v>408</v>
      </c>
      <c r="B404" s="4"/>
      <c r="C404" s="6">
        <v>19.8</v>
      </c>
      <c r="D404" s="6">
        <v>30.1</v>
      </c>
      <c r="E404" s="6">
        <v>6.4</v>
      </c>
      <c r="F404" s="6">
        <v>20.399999999999999</v>
      </c>
      <c r="G404" s="4">
        <v>-1</v>
      </c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" thickBot="1" x14ac:dyDescent="0.35">
      <c r="A405" s="5" t="s">
        <v>409</v>
      </c>
      <c r="B405" s="4"/>
      <c r="C405" s="6">
        <v>6.9100999999999999</v>
      </c>
      <c r="D405" s="6">
        <v>26.050999999999998</v>
      </c>
      <c r="E405" s="6">
        <v>34.957000000000001</v>
      </c>
      <c r="F405" s="6">
        <v>8.7409999999999997</v>
      </c>
      <c r="G405" s="4">
        <v>-1</v>
      </c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" thickBot="1" x14ac:dyDescent="0.35">
      <c r="A406" s="5" t="s">
        <v>410</v>
      </c>
      <c r="B406" s="4"/>
      <c r="C406" s="6">
        <v>22</v>
      </c>
      <c r="D406" s="6">
        <v>11.5</v>
      </c>
      <c r="E406" s="6">
        <v>15.2</v>
      </c>
      <c r="F406" s="6">
        <v>27.9</v>
      </c>
      <c r="G406" s="4">
        <v>-1</v>
      </c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" thickBot="1" x14ac:dyDescent="0.35">
      <c r="A407" s="5" t="s">
        <v>411</v>
      </c>
      <c r="B407" s="4"/>
      <c r="C407" s="6">
        <v>22.036999999999999</v>
      </c>
      <c r="D407" s="6">
        <v>11.473000000000001</v>
      </c>
      <c r="E407" s="6">
        <v>15.18</v>
      </c>
      <c r="F407" s="6">
        <v>27.873000000000001</v>
      </c>
      <c r="G407" s="4">
        <v>-1</v>
      </c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" thickBot="1" x14ac:dyDescent="0.35">
      <c r="A408" s="5" t="s">
        <v>412</v>
      </c>
      <c r="B408" s="4"/>
      <c r="C408" s="6">
        <v>8.7737999999999996</v>
      </c>
      <c r="D408" s="6">
        <v>29.047999999999998</v>
      </c>
      <c r="E408" s="6">
        <v>29.2</v>
      </c>
      <c r="F408" s="6">
        <v>9.4937000000000005</v>
      </c>
      <c r="G408" s="4">
        <v>-1</v>
      </c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" thickBot="1" x14ac:dyDescent="0.35">
      <c r="A409" s="5" t="s">
        <v>413</v>
      </c>
      <c r="B409" s="4"/>
      <c r="C409" s="6">
        <v>8.8000000000000007</v>
      </c>
      <c r="D409" s="6">
        <v>29</v>
      </c>
      <c r="E409" s="6">
        <v>29.2</v>
      </c>
      <c r="F409" s="6">
        <v>9.5</v>
      </c>
      <c r="G409" s="4">
        <v>-1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" thickBot="1" x14ac:dyDescent="0.35">
      <c r="A410" s="5" t="s">
        <v>414</v>
      </c>
      <c r="B410" s="4"/>
      <c r="C410" s="6">
        <v>20.5</v>
      </c>
      <c r="D410" s="6">
        <v>12.8</v>
      </c>
      <c r="E410" s="6">
        <v>17</v>
      </c>
      <c r="F410" s="6">
        <v>26.2</v>
      </c>
      <c r="G410" s="4">
        <v>-1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" thickBot="1" x14ac:dyDescent="0.35">
      <c r="A411" s="5" t="s">
        <v>415</v>
      </c>
      <c r="B411" s="4"/>
      <c r="C411" s="6">
        <v>20.481000000000002</v>
      </c>
      <c r="D411" s="6">
        <v>12.785</v>
      </c>
      <c r="E411" s="6">
        <v>17.010999999999999</v>
      </c>
      <c r="F411" s="6">
        <v>26.187000000000001</v>
      </c>
      <c r="G411" s="4">
        <v>-1</v>
      </c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" thickBot="1" x14ac:dyDescent="0.35">
      <c r="A412" s="5" t="s">
        <v>416</v>
      </c>
      <c r="B412" s="4"/>
      <c r="C412" s="6">
        <v>7.3</v>
      </c>
      <c r="D412" s="6">
        <v>29.6</v>
      </c>
      <c r="E412" s="6">
        <v>31.3</v>
      </c>
      <c r="F412" s="6">
        <v>8.1999999999999993</v>
      </c>
      <c r="G412" s="4">
        <v>-1</v>
      </c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" thickBot="1" x14ac:dyDescent="0.35">
      <c r="A413" s="5" t="s">
        <v>417</v>
      </c>
      <c r="B413" s="4"/>
      <c r="C413" s="6">
        <v>12.9</v>
      </c>
      <c r="D413" s="6">
        <v>19.899999999999999</v>
      </c>
      <c r="E413" s="6">
        <v>26.7</v>
      </c>
      <c r="F413" s="6">
        <v>16.899999999999999</v>
      </c>
      <c r="G413" s="4">
        <v>-1</v>
      </c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" thickBot="1" x14ac:dyDescent="0.35">
      <c r="A414" s="5" t="s">
        <v>418</v>
      </c>
      <c r="B414" s="4"/>
      <c r="C414" s="6">
        <v>14.7</v>
      </c>
      <c r="D414" s="6">
        <v>31.3</v>
      </c>
      <c r="E414" s="6">
        <v>15.2</v>
      </c>
      <c r="F414" s="6">
        <v>15.2</v>
      </c>
      <c r="G414" s="4">
        <v>-1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" thickBot="1" x14ac:dyDescent="0.35">
      <c r="A415" s="5" t="s">
        <v>419</v>
      </c>
      <c r="B415" s="4"/>
      <c r="C415" s="6">
        <v>7.3486000000000002</v>
      </c>
      <c r="D415" s="6">
        <v>29.558</v>
      </c>
      <c r="E415" s="6">
        <v>31.280999999999999</v>
      </c>
      <c r="F415" s="6">
        <v>8.1953999999999994</v>
      </c>
      <c r="G415" s="4">
        <v>-1</v>
      </c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" thickBot="1" x14ac:dyDescent="0.35">
      <c r="A416" s="5" t="s">
        <v>420</v>
      </c>
      <c r="B416" s="4"/>
      <c r="C416" s="6">
        <v>14.662000000000001</v>
      </c>
      <c r="D416" s="6">
        <v>31.327999999999999</v>
      </c>
      <c r="E416" s="6">
        <v>15.204000000000001</v>
      </c>
      <c r="F416" s="6">
        <v>15.189</v>
      </c>
      <c r="G416" s="4">
        <v>-1</v>
      </c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" thickBot="1" x14ac:dyDescent="0.35">
      <c r="A417" s="5" t="s">
        <v>421</v>
      </c>
      <c r="B417" s="4"/>
      <c r="C417" s="6">
        <v>12.87</v>
      </c>
      <c r="D417" s="6">
        <v>19.893999999999998</v>
      </c>
      <c r="E417" s="6">
        <v>26.734000000000002</v>
      </c>
      <c r="F417" s="6">
        <v>16.882000000000001</v>
      </c>
      <c r="G417" s="4">
        <v>-1</v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" thickBot="1" x14ac:dyDescent="0.35">
      <c r="A418" s="5" t="s">
        <v>422</v>
      </c>
      <c r="B418" s="4"/>
      <c r="C418" s="6">
        <v>8.9571000000000005</v>
      </c>
      <c r="D418" s="6">
        <v>23.722999999999999</v>
      </c>
      <c r="E418" s="6">
        <v>32.146999999999998</v>
      </c>
      <c r="F418" s="6">
        <v>11.419</v>
      </c>
      <c r="G418" s="4">
        <v>-1</v>
      </c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" thickBot="1" x14ac:dyDescent="0.35">
      <c r="A419" s="5" t="s">
        <v>423</v>
      </c>
      <c r="B419" s="4"/>
      <c r="C419" s="6">
        <v>9</v>
      </c>
      <c r="D419" s="6">
        <v>23.7</v>
      </c>
      <c r="E419" s="6">
        <v>32.1</v>
      </c>
      <c r="F419" s="6">
        <v>11.4</v>
      </c>
      <c r="G419" s="4">
        <v>-1</v>
      </c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" thickBot="1" x14ac:dyDescent="0.35">
      <c r="A420" s="5" t="s">
        <v>424</v>
      </c>
      <c r="B420" s="4"/>
      <c r="C420" s="6">
        <v>19.047619050000002</v>
      </c>
      <c r="D420" s="6">
        <v>19.047619050000002</v>
      </c>
      <c r="E420" s="6">
        <v>19.047619050000002</v>
      </c>
      <c r="F420" s="6">
        <v>19.047619050000002</v>
      </c>
      <c r="G420" s="4">
        <v>-1</v>
      </c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" thickBot="1" x14ac:dyDescent="0.35">
      <c r="A421" s="5" t="s">
        <v>425</v>
      </c>
      <c r="B421" s="4"/>
      <c r="C421" s="6">
        <v>14.881</v>
      </c>
      <c r="D421" s="6">
        <v>32.042000000000002</v>
      </c>
      <c r="E421" s="6">
        <v>13.083</v>
      </c>
      <c r="F421" s="6">
        <v>15.907</v>
      </c>
      <c r="G421" s="4">
        <v>-1</v>
      </c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" thickBot="1" x14ac:dyDescent="0.35">
      <c r="A422" s="5" t="s">
        <v>426</v>
      </c>
      <c r="B422" s="4"/>
      <c r="C422" s="6">
        <v>14.9</v>
      </c>
      <c r="D422" s="6">
        <v>32</v>
      </c>
      <c r="E422" s="6">
        <v>13.1</v>
      </c>
      <c r="F422" s="6">
        <v>15.9</v>
      </c>
      <c r="G422" s="4">
        <v>-1</v>
      </c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" thickBot="1" x14ac:dyDescent="0.35">
      <c r="A423" s="5" t="s">
        <v>427</v>
      </c>
      <c r="B423" s="4"/>
      <c r="C423" s="6">
        <v>9.5030999999999999</v>
      </c>
      <c r="D423" s="6">
        <v>31.067</v>
      </c>
      <c r="E423" s="6">
        <v>25.283000000000001</v>
      </c>
      <c r="F423" s="6">
        <v>9.9901</v>
      </c>
      <c r="G423" s="4">
        <v>-1</v>
      </c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" thickBot="1" x14ac:dyDescent="0.35">
      <c r="A424" s="5" t="s">
        <v>428</v>
      </c>
      <c r="B424" s="4"/>
      <c r="C424" s="6">
        <v>9.5</v>
      </c>
      <c r="D424" s="6">
        <v>31.1</v>
      </c>
      <c r="E424" s="6">
        <v>25.3</v>
      </c>
      <c r="F424" s="6">
        <v>10</v>
      </c>
      <c r="G424" s="4">
        <v>-1</v>
      </c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" thickBot="1" x14ac:dyDescent="0.35">
      <c r="A425" s="5" t="s">
        <v>429</v>
      </c>
      <c r="B425" s="4"/>
      <c r="C425" s="6">
        <v>11.9</v>
      </c>
      <c r="D425" s="6">
        <v>31.7</v>
      </c>
      <c r="E425" s="6">
        <v>19.8</v>
      </c>
      <c r="F425" s="6">
        <v>12.3</v>
      </c>
      <c r="G425" s="4">
        <v>-1</v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" thickBot="1" x14ac:dyDescent="0.35">
      <c r="A426" s="5" t="s">
        <v>430</v>
      </c>
      <c r="B426" s="4"/>
      <c r="C426" s="6">
        <v>11.85</v>
      </c>
      <c r="D426" s="6">
        <v>31.738</v>
      </c>
      <c r="E426" s="6">
        <v>19.832999999999998</v>
      </c>
      <c r="F426" s="6">
        <v>12.271000000000001</v>
      </c>
      <c r="G426" s="4">
        <v>-1</v>
      </c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" thickBot="1" x14ac:dyDescent="0.35">
      <c r="A427" s="5" t="s">
        <v>431</v>
      </c>
      <c r="B427" s="4"/>
      <c r="C427" s="6">
        <v>15.57</v>
      </c>
      <c r="D427" s="6">
        <v>32.448999999999998</v>
      </c>
      <c r="E427" s="6">
        <v>11.207000000000001</v>
      </c>
      <c r="F427" s="6">
        <v>16.306000000000001</v>
      </c>
      <c r="G427" s="4">
        <v>-1</v>
      </c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" thickBot="1" x14ac:dyDescent="0.35">
      <c r="A428" s="5" t="s">
        <v>432</v>
      </c>
      <c r="B428" s="4"/>
      <c r="C428" s="6">
        <v>15.6</v>
      </c>
      <c r="D428" s="6">
        <v>32.4</v>
      </c>
      <c r="E428" s="6">
        <v>11.2</v>
      </c>
      <c r="F428" s="6">
        <v>16.3</v>
      </c>
      <c r="G428" s="4">
        <v>-1</v>
      </c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" thickBot="1" x14ac:dyDescent="0.35">
      <c r="A429" s="5" t="s">
        <v>433</v>
      </c>
      <c r="B429" s="4"/>
      <c r="C429" s="6">
        <v>18.86792453</v>
      </c>
      <c r="D429" s="6">
        <v>18.86792453</v>
      </c>
      <c r="E429" s="6">
        <v>18.86792453</v>
      </c>
      <c r="F429" s="6">
        <v>18.86792453</v>
      </c>
      <c r="G429" s="4">
        <v>-1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" thickBot="1" x14ac:dyDescent="0.35">
      <c r="A430" s="5" t="s">
        <v>434</v>
      </c>
      <c r="B430" s="4"/>
      <c r="C430" s="6">
        <v>6</v>
      </c>
      <c r="D430" s="6">
        <v>26.265999999999998</v>
      </c>
      <c r="E430" s="6">
        <v>35.331000000000003</v>
      </c>
      <c r="F430" s="6">
        <v>7.7328000000000001</v>
      </c>
      <c r="G430" s="4">
        <v>-1</v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" thickBot="1" x14ac:dyDescent="0.35">
      <c r="A431" s="5" t="s">
        <v>435</v>
      </c>
      <c r="B431" s="4"/>
      <c r="C431" s="6">
        <v>16</v>
      </c>
      <c r="D431" s="6">
        <v>32.9</v>
      </c>
      <c r="E431" s="6">
        <v>9.6999999999999993</v>
      </c>
      <c r="F431" s="6">
        <v>16.8</v>
      </c>
      <c r="G431" s="4">
        <v>-1</v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" thickBot="1" x14ac:dyDescent="0.35">
      <c r="A432" s="5" t="s">
        <v>436</v>
      </c>
      <c r="B432" s="4"/>
      <c r="C432" s="6">
        <v>15.961</v>
      </c>
      <c r="D432" s="6">
        <v>32.905999999999999</v>
      </c>
      <c r="E432" s="6">
        <v>9.6917000000000009</v>
      </c>
      <c r="F432" s="6">
        <v>16.762</v>
      </c>
      <c r="G432" s="4">
        <v>-1</v>
      </c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" thickBot="1" x14ac:dyDescent="0.35">
      <c r="A433" s="5" t="s">
        <v>437</v>
      </c>
      <c r="B433" s="4"/>
      <c r="C433" s="6">
        <v>7.7811000000000003</v>
      </c>
      <c r="D433" s="6">
        <v>24.591999999999999</v>
      </c>
      <c r="E433" s="6">
        <v>32.719000000000001</v>
      </c>
      <c r="F433" s="6">
        <v>10.220000000000001</v>
      </c>
      <c r="G433" s="4">
        <v>-1</v>
      </c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" thickBot="1" x14ac:dyDescent="0.35">
      <c r="A434" s="5" t="s">
        <v>438</v>
      </c>
      <c r="B434" s="4"/>
      <c r="C434" s="6">
        <v>14.157999999999999</v>
      </c>
      <c r="D434" s="6">
        <v>18.518999999999998</v>
      </c>
      <c r="E434" s="6">
        <v>24.381</v>
      </c>
      <c r="F434" s="6">
        <v>18.247</v>
      </c>
      <c r="G434" s="4">
        <v>-1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" thickBot="1" x14ac:dyDescent="0.35">
      <c r="A435" s="5" t="s">
        <v>439</v>
      </c>
      <c r="B435" s="4"/>
      <c r="C435" s="6">
        <v>6</v>
      </c>
      <c r="D435" s="6">
        <v>26.3</v>
      </c>
      <c r="E435" s="6">
        <v>35.299999999999997</v>
      </c>
      <c r="F435" s="6">
        <v>7.7</v>
      </c>
      <c r="G435" s="4">
        <v>-1</v>
      </c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" thickBot="1" x14ac:dyDescent="0.35">
      <c r="A436" s="5" t="s">
        <v>440</v>
      </c>
      <c r="B436" s="4"/>
      <c r="C436" s="6">
        <v>7.8</v>
      </c>
      <c r="D436" s="6">
        <v>24.6</v>
      </c>
      <c r="E436" s="6">
        <v>32.700000000000003</v>
      </c>
      <c r="F436" s="6">
        <v>10.199999999999999</v>
      </c>
      <c r="G436" s="4">
        <v>-1</v>
      </c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" thickBot="1" x14ac:dyDescent="0.35">
      <c r="A437" s="5" t="s">
        <v>441</v>
      </c>
      <c r="B437" s="4"/>
      <c r="C437" s="6">
        <v>14.2</v>
      </c>
      <c r="D437" s="6">
        <v>18.5</v>
      </c>
      <c r="E437" s="6">
        <v>24.4</v>
      </c>
      <c r="F437" s="6">
        <v>18.2</v>
      </c>
      <c r="G437" s="4">
        <v>-1</v>
      </c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" thickBot="1" x14ac:dyDescent="0.35">
      <c r="A438" s="5" t="s">
        <v>442</v>
      </c>
      <c r="B438" s="4"/>
      <c r="C438" s="6">
        <v>16.626000000000001</v>
      </c>
      <c r="D438" s="6">
        <v>33.237000000000002</v>
      </c>
      <c r="E438" s="6">
        <v>8.1593</v>
      </c>
      <c r="F438" s="6">
        <v>17.122</v>
      </c>
      <c r="G438" s="4">
        <v>-1</v>
      </c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" thickBot="1" x14ac:dyDescent="0.35">
      <c r="A439" s="5" t="s">
        <v>443</v>
      </c>
      <c r="B439" s="4"/>
      <c r="C439" s="6">
        <v>16.600000000000001</v>
      </c>
      <c r="D439" s="6">
        <v>33.200000000000003</v>
      </c>
      <c r="E439" s="6">
        <v>8.1999999999999993</v>
      </c>
      <c r="F439" s="6">
        <v>17.100000000000001</v>
      </c>
      <c r="G439" s="4">
        <v>-1</v>
      </c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" thickBot="1" x14ac:dyDescent="0.35">
      <c r="A440" s="5" t="s">
        <v>444</v>
      </c>
      <c r="B440" s="4"/>
      <c r="C440" s="6">
        <v>18.761726079999999</v>
      </c>
      <c r="D440" s="6">
        <v>18.761726079999999</v>
      </c>
      <c r="E440" s="6">
        <v>18.761726079999999</v>
      </c>
      <c r="F440" s="6">
        <v>18.761726079999999</v>
      </c>
      <c r="G440" s="4">
        <v>-1</v>
      </c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" thickBot="1" x14ac:dyDescent="0.35">
      <c r="A441" s="5" t="s">
        <v>445</v>
      </c>
      <c r="B441" s="4"/>
      <c r="C441" s="6">
        <v>9.9821000000000009</v>
      </c>
      <c r="D441" s="6">
        <v>33.087000000000003</v>
      </c>
      <c r="E441" s="6">
        <v>21.637</v>
      </c>
      <c r="F441" s="6">
        <v>10.295</v>
      </c>
      <c r="G441" s="4">
        <v>-1</v>
      </c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" thickBot="1" x14ac:dyDescent="0.35">
      <c r="A442" s="5" t="s">
        <v>446</v>
      </c>
      <c r="B442" s="4"/>
      <c r="C442" s="6">
        <v>10</v>
      </c>
      <c r="D442" s="6">
        <v>33.1</v>
      </c>
      <c r="E442" s="6">
        <v>21.6</v>
      </c>
      <c r="F442" s="6">
        <v>10.3</v>
      </c>
      <c r="G442" s="4">
        <v>-1</v>
      </c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" thickBot="1" x14ac:dyDescent="0.35">
      <c r="A443" s="5" t="s">
        <v>447</v>
      </c>
      <c r="B443" s="4"/>
      <c r="C443" s="6">
        <v>18.75</v>
      </c>
      <c r="D443" s="6">
        <v>18.75</v>
      </c>
      <c r="E443" s="6">
        <v>18.75</v>
      </c>
      <c r="F443" s="6">
        <v>18.75</v>
      </c>
      <c r="G443" s="4">
        <v>-1</v>
      </c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" thickBot="1" x14ac:dyDescent="0.35">
      <c r="A444" s="5" t="s">
        <v>448</v>
      </c>
      <c r="B444" s="4"/>
      <c r="C444" s="6">
        <v>12.019</v>
      </c>
      <c r="D444" s="6">
        <v>33.124000000000002</v>
      </c>
      <c r="E444" s="6">
        <v>16.849</v>
      </c>
      <c r="F444" s="6">
        <v>12.933</v>
      </c>
      <c r="G444" s="4">
        <v>-1</v>
      </c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" thickBot="1" x14ac:dyDescent="0.35">
      <c r="A445" s="5" t="s">
        <v>449</v>
      </c>
      <c r="B445" s="4"/>
      <c r="C445" s="6">
        <v>12</v>
      </c>
      <c r="D445" s="6">
        <v>33.1</v>
      </c>
      <c r="E445" s="6">
        <v>16.8</v>
      </c>
      <c r="F445" s="6">
        <v>12.9</v>
      </c>
      <c r="G445" s="4">
        <v>-1</v>
      </c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" thickBot="1" x14ac:dyDescent="0.35">
      <c r="A446" s="5" t="s">
        <v>450</v>
      </c>
      <c r="B446" s="4"/>
      <c r="C446" s="6">
        <v>9.8613999999999997</v>
      </c>
      <c r="D446" s="6">
        <v>22.38</v>
      </c>
      <c r="E446" s="6">
        <v>29.815999999999999</v>
      </c>
      <c r="F446" s="6">
        <v>12.789</v>
      </c>
      <c r="G446" s="4">
        <v>-1</v>
      </c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" thickBot="1" x14ac:dyDescent="0.35">
      <c r="A447" s="5" t="s">
        <v>451</v>
      </c>
      <c r="B447" s="4"/>
      <c r="C447" s="6">
        <v>9.9</v>
      </c>
      <c r="D447" s="6">
        <v>22.4</v>
      </c>
      <c r="E447" s="6">
        <v>29.8</v>
      </c>
      <c r="F447" s="6">
        <v>12.8</v>
      </c>
      <c r="G447" s="4">
        <v>-1</v>
      </c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" thickBot="1" x14ac:dyDescent="0.35">
      <c r="A448" s="5" t="s">
        <v>452</v>
      </c>
      <c r="B448" s="4"/>
      <c r="C448" s="6">
        <v>8</v>
      </c>
      <c r="D448" s="6">
        <v>31.6</v>
      </c>
      <c r="E448" s="6">
        <v>26.8</v>
      </c>
      <c r="F448" s="6">
        <v>8.4</v>
      </c>
      <c r="G448" s="4">
        <v>-1</v>
      </c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" thickBot="1" x14ac:dyDescent="0.35">
      <c r="A449" s="5" t="s">
        <v>453</v>
      </c>
      <c r="B449" s="4"/>
      <c r="C449" s="6">
        <v>16.7</v>
      </c>
      <c r="D449" s="6">
        <v>33.5</v>
      </c>
      <c r="E449" s="6">
        <v>7.2</v>
      </c>
      <c r="F449" s="6">
        <v>17.399999999999999</v>
      </c>
      <c r="G449" s="4">
        <v>-1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" thickBot="1" x14ac:dyDescent="0.35">
      <c r="A450" s="5" t="s">
        <v>454</v>
      </c>
      <c r="B450" s="4"/>
      <c r="C450" s="6">
        <v>7.9949000000000003</v>
      </c>
      <c r="D450" s="6">
        <v>31.591999999999999</v>
      </c>
      <c r="E450" s="6">
        <v>26.844999999999999</v>
      </c>
      <c r="F450" s="6">
        <v>8.3507999999999996</v>
      </c>
      <c r="G450" s="4">
        <v>-1</v>
      </c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" thickBot="1" x14ac:dyDescent="0.35">
      <c r="A451" s="5" t="s">
        <v>455</v>
      </c>
      <c r="B451" s="4"/>
      <c r="C451" s="6">
        <v>16.733000000000001</v>
      </c>
      <c r="D451" s="6">
        <v>33.491</v>
      </c>
      <c r="E451" s="6">
        <v>7.1736000000000004</v>
      </c>
      <c r="F451" s="6">
        <v>17.373000000000001</v>
      </c>
      <c r="G451" s="4">
        <v>-1</v>
      </c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" thickBot="1" x14ac:dyDescent="0.35">
      <c r="A452" s="5" t="s">
        <v>456</v>
      </c>
      <c r="B452" s="4"/>
      <c r="C452" s="6">
        <v>15.683999999999999</v>
      </c>
      <c r="D452" s="6">
        <v>16.72</v>
      </c>
      <c r="E452" s="6">
        <v>22.379000000000001</v>
      </c>
      <c r="F452" s="6">
        <v>19.657</v>
      </c>
      <c r="G452" s="4">
        <v>-1</v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" thickBot="1" x14ac:dyDescent="0.35">
      <c r="A453" s="5" t="s">
        <v>457</v>
      </c>
      <c r="B453" s="4"/>
      <c r="C453" s="6">
        <v>15.7</v>
      </c>
      <c r="D453" s="6">
        <v>16.7</v>
      </c>
      <c r="E453" s="6">
        <v>22.4</v>
      </c>
      <c r="F453" s="6">
        <v>19.7</v>
      </c>
      <c r="G453" s="4">
        <v>-1</v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" thickBot="1" x14ac:dyDescent="0.35">
      <c r="A454" s="5" t="s">
        <v>458</v>
      </c>
      <c r="B454" s="4"/>
      <c r="C454" s="6">
        <v>18.288</v>
      </c>
      <c r="D454" s="6">
        <v>14.016</v>
      </c>
      <c r="E454" s="6">
        <v>18.41</v>
      </c>
      <c r="F454" s="6">
        <v>23.603999999999999</v>
      </c>
      <c r="G454" s="4">
        <v>-1</v>
      </c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" thickBot="1" x14ac:dyDescent="0.35">
      <c r="A455" s="5" t="s">
        <v>459</v>
      </c>
      <c r="B455" s="4"/>
      <c r="C455" s="6">
        <v>16.925999999999998</v>
      </c>
      <c r="D455" s="6">
        <v>33.652000000000001</v>
      </c>
      <c r="E455" s="6">
        <v>6.2263999999999999</v>
      </c>
      <c r="F455" s="6">
        <v>17.507000000000001</v>
      </c>
      <c r="G455" s="4">
        <v>-1</v>
      </c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" thickBot="1" x14ac:dyDescent="0.35">
      <c r="A456" s="5" t="s">
        <v>460</v>
      </c>
      <c r="B456" s="4"/>
      <c r="C456" s="6">
        <v>16.899999999999999</v>
      </c>
      <c r="D456" s="6">
        <v>33.700000000000003</v>
      </c>
      <c r="E456" s="6">
        <v>6.2</v>
      </c>
      <c r="F456" s="6">
        <v>17.5</v>
      </c>
      <c r="G456" s="4">
        <v>-1</v>
      </c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" thickBot="1" x14ac:dyDescent="0.35">
      <c r="A457" s="5" t="s">
        <v>461</v>
      </c>
      <c r="B457" s="4"/>
      <c r="C457" s="6">
        <v>18.3</v>
      </c>
      <c r="D457" s="6">
        <v>14</v>
      </c>
      <c r="E457" s="6">
        <v>18.399999999999999</v>
      </c>
      <c r="F457" s="6">
        <v>23.6</v>
      </c>
      <c r="G457" s="4">
        <v>-1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" thickBot="1" x14ac:dyDescent="0.35">
      <c r="A458" s="5" t="s">
        <v>462</v>
      </c>
      <c r="B458" s="4"/>
      <c r="C458" s="6">
        <v>16.989000000000001</v>
      </c>
      <c r="D458" s="6">
        <v>15.305999999999999</v>
      </c>
      <c r="E458" s="6">
        <v>20.370999999999999</v>
      </c>
      <c r="F458" s="6">
        <v>21.536999999999999</v>
      </c>
      <c r="G458" s="4">
        <v>-1</v>
      </c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" thickBot="1" x14ac:dyDescent="0.35">
      <c r="A459" s="5" t="s">
        <v>463</v>
      </c>
      <c r="B459" s="4"/>
      <c r="C459" s="6">
        <v>17</v>
      </c>
      <c r="D459" s="6">
        <v>15.3</v>
      </c>
      <c r="E459" s="6">
        <v>20.399999999999999</v>
      </c>
      <c r="F459" s="6">
        <v>21.5</v>
      </c>
      <c r="G459" s="4">
        <v>-1</v>
      </c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" thickBot="1" x14ac:dyDescent="0.35">
      <c r="A460" s="5" t="s">
        <v>464</v>
      </c>
      <c r="B460" s="4"/>
      <c r="C460" s="6">
        <v>10.3</v>
      </c>
      <c r="D460" s="6">
        <v>34.5</v>
      </c>
      <c r="E460" s="6">
        <v>18.5</v>
      </c>
      <c r="F460" s="6">
        <v>10.8</v>
      </c>
      <c r="G460" s="4">
        <v>-1</v>
      </c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" thickBot="1" x14ac:dyDescent="0.35">
      <c r="A461" s="5" t="s">
        <v>465</v>
      </c>
      <c r="B461" s="4"/>
      <c r="C461" s="6">
        <v>10.34</v>
      </c>
      <c r="D461" s="6">
        <v>34.517000000000003</v>
      </c>
      <c r="E461" s="6">
        <v>18.489000000000001</v>
      </c>
      <c r="F461" s="6">
        <v>10.81</v>
      </c>
      <c r="G461" s="4">
        <v>-1</v>
      </c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" thickBot="1" x14ac:dyDescent="0.35">
      <c r="A462" s="5" t="s">
        <v>466</v>
      </c>
      <c r="B462" s="4"/>
      <c r="C462" s="6">
        <v>18.518518520000001</v>
      </c>
      <c r="D462" s="6">
        <v>18.518518520000001</v>
      </c>
      <c r="E462" s="6">
        <v>18.518518520000001</v>
      </c>
      <c r="F462" s="6">
        <v>18.518518520000001</v>
      </c>
      <c r="G462" s="4">
        <v>-1</v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" thickBot="1" x14ac:dyDescent="0.35">
      <c r="A463" s="5" t="s">
        <v>467</v>
      </c>
      <c r="B463" s="4"/>
      <c r="C463" s="6">
        <v>12.518000000000001</v>
      </c>
      <c r="D463" s="6">
        <v>34.228000000000002</v>
      </c>
      <c r="E463" s="6">
        <v>14.225</v>
      </c>
      <c r="F463" s="6">
        <v>13.067</v>
      </c>
      <c r="G463" s="4">
        <v>-1</v>
      </c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" thickBot="1" x14ac:dyDescent="0.35">
      <c r="A464" s="5" t="s">
        <v>468</v>
      </c>
      <c r="B464" s="4"/>
      <c r="C464" s="6">
        <v>12.5</v>
      </c>
      <c r="D464" s="6">
        <v>34.200000000000003</v>
      </c>
      <c r="E464" s="6">
        <v>14.2</v>
      </c>
      <c r="F464" s="6">
        <v>13.1</v>
      </c>
      <c r="G464" s="4">
        <v>-1</v>
      </c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" thickBot="1" x14ac:dyDescent="0.35">
      <c r="A465" s="5" t="s">
        <v>469</v>
      </c>
      <c r="B465" s="4"/>
      <c r="C465" s="6">
        <v>12.9</v>
      </c>
      <c r="D465" s="6">
        <v>35</v>
      </c>
      <c r="E465" s="6">
        <v>12.3</v>
      </c>
      <c r="F465" s="6">
        <v>13.8</v>
      </c>
      <c r="G465" s="4">
        <v>-1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" thickBot="1" x14ac:dyDescent="0.35">
      <c r="A466" s="5" t="s">
        <v>470</v>
      </c>
      <c r="B466" s="4"/>
      <c r="C466" s="6">
        <v>12.868</v>
      </c>
      <c r="D466" s="6">
        <v>35.027999999999999</v>
      </c>
      <c r="E466" s="6">
        <v>12.275</v>
      </c>
      <c r="F466" s="6">
        <v>13.81</v>
      </c>
      <c r="G466" s="4">
        <v>-1</v>
      </c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" thickBot="1" x14ac:dyDescent="0.35">
      <c r="A467" s="5" t="s">
        <v>471</v>
      </c>
      <c r="B467" s="4"/>
      <c r="C467" s="6">
        <v>8.4</v>
      </c>
      <c r="D467" s="6">
        <v>33.6</v>
      </c>
      <c r="E467" s="6">
        <v>23.1</v>
      </c>
      <c r="F467" s="6">
        <v>8.8000000000000007</v>
      </c>
      <c r="G467" s="4">
        <v>-1</v>
      </c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" thickBot="1" x14ac:dyDescent="0.35">
      <c r="A468" s="5" t="s">
        <v>472</v>
      </c>
      <c r="B468" s="4"/>
      <c r="C468" s="6">
        <v>8.4480000000000004</v>
      </c>
      <c r="D468" s="6">
        <v>33.637999999999998</v>
      </c>
      <c r="E468" s="6">
        <v>23.053999999999998</v>
      </c>
      <c r="F468" s="6">
        <v>8.8201999999999998</v>
      </c>
      <c r="G468" s="4">
        <v>-1</v>
      </c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" thickBot="1" x14ac:dyDescent="0.35">
      <c r="A469" s="5" t="s">
        <v>473</v>
      </c>
      <c r="B469" s="4"/>
      <c r="C469" s="6">
        <v>13.5</v>
      </c>
      <c r="D469" s="6">
        <v>35.9</v>
      </c>
      <c r="E469" s="6">
        <v>10.4</v>
      </c>
      <c r="F469" s="6">
        <v>14</v>
      </c>
      <c r="G469" s="4">
        <v>-1</v>
      </c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" thickBot="1" x14ac:dyDescent="0.35">
      <c r="A470" s="5" t="s">
        <v>474</v>
      </c>
      <c r="B470" s="4"/>
      <c r="C470" s="6">
        <v>13.452</v>
      </c>
      <c r="D470" s="6">
        <v>35.884</v>
      </c>
      <c r="E470" s="6">
        <v>10.356</v>
      </c>
      <c r="F470" s="6">
        <v>13.973000000000001</v>
      </c>
      <c r="G470" s="4">
        <v>-1</v>
      </c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" thickBot="1" x14ac:dyDescent="0.35">
      <c r="A471" s="5" t="s">
        <v>475</v>
      </c>
      <c r="B471" s="4"/>
      <c r="C471" s="6">
        <v>11.054</v>
      </c>
      <c r="D471" s="6">
        <v>20.613</v>
      </c>
      <c r="E471" s="6">
        <v>27.728999999999999</v>
      </c>
      <c r="F471" s="6">
        <v>14.204000000000001</v>
      </c>
      <c r="G471" s="4">
        <v>-1</v>
      </c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" thickBot="1" x14ac:dyDescent="0.35">
      <c r="A472" s="5" t="s">
        <v>476</v>
      </c>
      <c r="B472" s="4"/>
      <c r="C472" s="6">
        <v>11.1</v>
      </c>
      <c r="D472" s="6">
        <v>20.6</v>
      </c>
      <c r="E472" s="6">
        <v>27.7</v>
      </c>
      <c r="F472" s="6">
        <v>14.2</v>
      </c>
      <c r="G472" s="4">
        <v>-1</v>
      </c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" thickBot="1" x14ac:dyDescent="0.35">
      <c r="A473" s="5" t="s">
        <v>477</v>
      </c>
      <c r="B473" s="4"/>
      <c r="C473" s="6">
        <v>6.5</v>
      </c>
      <c r="D473" s="6">
        <v>24.9</v>
      </c>
      <c r="E473" s="6">
        <v>33.5</v>
      </c>
      <c r="F473" s="6">
        <v>8.6</v>
      </c>
      <c r="G473" s="4">
        <v>-1</v>
      </c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" thickBot="1" x14ac:dyDescent="0.35">
      <c r="A474" s="5" t="s">
        <v>478</v>
      </c>
      <c r="B474" s="4"/>
      <c r="C474" s="6">
        <v>6.5465</v>
      </c>
      <c r="D474" s="6">
        <v>24.89</v>
      </c>
      <c r="E474" s="6">
        <v>33.505000000000003</v>
      </c>
      <c r="F474" s="6">
        <v>8.6105</v>
      </c>
      <c r="G474" s="4">
        <v>-1</v>
      </c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" thickBot="1" x14ac:dyDescent="0.35">
      <c r="A475" s="5" t="s">
        <v>479</v>
      </c>
      <c r="B475" s="4"/>
      <c r="C475" s="6">
        <v>8.5176999999999996</v>
      </c>
      <c r="D475" s="6">
        <v>23.091999999999999</v>
      </c>
      <c r="E475" s="6">
        <v>31.01</v>
      </c>
      <c r="F475" s="6">
        <v>10.922000000000001</v>
      </c>
      <c r="G475" s="4">
        <v>-1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" thickBot="1" x14ac:dyDescent="0.35">
      <c r="A476" s="5" t="s">
        <v>480</v>
      </c>
      <c r="B476" s="4"/>
      <c r="C476" s="6">
        <v>7.1436000000000002</v>
      </c>
      <c r="D476" s="6">
        <v>34.340000000000003</v>
      </c>
      <c r="E476" s="6">
        <v>24.422000000000001</v>
      </c>
      <c r="F476" s="6">
        <v>7.6075999999999997</v>
      </c>
      <c r="G476" s="4">
        <v>-1</v>
      </c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" thickBot="1" x14ac:dyDescent="0.35">
      <c r="A477" s="5" t="s">
        <v>481</v>
      </c>
      <c r="B477" s="4"/>
      <c r="C477" s="6">
        <v>8.5</v>
      </c>
      <c r="D477" s="6">
        <v>23.1</v>
      </c>
      <c r="E477" s="6">
        <v>31</v>
      </c>
      <c r="F477" s="6">
        <v>10.9</v>
      </c>
      <c r="G477" s="4">
        <v>-1</v>
      </c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" thickBot="1" x14ac:dyDescent="0.35">
      <c r="A478" s="5" t="s">
        <v>482</v>
      </c>
      <c r="B478" s="4"/>
      <c r="C478" s="6">
        <v>20.6</v>
      </c>
      <c r="D478" s="6">
        <v>11.4</v>
      </c>
      <c r="E478" s="6">
        <v>15.2</v>
      </c>
      <c r="F478" s="6">
        <v>26.3</v>
      </c>
      <c r="G478" s="4">
        <v>-1</v>
      </c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" thickBot="1" x14ac:dyDescent="0.35">
      <c r="A479" s="5" t="s">
        <v>483</v>
      </c>
      <c r="B479" s="4"/>
      <c r="C479" s="6">
        <v>7.1</v>
      </c>
      <c r="D479" s="6">
        <v>34.299999999999997</v>
      </c>
      <c r="E479" s="6">
        <v>24.4</v>
      </c>
      <c r="F479" s="6">
        <v>7.6</v>
      </c>
      <c r="G479" s="4">
        <v>-1</v>
      </c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" thickBot="1" x14ac:dyDescent="0.35">
      <c r="A480" s="5" t="s">
        <v>484</v>
      </c>
      <c r="B480" s="4"/>
      <c r="C480" s="6">
        <v>20.602</v>
      </c>
      <c r="D480" s="6">
        <v>11.446999999999999</v>
      </c>
      <c r="E480" s="6">
        <v>15.157</v>
      </c>
      <c r="F480" s="6">
        <v>26.256</v>
      </c>
      <c r="G480" s="4">
        <v>-1</v>
      </c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" thickBot="1" x14ac:dyDescent="0.35">
      <c r="A481" s="5" t="s">
        <v>485</v>
      </c>
      <c r="B481" s="4"/>
      <c r="C481" s="6">
        <v>8.5</v>
      </c>
      <c r="D481" s="6">
        <v>35.799999999999997</v>
      </c>
      <c r="E481" s="6">
        <v>19.7</v>
      </c>
      <c r="F481" s="6">
        <v>9.3000000000000007</v>
      </c>
      <c r="G481" s="4">
        <v>-1</v>
      </c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" thickBot="1" x14ac:dyDescent="0.35">
      <c r="A482" s="5" t="s">
        <v>486</v>
      </c>
      <c r="B482" s="4"/>
      <c r="C482" s="6">
        <v>8.5182000000000002</v>
      </c>
      <c r="D482" s="6">
        <v>35.834000000000003</v>
      </c>
      <c r="E482" s="6">
        <v>19.722000000000001</v>
      </c>
      <c r="F482" s="6">
        <v>9.2931000000000008</v>
      </c>
      <c r="G482" s="4">
        <v>-1</v>
      </c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" thickBot="1" x14ac:dyDescent="0.35">
      <c r="A483" s="5" t="s">
        <v>487</v>
      </c>
      <c r="B483" s="4"/>
      <c r="C483" s="6">
        <v>13.9</v>
      </c>
      <c r="D483" s="6">
        <v>36</v>
      </c>
      <c r="E483" s="6">
        <v>9</v>
      </c>
      <c r="F483" s="6">
        <v>14.4</v>
      </c>
      <c r="G483" s="4">
        <v>-1</v>
      </c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" thickBot="1" x14ac:dyDescent="0.35">
      <c r="A484" s="5" t="s">
        <v>488</v>
      </c>
      <c r="B484" s="4"/>
      <c r="C484" s="6">
        <v>13.872999999999999</v>
      </c>
      <c r="D484" s="6">
        <v>36.006</v>
      </c>
      <c r="E484" s="6">
        <v>9.0012000000000008</v>
      </c>
      <c r="F484" s="6">
        <v>14.419</v>
      </c>
      <c r="G484" s="4">
        <v>-1</v>
      </c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" thickBot="1" x14ac:dyDescent="0.35">
      <c r="A485" s="5" t="s">
        <v>489</v>
      </c>
      <c r="B485" s="4"/>
      <c r="C485" s="6">
        <v>13.962</v>
      </c>
      <c r="D485" s="6">
        <v>36.715000000000003</v>
      </c>
      <c r="E485" s="6">
        <v>7.7866999999999997</v>
      </c>
      <c r="F485" s="6">
        <v>14.648</v>
      </c>
      <c r="G485" s="4">
        <v>-1</v>
      </c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" thickBot="1" x14ac:dyDescent="0.35">
      <c r="A486" s="5" t="s">
        <v>490</v>
      </c>
      <c r="B486" s="4"/>
      <c r="C486" s="6">
        <v>14</v>
      </c>
      <c r="D486" s="6">
        <v>36.700000000000003</v>
      </c>
      <c r="E486" s="6">
        <v>7.8</v>
      </c>
      <c r="F486" s="6">
        <v>14.6</v>
      </c>
      <c r="G486" s="4">
        <v>-1</v>
      </c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" thickBot="1" x14ac:dyDescent="0.35">
      <c r="A487" s="5" t="s">
        <v>491</v>
      </c>
      <c r="B487" s="4"/>
      <c r="C487" s="6">
        <v>14.4</v>
      </c>
      <c r="D487" s="6">
        <v>36.9</v>
      </c>
      <c r="E487" s="6">
        <v>6.8</v>
      </c>
      <c r="F487" s="6">
        <v>15</v>
      </c>
      <c r="G487" s="4">
        <v>-1</v>
      </c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" thickBot="1" x14ac:dyDescent="0.35">
      <c r="A488" s="5" t="s">
        <v>492</v>
      </c>
      <c r="B488" s="4"/>
      <c r="C488" s="6">
        <v>14.422000000000001</v>
      </c>
      <c r="D488" s="6">
        <v>36.872</v>
      </c>
      <c r="E488" s="6">
        <v>6.8079000000000001</v>
      </c>
      <c r="F488" s="6">
        <v>14.988</v>
      </c>
      <c r="G488" s="4">
        <v>-1</v>
      </c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" thickBot="1" x14ac:dyDescent="0.35">
      <c r="A489" s="5" t="s">
        <v>493</v>
      </c>
      <c r="B489" s="4"/>
      <c r="C489" s="6">
        <v>10.388</v>
      </c>
      <c r="D489" s="6">
        <v>35.837000000000003</v>
      </c>
      <c r="E489" s="6">
        <v>15.648999999999999</v>
      </c>
      <c r="F489" s="6">
        <v>11.164</v>
      </c>
      <c r="G489" s="4">
        <v>-1</v>
      </c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" thickBot="1" x14ac:dyDescent="0.35">
      <c r="A490" s="5" t="s">
        <v>494</v>
      </c>
      <c r="B490" s="4"/>
      <c r="C490" s="6">
        <v>10.4</v>
      </c>
      <c r="D490" s="6">
        <v>35.799999999999997</v>
      </c>
      <c r="E490" s="6">
        <v>15.6</v>
      </c>
      <c r="F490" s="6">
        <v>11.2</v>
      </c>
      <c r="G490" s="4">
        <v>-1</v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" thickBot="1" x14ac:dyDescent="0.35">
      <c r="A491" s="5" t="s">
        <v>495</v>
      </c>
      <c r="B491" s="4"/>
      <c r="C491" s="6">
        <v>19.2</v>
      </c>
      <c r="D491" s="6">
        <v>12.6</v>
      </c>
      <c r="E491" s="6">
        <v>16.600000000000001</v>
      </c>
      <c r="F491" s="6">
        <v>24.5</v>
      </c>
      <c r="G491" s="4">
        <v>-1</v>
      </c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" thickBot="1" x14ac:dyDescent="0.35">
      <c r="A492" s="5" t="s">
        <v>496</v>
      </c>
      <c r="B492" s="4"/>
      <c r="C492" s="6">
        <v>19.247</v>
      </c>
      <c r="D492" s="6">
        <v>12.581</v>
      </c>
      <c r="E492" s="6">
        <v>16.579999999999998</v>
      </c>
      <c r="F492" s="6">
        <v>24.462</v>
      </c>
      <c r="G492" s="4">
        <v>-1</v>
      </c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" thickBot="1" x14ac:dyDescent="0.35">
      <c r="A493" s="5" t="s">
        <v>497</v>
      </c>
      <c r="B493" s="4"/>
      <c r="C493" s="6">
        <v>18.2</v>
      </c>
      <c r="D493" s="6">
        <v>18.2</v>
      </c>
      <c r="E493" s="6">
        <v>18.2</v>
      </c>
      <c r="F493" s="6">
        <v>18.2</v>
      </c>
      <c r="G493" s="4">
        <v>-1</v>
      </c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" thickBot="1" x14ac:dyDescent="0.35">
      <c r="A494" s="5" t="s">
        <v>498</v>
      </c>
      <c r="B494" s="4"/>
      <c r="C494" s="6">
        <v>18.18181818</v>
      </c>
      <c r="D494" s="6">
        <v>18.18181818</v>
      </c>
      <c r="E494" s="6">
        <v>18.18181818</v>
      </c>
      <c r="F494" s="6">
        <v>18.18181818</v>
      </c>
      <c r="G494" s="4">
        <v>-1</v>
      </c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" thickBot="1" x14ac:dyDescent="0.35">
      <c r="A495" s="5" t="s">
        <v>499</v>
      </c>
      <c r="B495" s="4"/>
      <c r="C495" s="6">
        <v>7.4846000000000004</v>
      </c>
      <c r="D495" s="6">
        <v>36.348999999999997</v>
      </c>
      <c r="E495" s="6">
        <v>21.094000000000001</v>
      </c>
      <c r="F495" s="6">
        <v>7.7773000000000003</v>
      </c>
      <c r="G495" s="4">
        <v>-1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" thickBot="1" x14ac:dyDescent="0.35">
      <c r="A496" s="5" t="s">
        <v>500</v>
      </c>
      <c r="B496" s="4"/>
      <c r="C496" s="6">
        <v>7.5</v>
      </c>
      <c r="D496" s="6">
        <v>36.299999999999997</v>
      </c>
      <c r="E496" s="6">
        <v>21.1</v>
      </c>
      <c r="F496" s="6">
        <v>7.8</v>
      </c>
      <c r="G496" s="4">
        <v>-1</v>
      </c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" thickBot="1" x14ac:dyDescent="0.35">
      <c r="A497" s="5" t="s">
        <v>501</v>
      </c>
      <c r="B497" s="4"/>
      <c r="C497" s="6">
        <v>10.858000000000001</v>
      </c>
      <c r="D497" s="6">
        <v>37.183</v>
      </c>
      <c r="E497" s="6">
        <v>13.087</v>
      </c>
      <c r="F497" s="6">
        <v>11.401999999999999</v>
      </c>
      <c r="G497" s="4">
        <v>-1</v>
      </c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" thickBot="1" x14ac:dyDescent="0.35">
      <c r="A498" s="5" t="s">
        <v>502</v>
      </c>
      <c r="B498" s="4"/>
      <c r="C498" s="6">
        <v>10.9</v>
      </c>
      <c r="D498" s="6">
        <v>37.200000000000003</v>
      </c>
      <c r="E498" s="6">
        <v>13.1</v>
      </c>
      <c r="F498" s="6">
        <v>11.4</v>
      </c>
      <c r="G498" s="4">
        <v>-1</v>
      </c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" thickBot="1" x14ac:dyDescent="0.35">
      <c r="A499" s="5" t="s">
        <v>503</v>
      </c>
      <c r="B499" s="4"/>
      <c r="C499" s="6">
        <v>12.2</v>
      </c>
      <c r="D499" s="6">
        <v>19</v>
      </c>
      <c r="E499" s="6">
        <v>25.5</v>
      </c>
      <c r="F499" s="6">
        <v>15.7</v>
      </c>
      <c r="G499" s="4">
        <v>-1</v>
      </c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" thickBot="1" x14ac:dyDescent="0.35">
      <c r="A500" s="5" t="s">
        <v>504</v>
      </c>
      <c r="B500" s="4"/>
      <c r="C500" s="6">
        <v>12.218</v>
      </c>
      <c r="D500" s="6">
        <v>18.992999999999999</v>
      </c>
      <c r="E500" s="6">
        <v>25.477</v>
      </c>
      <c r="F500" s="6">
        <v>15.683999999999999</v>
      </c>
      <c r="G500" s="4">
        <v>-1</v>
      </c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" thickBot="1" x14ac:dyDescent="0.35">
      <c r="A501" s="5" t="s">
        <v>505</v>
      </c>
      <c r="B501" s="4"/>
      <c r="C501" s="6">
        <v>8.9</v>
      </c>
      <c r="D501" s="6">
        <v>37.200000000000003</v>
      </c>
      <c r="E501" s="6">
        <v>16.8</v>
      </c>
      <c r="F501" s="6">
        <v>9.3000000000000007</v>
      </c>
      <c r="G501" s="4">
        <v>-1</v>
      </c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" thickBot="1" x14ac:dyDescent="0.35">
      <c r="A502" s="5" t="s">
        <v>506</v>
      </c>
      <c r="B502" s="4"/>
      <c r="C502" s="6">
        <v>8.9296000000000006</v>
      </c>
      <c r="D502" s="6">
        <v>37.182000000000002</v>
      </c>
      <c r="E502" s="6">
        <v>16.771999999999998</v>
      </c>
      <c r="F502" s="6">
        <v>9.2822999999999993</v>
      </c>
      <c r="G502" s="4">
        <v>-1</v>
      </c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" thickBot="1" x14ac:dyDescent="0.35">
      <c r="A503" s="5" t="s">
        <v>507</v>
      </c>
      <c r="B503" s="4"/>
      <c r="C503" s="6">
        <v>9.4</v>
      </c>
      <c r="D503" s="6">
        <v>21.4</v>
      </c>
      <c r="E503" s="6">
        <v>29</v>
      </c>
      <c r="F503" s="6">
        <v>12.1</v>
      </c>
      <c r="G503" s="4">
        <v>-1</v>
      </c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" thickBot="1" x14ac:dyDescent="0.35">
      <c r="A504" s="5" t="s">
        <v>508</v>
      </c>
      <c r="B504" s="4"/>
      <c r="C504" s="6">
        <v>9.3671000000000006</v>
      </c>
      <c r="D504" s="6">
        <v>21.439</v>
      </c>
      <c r="E504" s="6">
        <v>28.984999999999999</v>
      </c>
      <c r="F504" s="6">
        <v>12.095000000000001</v>
      </c>
      <c r="G504" s="4">
        <v>-1</v>
      </c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" thickBot="1" x14ac:dyDescent="0.35">
      <c r="A505" s="5" t="s">
        <v>509</v>
      </c>
      <c r="B505" s="4"/>
      <c r="C505" s="6">
        <v>5.8136999999999999</v>
      </c>
      <c r="D505" s="6">
        <v>25.006</v>
      </c>
      <c r="E505" s="6">
        <v>33.438000000000002</v>
      </c>
      <c r="F505" s="6">
        <v>7.5305</v>
      </c>
      <c r="G505" s="4">
        <v>-1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" thickBot="1" x14ac:dyDescent="0.35">
      <c r="A506" s="5" t="s">
        <v>510</v>
      </c>
      <c r="B506" s="4"/>
      <c r="C506" s="6">
        <v>5.8</v>
      </c>
      <c r="D506" s="6">
        <v>25</v>
      </c>
      <c r="E506" s="6">
        <v>33.4</v>
      </c>
      <c r="F506" s="6">
        <v>7.5</v>
      </c>
      <c r="G506" s="4">
        <v>-1</v>
      </c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" thickBot="1" x14ac:dyDescent="0.35">
      <c r="A507" s="5" t="s">
        <v>511</v>
      </c>
      <c r="B507" s="4"/>
      <c r="C507" s="6">
        <v>11</v>
      </c>
      <c r="D507" s="6">
        <v>37.9</v>
      </c>
      <c r="E507" s="6">
        <v>11.2</v>
      </c>
      <c r="F507" s="6">
        <v>11.6</v>
      </c>
      <c r="G507" s="4">
        <v>-1</v>
      </c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" thickBot="1" x14ac:dyDescent="0.35">
      <c r="A508" s="5" t="s">
        <v>512</v>
      </c>
      <c r="B508" s="4"/>
      <c r="C508" s="6">
        <v>10.978</v>
      </c>
      <c r="D508" s="6">
        <v>37.884</v>
      </c>
      <c r="E508" s="6">
        <v>11.159000000000001</v>
      </c>
      <c r="F508" s="6">
        <v>11.64</v>
      </c>
      <c r="G508" s="4">
        <v>-1</v>
      </c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" thickBot="1" x14ac:dyDescent="0.35">
      <c r="A509" s="5" t="s">
        <v>513</v>
      </c>
      <c r="B509" s="4"/>
      <c r="C509" s="6">
        <v>7.6</v>
      </c>
      <c r="D509" s="6">
        <v>38</v>
      </c>
      <c r="E509" s="6">
        <v>18</v>
      </c>
      <c r="F509" s="6">
        <v>8</v>
      </c>
      <c r="G509" s="4">
        <v>-1</v>
      </c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" thickBot="1" x14ac:dyDescent="0.35">
      <c r="A510" s="5" t="s">
        <v>514</v>
      </c>
      <c r="B510" s="4"/>
      <c r="C510" s="6">
        <v>7.5602999999999998</v>
      </c>
      <c r="D510" s="6">
        <v>37.969000000000001</v>
      </c>
      <c r="E510" s="6">
        <v>18.016999999999999</v>
      </c>
      <c r="F510" s="6">
        <v>8.0056999999999992</v>
      </c>
      <c r="G510" s="4">
        <v>-1</v>
      </c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" thickBot="1" x14ac:dyDescent="0.35">
      <c r="A511" s="5" t="s">
        <v>515</v>
      </c>
      <c r="B511" s="4"/>
      <c r="C511" s="6">
        <v>13.352</v>
      </c>
      <c r="D511" s="6">
        <v>17.603000000000002</v>
      </c>
      <c r="E511" s="6">
        <v>23.497</v>
      </c>
      <c r="F511" s="6">
        <v>17.081</v>
      </c>
      <c r="G511" s="4">
        <v>-1</v>
      </c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" thickBot="1" x14ac:dyDescent="0.35">
      <c r="A512" s="5" t="s">
        <v>516</v>
      </c>
      <c r="B512" s="4"/>
      <c r="C512" s="6">
        <v>13.4</v>
      </c>
      <c r="D512" s="6">
        <v>17.600000000000001</v>
      </c>
      <c r="E512" s="6">
        <v>23.5</v>
      </c>
      <c r="F512" s="6">
        <v>17.100000000000001</v>
      </c>
      <c r="G512" s="4">
        <v>-1</v>
      </c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" thickBot="1" x14ac:dyDescent="0.35">
      <c r="A513" s="5" t="s">
        <v>517</v>
      </c>
      <c r="B513" s="4"/>
      <c r="C513" s="6">
        <v>7.4227999999999996</v>
      </c>
      <c r="D513" s="6">
        <v>23.312999999999999</v>
      </c>
      <c r="E513" s="6">
        <v>31.087</v>
      </c>
      <c r="F513" s="6">
        <v>9.6867000000000001</v>
      </c>
      <c r="G513" s="4">
        <v>-1</v>
      </c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" thickBot="1" x14ac:dyDescent="0.35">
      <c r="A514" s="5" t="s">
        <v>518</v>
      </c>
      <c r="B514" s="4"/>
      <c r="C514" s="6">
        <v>7.4</v>
      </c>
      <c r="D514" s="6">
        <v>23.3</v>
      </c>
      <c r="E514" s="6">
        <v>31.1</v>
      </c>
      <c r="F514" s="6">
        <v>9.6999999999999993</v>
      </c>
      <c r="G514" s="4">
        <v>-1</v>
      </c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" thickBot="1" x14ac:dyDescent="0.35">
      <c r="A515" s="5" t="s">
        <v>519</v>
      </c>
      <c r="B515" s="4"/>
      <c r="C515" s="6">
        <v>17.85714286</v>
      </c>
      <c r="D515" s="6">
        <v>17.85714286</v>
      </c>
      <c r="E515" s="6">
        <v>17.85714286</v>
      </c>
      <c r="F515" s="6">
        <v>17.85714286</v>
      </c>
      <c r="G515" s="4">
        <v>-1</v>
      </c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" thickBot="1" x14ac:dyDescent="0.35">
      <c r="A516" s="5" t="s">
        <v>520</v>
      </c>
      <c r="B516" s="4"/>
      <c r="C516" s="6">
        <v>11.432</v>
      </c>
      <c r="D516" s="6">
        <v>38.573999999999998</v>
      </c>
      <c r="E516" s="6">
        <v>9.4210999999999991</v>
      </c>
      <c r="F516" s="6">
        <v>11.798999999999999</v>
      </c>
      <c r="G516" s="4">
        <v>-1</v>
      </c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" thickBot="1" x14ac:dyDescent="0.35">
      <c r="A517" s="5" t="s">
        <v>521</v>
      </c>
      <c r="B517" s="4"/>
      <c r="C517" s="6">
        <v>14.848000000000001</v>
      </c>
      <c r="D517" s="6">
        <v>16.213999999999999</v>
      </c>
      <c r="E517" s="6">
        <v>21.66</v>
      </c>
      <c r="F517" s="6">
        <v>18.481999999999999</v>
      </c>
      <c r="G517" s="4">
        <v>-1</v>
      </c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" thickBot="1" x14ac:dyDescent="0.35">
      <c r="A518" s="5" t="s">
        <v>522</v>
      </c>
      <c r="B518" s="4"/>
      <c r="C518" s="6">
        <v>11.4</v>
      </c>
      <c r="D518" s="6">
        <v>38.6</v>
      </c>
      <c r="E518" s="6">
        <v>9.4</v>
      </c>
      <c r="F518" s="6">
        <v>11.8</v>
      </c>
      <c r="G518" s="4">
        <v>-1</v>
      </c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" thickBot="1" x14ac:dyDescent="0.35">
      <c r="A519" s="5" t="s">
        <v>523</v>
      </c>
      <c r="B519" s="4"/>
      <c r="C519" s="6">
        <v>14.8</v>
      </c>
      <c r="D519" s="6">
        <v>16.2</v>
      </c>
      <c r="E519" s="6">
        <v>21.7</v>
      </c>
      <c r="F519" s="6">
        <v>18.5</v>
      </c>
      <c r="G519" s="4">
        <v>-1</v>
      </c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" thickBot="1" x14ac:dyDescent="0.35">
      <c r="A520" s="5" t="s">
        <v>524</v>
      </c>
      <c r="B520" s="4"/>
      <c r="C520" s="6">
        <v>12</v>
      </c>
      <c r="D520" s="6">
        <v>39.6</v>
      </c>
      <c r="E520" s="6">
        <v>7.1</v>
      </c>
      <c r="F520" s="6">
        <v>12.4</v>
      </c>
      <c r="G520" s="4">
        <v>-1</v>
      </c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" thickBot="1" x14ac:dyDescent="0.35">
      <c r="A521" s="5" t="s">
        <v>525</v>
      </c>
      <c r="B521" s="4"/>
      <c r="C521" s="6">
        <v>9</v>
      </c>
      <c r="D521" s="6">
        <v>38.700000000000003</v>
      </c>
      <c r="E521" s="6">
        <v>13.9</v>
      </c>
      <c r="F521" s="6">
        <v>9.4</v>
      </c>
      <c r="G521" s="4">
        <v>-1</v>
      </c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" thickBot="1" x14ac:dyDescent="0.35">
      <c r="A522" s="5" t="s">
        <v>526</v>
      </c>
      <c r="B522" s="4"/>
      <c r="C522" s="6">
        <v>8.9941999999999993</v>
      </c>
      <c r="D522" s="6">
        <v>38.743000000000002</v>
      </c>
      <c r="E522" s="6">
        <v>13.923999999999999</v>
      </c>
      <c r="F522" s="6">
        <v>9.3988999999999994</v>
      </c>
      <c r="G522" s="4">
        <v>-1</v>
      </c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" thickBot="1" x14ac:dyDescent="0.35">
      <c r="A523" s="5" t="s">
        <v>527</v>
      </c>
      <c r="B523" s="4"/>
      <c r="C523" s="6">
        <v>11.95</v>
      </c>
      <c r="D523" s="6">
        <v>39.558</v>
      </c>
      <c r="E523" s="6">
        <v>7.1113</v>
      </c>
      <c r="F523" s="6">
        <v>12.433</v>
      </c>
      <c r="G523" s="4">
        <v>-1</v>
      </c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" thickBot="1" x14ac:dyDescent="0.35">
      <c r="A524" s="5" t="s">
        <v>528</v>
      </c>
      <c r="B524" s="4"/>
      <c r="C524" s="6">
        <v>11.593999999999999</v>
      </c>
      <c r="D524" s="6">
        <v>39.122999999999998</v>
      </c>
      <c r="E524" s="6">
        <v>8.2220999999999993</v>
      </c>
      <c r="F524" s="6">
        <v>12.08</v>
      </c>
      <c r="G524" s="4">
        <v>-1</v>
      </c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" thickBot="1" x14ac:dyDescent="0.35">
      <c r="A525" s="5" t="s">
        <v>529</v>
      </c>
      <c r="B525" s="4"/>
      <c r="C525" s="6">
        <v>11.6</v>
      </c>
      <c r="D525" s="6">
        <v>39.1</v>
      </c>
      <c r="E525" s="6">
        <v>8.1999999999999993</v>
      </c>
      <c r="F525" s="6">
        <v>12.1</v>
      </c>
      <c r="G525" s="4">
        <v>-1</v>
      </c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" thickBot="1" x14ac:dyDescent="0.35">
      <c r="A526" s="5" t="s">
        <v>530</v>
      </c>
      <c r="B526" s="4"/>
      <c r="C526" s="6">
        <v>10.345000000000001</v>
      </c>
      <c r="D526" s="6">
        <v>19.992999999999999</v>
      </c>
      <c r="E526" s="6">
        <v>26.928999999999998</v>
      </c>
      <c r="F526" s="6">
        <v>13.553000000000001</v>
      </c>
      <c r="G526" s="4">
        <v>-1</v>
      </c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" thickBot="1" x14ac:dyDescent="0.35">
      <c r="A527" s="5" t="s">
        <v>531</v>
      </c>
      <c r="B527" s="4"/>
      <c r="C527" s="6">
        <v>12.244999999999999</v>
      </c>
      <c r="D527" s="6">
        <v>39.75</v>
      </c>
      <c r="E527" s="6">
        <v>6.1695000000000002</v>
      </c>
      <c r="F527" s="6">
        <v>12.648999999999999</v>
      </c>
      <c r="G527" s="4">
        <v>-1</v>
      </c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" thickBot="1" x14ac:dyDescent="0.35">
      <c r="A528" s="5" t="s">
        <v>532</v>
      </c>
      <c r="B528" s="4"/>
      <c r="C528" s="6">
        <v>10.3</v>
      </c>
      <c r="D528" s="6">
        <v>20</v>
      </c>
      <c r="E528" s="6">
        <v>26.9</v>
      </c>
      <c r="F528" s="6">
        <v>13.6</v>
      </c>
      <c r="G528" s="4">
        <v>-1</v>
      </c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" thickBot="1" x14ac:dyDescent="0.35">
      <c r="A529" s="5" t="s">
        <v>533</v>
      </c>
      <c r="B529" s="4"/>
      <c r="C529" s="6">
        <v>12.2</v>
      </c>
      <c r="D529" s="6">
        <v>39.799999999999997</v>
      </c>
      <c r="E529" s="6">
        <v>6.2</v>
      </c>
      <c r="F529" s="6">
        <v>12.6</v>
      </c>
      <c r="G529" s="4">
        <v>-1</v>
      </c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" thickBot="1" x14ac:dyDescent="0.35">
      <c r="A530" s="5" t="s">
        <v>534</v>
      </c>
      <c r="B530" s="4"/>
      <c r="C530" s="6">
        <v>15.8</v>
      </c>
      <c r="D530" s="6">
        <v>14.9</v>
      </c>
      <c r="E530" s="6">
        <v>19.399999999999999</v>
      </c>
      <c r="F530" s="6">
        <v>20.6</v>
      </c>
      <c r="G530" s="4">
        <v>-1</v>
      </c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" thickBot="1" x14ac:dyDescent="0.35">
      <c r="A531" s="5" t="s">
        <v>535</v>
      </c>
      <c r="B531" s="4"/>
      <c r="C531" s="6">
        <v>15.79</v>
      </c>
      <c r="D531" s="6">
        <v>14.933</v>
      </c>
      <c r="E531" s="6">
        <v>19.408000000000001</v>
      </c>
      <c r="F531" s="6">
        <v>20.638000000000002</v>
      </c>
      <c r="G531" s="4">
        <v>-1</v>
      </c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" thickBot="1" x14ac:dyDescent="0.35">
      <c r="A532" s="5" t="s">
        <v>536</v>
      </c>
      <c r="B532" s="4"/>
      <c r="C532" s="6">
        <v>9.3000000000000007</v>
      </c>
      <c r="D532" s="6">
        <v>39.799999999999997</v>
      </c>
      <c r="E532" s="6">
        <v>11.8</v>
      </c>
      <c r="F532" s="6">
        <v>9.8000000000000007</v>
      </c>
      <c r="G532" s="4">
        <v>-1</v>
      </c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" thickBot="1" x14ac:dyDescent="0.35">
      <c r="A533" s="5" t="s">
        <v>537</v>
      </c>
      <c r="B533" s="4"/>
      <c r="C533" s="6">
        <v>9.2593999999999994</v>
      </c>
      <c r="D533" s="6">
        <v>39.768999999999998</v>
      </c>
      <c r="E533" s="6">
        <v>11.795</v>
      </c>
      <c r="F533" s="6">
        <v>9.7894000000000005</v>
      </c>
      <c r="G533" s="4">
        <v>-1</v>
      </c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" thickBot="1" x14ac:dyDescent="0.35">
      <c r="A534" s="5" t="s">
        <v>538</v>
      </c>
      <c r="B534" s="4"/>
      <c r="C534" s="6">
        <v>19.434999999999999</v>
      </c>
      <c r="D534" s="6">
        <v>11.204000000000001</v>
      </c>
      <c r="E534" s="6">
        <v>14.766999999999999</v>
      </c>
      <c r="F534" s="6">
        <v>24.896000000000001</v>
      </c>
      <c r="G534" s="4">
        <v>-1</v>
      </c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" thickBot="1" x14ac:dyDescent="0.35">
      <c r="A535" s="5" t="s">
        <v>539</v>
      </c>
      <c r="B535" s="4"/>
      <c r="C535" s="6">
        <v>7.6</v>
      </c>
      <c r="D535" s="6">
        <v>39.700000000000003</v>
      </c>
      <c r="E535" s="6">
        <v>15</v>
      </c>
      <c r="F535" s="6">
        <v>8</v>
      </c>
      <c r="G535" s="4">
        <v>-1</v>
      </c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" thickBot="1" x14ac:dyDescent="0.35">
      <c r="A536" s="5" t="s">
        <v>540</v>
      </c>
      <c r="B536" s="4"/>
      <c r="C536" s="6">
        <v>19.399999999999999</v>
      </c>
      <c r="D536" s="6">
        <v>11.2</v>
      </c>
      <c r="E536" s="6">
        <v>14.8</v>
      </c>
      <c r="F536" s="6">
        <v>24.9</v>
      </c>
      <c r="G536" s="4">
        <v>-1</v>
      </c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" thickBot="1" x14ac:dyDescent="0.35">
      <c r="A537" s="5" t="s">
        <v>541</v>
      </c>
      <c r="B537" s="4"/>
      <c r="C537" s="6">
        <v>7.6083999999999996</v>
      </c>
      <c r="D537" s="6">
        <v>39.665999999999997</v>
      </c>
      <c r="E537" s="6">
        <v>15.038</v>
      </c>
      <c r="F537" s="6">
        <v>7.9608999999999996</v>
      </c>
      <c r="G537" s="4">
        <v>-1</v>
      </c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" thickBot="1" x14ac:dyDescent="0.35">
      <c r="A538" s="5" t="s">
        <v>542</v>
      </c>
      <c r="B538" s="4"/>
      <c r="C538" s="6">
        <v>9.4</v>
      </c>
      <c r="D538" s="6">
        <v>40.700000000000003</v>
      </c>
      <c r="E538" s="6">
        <v>10.3</v>
      </c>
      <c r="F538" s="6">
        <v>9.9</v>
      </c>
      <c r="G538" s="4">
        <v>-1</v>
      </c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" thickBot="1" x14ac:dyDescent="0.35">
      <c r="A539" s="5" t="s">
        <v>543</v>
      </c>
      <c r="B539" s="4"/>
      <c r="C539" s="6">
        <v>9.3998000000000008</v>
      </c>
      <c r="D539" s="6">
        <v>40.691000000000003</v>
      </c>
      <c r="E539" s="6">
        <v>10.252000000000001</v>
      </c>
      <c r="F539" s="6">
        <v>9.8642000000000003</v>
      </c>
      <c r="G539" s="4">
        <v>-1</v>
      </c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" thickBot="1" x14ac:dyDescent="0.35">
      <c r="A540" s="5" t="s">
        <v>544</v>
      </c>
      <c r="B540" s="4"/>
      <c r="C540" s="6">
        <v>17.2</v>
      </c>
      <c r="D540" s="6">
        <v>13.7</v>
      </c>
      <c r="E540" s="6">
        <v>17.7</v>
      </c>
      <c r="F540" s="6">
        <v>21.6</v>
      </c>
      <c r="G540" s="4">
        <v>-1</v>
      </c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" thickBot="1" x14ac:dyDescent="0.35">
      <c r="A541" s="5" t="s">
        <v>545</v>
      </c>
      <c r="B541" s="4"/>
      <c r="C541" s="6">
        <v>17.190999999999999</v>
      </c>
      <c r="D541" s="6">
        <v>13.688000000000001</v>
      </c>
      <c r="E541" s="6">
        <v>17.734999999999999</v>
      </c>
      <c r="F541" s="6">
        <v>21.581</v>
      </c>
      <c r="G541" s="4">
        <v>-1</v>
      </c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" thickBot="1" x14ac:dyDescent="0.35">
      <c r="A542" s="5" t="s">
        <v>546</v>
      </c>
      <c r="B542" s="4"/>
      <c r="C542" s="6">
        <v>17.543859650000002</v>
      </c>
      <c r="D542" s="6">
        <v>17.543859650000002</v>
      </c>
      <c r="E542" s="6">
        <v>17.543859650000002</v>
      </c>
      <c r="F542" s="6">
        <v>17.543859650000002</v>
      </c>
      <c r="G542" s="4">
        <v>-1</v>
      </c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" thickBot="1" x14ac:dyDescent="0.35">
      <c r="A543" s="5" t="s">
        <v>547</v>
      </c>
      <c r="B543" s="4"/>
      <c r="C543" s="6">
        <v>18.2</v>
      </c>
      <c r="D543" s="6">
        <v>12.5</v>
      </c>
      <c r="E543" s="6">
        <v>16.2</v>
      </c>
      <c r="F543" s="6">
        <v>23.2</v>
      </c>
      <c r="G543" s="4">
        <v>-1</v>
      </c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" thickBot="1" x14ac:dyDescent="0.35">
      <c r="A544" s="5" t="s">
        <v>548</v>
      </c>
      <c r="B544" s="4"/>
      <c r="C544" s="6">
        <v>6.6</v>
      </c>
      <c r="D544" s="6">
        <v>40.299999999999997</v>
      </c>
      <c r="E544" s="6">
        <v>16.2</v>
      </c>
      <c r="F544" s="6">
        <v>6.9</v>
      </c>
      <c r="G544" s="4">
        <v>-1</v>
      </c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" thickBot="1" x14ac:dyDescent="0.35">
      <c r="A545" s="5" t="s">
        <v>549</v>
      </c>
      <c r="B545" s="4"/>
      <c r="C545" s="6">
        <v>6.5768000000000004</v>
      </c>
      <c r="D545" s="6">
        <v>40.323</v>
      </c>
      <c r="E545" s="6">
        <v>16.227</v>
      </c>
      <c r="F545" s="6">
        <v>6.8719999999999999</v>
      </c>
      <c r="G545" s="4">
        <v>-1</v>
      </c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" thickBot="1" x14ac:dyDescent="0.35">
      <c r="A546" s="5" t="s">
        <v>550</v>
      </c>
      <c r="B546" s="4"/>
      <c r="C546" s="6">
        <v>18.152000000000001</v>
      </c>
      <c r="D546" s="6">
        <v>12.455</v>
      </c>
      <c r="E546" s="6">
        <v>16.170000000000002</v>
      </c>
      <c r="F546" s="6">
        <v>23.193000000000001</v>
      </c>
      <c r="G546" s="4">
        <v>-1</v>
      </c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" thickBot="1" x14ac:dyDescent="0.35">
      <c r="A547" s="5" t="s">
        <v>551</v>
      </c>
      <c r="B547" s="4"/>
      <c r="C547" s="6">
        <v>8.1632999999999996</v>
      </c>
      <c r="D547" s="6">
        <v>21.934000000000001</v>
      </c>
      <c r="E547" s="6">
        <v>29.172000000000001</v>
      </c>
      <c r="F547" s="6">
        <v>10.465999999999999</v>
      </c>
      <c r="G547" s="4">
        <v>-1</v>
      </c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" thickBot="1" x14ac:dyDescent="0.35">
      <c r="A548" s="5" t="s">
        <v>552</v>
      </c>
      <c r="B548" s="4"/>
      <c r="C548" s="6">
        <v>8.1999999999999993</v>
      </c>
      <c r="D548" s="6">
        <v>21.9</v>
      </c>
      <c r="E548" s="6">
        <v>29.2</v>
      </c>
      <c r="F548" s="6">
        <v>10.5</v>
      </c>
      <c r="G548" s="4">
        <v>-1</v>
      </c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" thickBot="1" x14ac:dyDescent="0.35">
      <c r="A549" s="5" t="s">
        <v>553</v>
      </c>
      <c r="B549" s="4"/>
      <c r="C549" s="6">
        <v>6.3059000000000003</v>
      </c>
      <c r="D549" s="6">
        <v>23.623000000000001</v>
      </c>
      <c r="E549" s="6">
        <v>31.469000000000001</v>
      </c>
      <c r="F549" s="6">
        <v>8.2406000000000006</v>
      </c>
      <c r="G549" s="4">
        <v>-1</v>
      </c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" thickBot="1" x14ac:dyDescent="0.35">
      <c r="A550" s="5" t="s">
        <v>554</v>
      </c>
      <c r="B550" s="4"/>
      <c r="C550" s="6">
        <v>6.3</v>
      </c>
      <c r="D550" s="6">
        <v>23.6</v>
      </c>
      <c r="E550" s="6">
        <v>31.5</v>
      </c>
      <c r="F550" s="6">
        <v>8.1999999999999993</v>
      </c>
      <c r="G550" s="4">
        <v>-1</v>
      </c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" thickBot="1" x14ac:dyDescent="0.35">
      <c r="A551" s="5" t="s">
        <v>555</v>
      </c>
      <c r="B551" s="4"/>
      <c r="C551" s="6">
        <v>9.5</v>
      </c>
      <c r="D551" s="6">
        <v>41.4</v>
      </c>
      <c r="E551" s="6">
        <v>8.6</v>
      </c>
      <c r="F551" s="6">
        <v>10.1</v>
      </c>
      <c r="G551" s="4">
        <v>-1</v>
      </c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" thickBot="1" x14ac:dyDescent="0.35">
      <c r="A552" s="5" t="s">
        <v>556</v>
      </c>
      <c r="B552" s="4"/>
      <c r="C552" s="6">
        <v>9.4986999999999995</v>
      </c>
      <c r="D552" s="6">
        <v>41.375999999999998</v>
      </c>
      <c r="E552" s="6">
        <v>8.5738000000000003</v>
      </c>
      <c r="F552" s="6">
        <v>10.105</v>
      </c>
      <c r="G552" s="4">
        <v>-1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" thickBot="1" x14ac:dyDescent="0.35">
      <c r="A553" s="5" t="s">
        <v>557</v>
      </c>
      <c r="B553" s="4"/>
      <c r="C553" s="6">
        <v>11.4</v>
      </c>
      <c r="D553" s="6">
        <v>18.3</v>
      </c>
      <c r="E553" s="6">
        <v>24.6</v>
      </c>
      <c r="F553" s="6">
        <v>14.9</v>
      </c>
      <c r="G553" s="4">
        <v>-1</v>
      </c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" thickBot="1" x14ac:dyDescent="0.35">
      <c r="A554" s="5" t="s">
        <v>558</v>
      </c>
      <c r="B554" s="4"/>
      <c r="C554" s="6">
        <v>11.44</v>
      </c>
      <c r="D554" s="6">
        <v>18.314</v>
      </c>
      <c r="E554" s="6">
        <v>24.623999999999999</v>
      </c>
      <c r="F554" s="6">
        <v>14.887</v>
      </c>
      <c r="G554" s="4">
        <v>-1</v>
      </c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" thickBot="1" x14ac:dyDescent="0.35">
      <c r="A555" s="5" t="s">
        <v>559</v>
      </c>
      <c r="B555" s="4"/>
      <c r="C555" s="6">
        <v>7.6078999999999999</v>
      </c>
      <c r="D555" s="6">
        <v>41.04</v>
      </c>
      <c r="E555" s="6">
        <v>12.567</v>
      </c>
      <c r="F555" s="6">
        <v>7.9875999999999996</v>
      </c>
      <c r="G555" s="4">
        <v>-1</v>
      </c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" thickBot="1" x14ac:dyDescent="0.35">
      <c r="A556" s="5" t="s">
        <v>560</v>
      </c>
      <c r="B556" s="4"/>
      <c r="C556" s="6">
        <v>7.6</v>
      </c>
      <c r="D556" s="6">
        <v>41</v>
      </c>
      <c r="E556" s="6">
        <v>12.6</v>
      </c>
      <c r="F556" s="6">
        <v>8</v>
      </c>
      <c r="G556" s="4">
        <v>-1</v>
      </c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" thickBot="1" x14ac:dyDescent="0.35">
      <c r="A557" s="5" t="s">
        <v>561</v>
      </c>
      <c r="B557" s="4"/>
      <c r="C557" s="6">
        <v>17.241379309999999</v>
      </c>
      <c r="D557" s="6">
        <v>17.241379309999999</v>
      </c>
      <c r="E557" s="6">
        <v>17.241379309999999</v>
      </c>
      <c r="F557" s="6">
        <v>17.241379309999999</v>
      </c>
      <c r="G557" s="4">
        <v>-1</v>
      </c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" thickBot="1" x14ac:dyDescent="0.35">
      <c r="A558" s="5" t="s">
        <v>562</v>
      </c>
      <c r="B558" s="4"/>
      <c r="C558" s="6">
        <v>7.9</v>
      </c>
      <c r="D558" s="6">
        <v>42.1</v>
      </c>
      <c r="E558" s="6">
        <v>10.8</v>
      </c>
      <c r="F558" s="6">
        <v>8.1999999999999993</v>
      </c>
      <c r="G558" s="4">
        <v>-1</v>
      </c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" thickBot="1" x14ac:dyDescent="0.35">
      <c r="A559" s="5" t="s">
        <v>563</v>
      </c>
      <c r="B559" s="4"/>
      <c r="C559" s="6">
        <v>7.8807999999999998</v>
      </c>
      <c r="D559" s="6">
        <v>42.125</v>
      </c>
      <c r="E559" s="6">
        <v>10.757999999999999</v>
      </c>
      <c r="F559" s="6">
        <v>8.1532999999999998</v>
      </c>
      <c r="G559" s="4">
        <v>-1</v>
      </c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" thickBot="1" x14ac:dyDescent="0.35">
      <c r="A560" s="5" t="s">
        <v>564</v>
      </c>
      <c r="B560" s="4"/>
      <c r="C560" s="6">
        <v>9.9</v>
      </c>
      <c r="D560" s="6">
        <v>42.3</v>
      </c>
      <c r="E560" s="6">
        <v>6.5</v>
      </c>
      <c r="F560" s="6">
        <v>10.199999999999999</v>
      </c>
      <c r="G560" s="4">
        <v>-1</v>
      </c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" thickBot="1" x14ac:dyDescent="0.35">
      <c r="A561" s="5" t="s">
        <v>565</v>
      </c>
      <c r="B561" s="4"/>
      <c r="C561" s="6">
        <v>9.6999999999999993</v>
      </c>
      <c r="D561" s="6">
        <v>41.8</v>
      </c>
      <c r="E561" s="6">
        <v>7.4</v>
      </c>
      <c r="F561" s="6">
        <v>9.9</v>
      </c>
      <c r="G561" s="4">
        <v>-1</v>
      </c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" thickBot="1" x14ac:dyDescent="0.35">
      <c r="A562" s="5" t="s">
        <v>566</v>
      </c>
      <c r="B562" s="4"/>
      <c r="C562" s="6">
        <v>9.6608999999999998</v>
      </c>
      <c r="D562" s="6">
        <v>41.825000000000003</v>
      </c>
      <c r="E562" s="6">
        <v>7.4276999999999997</v>
      </c>
      <c r="F562" s="6">
        <v>9.9466000000000001</v>
      </c>
      <c r="G562" s="4">
        <v>-1</v>
      </c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" thickBot="1" x14ac:dyDescent="0.35">
      <c r="A563" s="5" t="s">
        <v>567</v>
      </c>
      <c r="B563" s="4"/>
      <c r="C563" s="6">
        <v>9.9059000000000008</v>
      </c>
      <c r="D563" s="6">
        <v>42.259</v>
      </c>
      <c r="E563" s="6">
        <v>6.4778000000000002</v>
      </c>
      <c r="F563" s="6">
        <v>10.210000000000001</v>
      </c>
      <c r="G563" s="4">
        <v>-1</v>
      </c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" thickBot="1" x14ac:dyDescent="0.35">
      <c r="A564" s="5" t="s">
        <v>568</v>
      </c>
      <c r="B564" s="4"/>
      <c r="C564" s="6">
        <v>7.9671000000000003</v>
      </c>
      <c r="D564" s="6">
        <v>43.271000000000001</v>
      </c>
      <c r="E564" s="6">
        <v>9.1364000000000001</v>
      </c>
      <c r="F564" s="6">
        <v>8.4395000000000007</v>
      </c>
      <c r="G564" s="4">
        <v>-1</v>
      </c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" thickBot="1" x14ac:dyDescent="0.35">
      <c r="A565" s="5" t="s">
        <v>569</v>
      </c>
      <c r="B565" s="4"/>
      <c r="C565" s="6">
        <v>8</v>
      </c>
      <c r="D565" s="6">
        <v>43.3</v>
      </c>
      <c r="E565" s="6">
        <v>9.1</v>
      </c>
      <c r="F565" s="6">
        <v>8.4</v>
      </c>
      <c r="G565" s="4">
        <v>-1</v>
      </c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" thickBot="1" x14ac:dyDescent="0.35">
      <c r="A566" s="5" t="s">
        <v>570</v>
      </c>
      <c r="B566" s="4"/>
      <c r="C566" s="6">
        <v>17.2</v>
      </c>
      <c r="D566" s="6">
        <v>17.2</v>
      </c>
      <c r="E566" s="6">
        <v>17.2</v>
      </c>
      <c r="F566" s="6">
        <v>17.2</v>
      </c>
      <c r="G566" s="4">
        <v>-1</v>
      </c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" thickBot="1" x14ac:dyDescent="0.35">
      <c r="A567" s="5" t="s">
        <v>571</v>
      </c>
      <c r="B567" s="4"/>
      <c r="C567" s="6">
        <v>6.5422000000000002</v>
      </c>
      <c r="D567" s="6">
        <v>41.82</v>
      </c>
      <c r="E567" s="6">
        <v>13.608000000000001</v>
      </c>
      <c r="F567" s="6">
        <v>6.8205</v>
      </c>
      <c r="G567" s="4">
        <v>-1</v>
      </c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" thickBot="1" x14ac:dyDescent="0.35">
      <c r="A568" s="5" t="s">
        <v>572</v>
      </c>
      <c r="B568" s="4"/>
      <c r="C568" s="6">
        <v>6.5</v>
      </c>
      <c r="D568" s="6">
        <v>41.8</v>
      </c>
      <c r="E568" s="6">
        <v>13.6</v>
      </c>
      <c r="F568" s="6">
        <v>6.8</v>
      </c>
      <c r="G568" s="4">
        <v>-1</v>
      </c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" thickBot="1" x14ac:dyDescent="0.35">
      <c r="A569" s="5" t="s">
        <v>573</v>
      </c>
      <c r="B569" s="4"/>
      <c r="C569" s="6">
        <v>12.8</v>
      </c>
      <c r="D569" s="6">
        <v>17.100000000000001</v>
      </c>
      <c r="E569" s="6">
        <v>22.6</v>
      </c>
      <c r="F569" s="6">
        <v>16.100000000000001</v>
      </c>
      <c r="G569" s="4">
        <v>-1</v>
      </c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" thickBot="1" x14ac:dyDescent="0.35">
      <c r="A570" s="5" t="s">
        <v>574</v>
      </c>
      <c r="B570" s="4"/>
      <c r="C570" s="6">
        <v>12.826000000000001</v>
      </c>
      <c r="D570" s="6">
        <v>17.113</v>
      </c>
      <c r="E570" s="6">
        <v>22.609000000000002</v>
      </c>
      <c r="F570" s="6">
        <v>16.106000000000002</v>
      </c>
      <c r="G570" s="4">
        <v>-1</v>
      </c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" thickBot="1" x14ac:dyDescent="0.35">
      <c r="A571" s="5" t="s">
        <v>575</v>
      </c>
      <c r="B571" s="4"/>
      <c r="C571" s="6">
        <v>8.1</v>
      </c>
      <c r="D571" s="6">
        <v>44</v>
      </c>
      <c r="E571" s="6">
        <v>7.8</v>
      </c>
      <c r="F571" s="6">
        <v>8.3000000000000007</v>
      </c>
      <c r="G571" s="4">
        <v>-1</v>
      </c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" thickBot="1" x14ac:dyDescent="0.35">
      <c r="A572" s="5" t="s">
        <v>576</v>
      </c>
      <c r="B572" s="4"/>
      <c r="C572" s="6">
        <v>8.0922000000000001</v>
      </c>
      <c r="D572" s="6">
        <v>44.030999999999999</v>
      </c>
      <c r="E572" s="6">
        <v>7.8120000000000003</v>
      </c>
      <c r="F572" s="6">
        <v>8.2640999999999991</v>
      </c>
      <c r="G572" s="4">
        <v>-1</v>
      </c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" thickBot="1" x14ac:dyDescent="0.35">
      <c r="A573" s="5" t="s">
        <v>577</v>
      </c>
      <c r="B573" s="4"/>
      <c r="C573" s="6">
        <v>8.7757000000000005</v>
      </c>
      <c r="D573" s="6">
        <v>20.649000000000001</v>
      </c>
      <c r="E573" s="6">
        <v>27.12</v>
      </c>
      <c r="F573" s="6">
        <v>11.569000000000001</v>
      </c>
      <c r="G573" s="4">
        <v>-1</v>
      </c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" thickBot="1" x14ac:dyDescent="0.35">
      <c r="A574" s="5" t="s">
        <v>578</v>
      </c>
      <c r="B574" s="4"/>
      <c r="C574" s="6">
        <v>8.8000000000000007</v>
      </c>
      <c r="D574" s="6">
        <v>20.6</v>
      </c>
      <c r="E574" s="6">
        <v>27.1</v>
      </c>
      <c r="F574" s="6">
        <v>11.6</v>
      </c>
      <c r="G574" s="4">
        <v>-1</v>
      </c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" thickBot="1" x14ac:dyDescent="0.35">
      <c r="A575" s="5" t="s">
        <v>579</v>
      </c>
      <c r="B575" s="4"/>
      <c r="C575" s="6">
        <v>6.6</v>
      </c>
      <c r="D575" s="6">
        <v>43.1</v>
      </c>
      <c r="E575" s="6">
        <v>11.3</v>
      </c>
      <c r="F575" s="6">
        <v>6.9</v>
      </c>
      <c r="G575" s="4">
        <v>-1</v>
      </c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" thickBot="1" x14ac:dyDescent="0.35">
      <c r="A576" s="5" t="s">
        <v>580</v>
      </c>
      <c r="B576" s="4"/>
      <c r="C576" s="6">
        <v>6.5506000000000002</v>
      </c>
      <c r="D576" s="6">
        <v>43.139000000000003</v>
      </c>
      <c r="E576" s="6">
        <v>11.318</v>
      </c>
      <c r="F576" s="6">
        <v>6.9476000000000004</v>
      </c>
      <c r="G576" s="4">
        <v>-1</v>
      </c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" thickBot="1" x14ac:dyDescent="0.35">
      <c r="A577" s="5" t="s">
        <v>581</v>
      </c>
      <c r="B577" s="4"/>
      <c r="C577" s="6">
        <v>16.94915254</v>
      </c>
      <c r="D577" s="6">
        <v>16.94915254</v>
      </c>
      <c r="E577" s="6">
        <v>16.94915254</v>
      </c>
      <c r="F577" s="6">
        <v>16.94915254</v>
      </c>
      <c r="G577" s="4">
        <v>-1</v>
      </c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" thickBot="1" x14ac:dyDescent="0.35">
      <c r="A578" s="5" t="s">
        <v>582</v>
      </c>
      <c r="B578" s="4"/>
      <c r="C578" s="6">
        <v>8.1488999999999994</v>
      </c>
      <c r="D578" s="6">
        <v>44.372999999999998</v>
      </c>
      <c r="E578" s="6">
        <v>6.7542999999999997</v>
      </c>
      <c r="F578" s="6">
        <v>8.4723000000000006</v>
      </c>
      <c r="G578" s="4">
        <v>-1</v>
      </c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" thickBot="1" x14ac:dyDescent="0.35">
      <c r="A579" s="5" t="s">
        <v>583</v>
      </c>
      <c r="B579" s="4"/>
      <c r="C579" s="6">
        <v>6.7</v>
      </c>
      <c r="D579" s="6">
        <v>44.5</v>
      </c>
      <c r="E579" s="6">
        <v>9.6999999999999993</v>
      </c>
      <c r="F579" s="6">
        <v>6.9</v>
      </c>
      <c r="G579" s="4">
        <v>-1</v>
      </c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" thickBot="1" x14ac:dyDescent="0.35">
      <c r="A580" s="5" t="s">
        <v>584</v>
      </c>
      <c r="B580" s="4"/>
      <c r="C580" s="6">
        <v>8.1</v>
      </c>
      <c r="D580" s="6">
        <v>44.4</v>
      </c>
      <c r="E580" s="6">
        <v>6.8</v>
      </c>
      <c r="F580" s="6">
        <v>8.5</v>
      </c>
      <c r="G580" s="4">
        <v>-1</v>
      </c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" thickBot="1" x14ac:dyDescent="0.35">
      <c r="A581" s="5" t="s">
        <v>585</v>
      </c>
      <c r="B581" s="4"/>
      <c r="C581" s="6">
        <v>6.6658999999999997</v>
      </c>
      <c r="D581" s="6">
        <v>44.460999999999999</v>
      </c>
      <c r="E581" s="6">
        <v>9.6898999999999997</v>
      </c>
      <c r="F581" s="6">
        <v>6.9016999999999999</v>
      </c>
      <c r="G581" s="4">
        <v>-1</v>
      </c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" thickBot="1" x14ac:dyDescent="0.35">
      <c r="A582" s="5" t="s">
        <v>586</v>
      </c>
      <c r="B582" s="4"/>
      <c r="C582" s="6">
        <v>6.8</v>
      </c>
      <c r="D582" s="6">
        <v>45.5</v>
      </c>
      <c r="E582" s="6">
        <v>8.3000000000000007</v>
      </c>
      <c r="F582" s="6">
        <v>6.9</v>
      </c>
      <c r="G582" s="4">
        <v>-1</v>
      </c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" thickBot="1" x14ac:dyDescent="0.35">
      <c r="A583" s="5" t="s">
        <v>587</v>
      </c>
      <c r="B583" s="4"/>
      <c r="C583" s="6">
        <v>6.8334000000000001</v>
      </c>
      <c r="D583" s="6">
        <v>45.521000000000001</v>
      </c>
      <c r="E583" s="6">
        <v>8.2513000000000005</v>
      </c>
      <c r="F583" s="6">
        <v>6.9485999999999999</v>
      </c>
      <c r="G583" s="4">
        <v>-1</v>
      </c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" thickBot="1" x14ac:dyDescent="0.35">
      <c r="A584" s="5" t="s">
        <v>588</v>
      </c>
      <c r="B584" s="4"/>
      <c r="C584" s="6">
        <v>13.6</v>
      </c>
      <c r="D584" s="6">
        <v>15.6</v>
      </c>
      <c r="E584" s="6">
        <v>20.7</v>
      </c>
      <c r="F584" s="6">
        <v>17.5</v>
      </c>
      <c r="G584" s="4">
        <v>-1</v>
      </c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" thickBot="1" x14ac:dyDescent="0.35">
      <c r="A585" s="5" t="s">
        <v>589</v>
      </c>
      <c r="B585" s="4"/>
      <c r="C585" s="6">
        <v>13.561</v>
      </c>
      <c r="D585" s="6">
        <v>15.59</v>
      </c>
      <c r="E585" s="6">
        <v>20.675000000000001</v>
      </c>
      <c r="F585" s="6">
        <v>17.498000000000001</v>
      </c>
      <c r="G585" s="4">
        <v>-1</v>
      </c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" thickBot="1" x14ac:dyDescent="0.35">
      <c r="A586" s="5" t="s">
        <v>590</v>
      </c>
      <c r="B586" s="4"/>
      <c r="C586" s="6">
        <v>7</v>
      </c>
      <c r="D586" s="6">
        <v>21.8</v>
      </c>
      <c r="E586" s="6">
        <v>29.2</v>
      </c>
      <c r="F586" s="6">
        <v>9</v>
      </c>
      <c r="G586" s="4">
        <v>-1</v>
      </c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" thickBot="1" x14ac:dyDescent="0.35">
      <c r="A587" s="5" t="s">
        <v>591</v>
      </c>
      <c r="B587" s="4"/>
      <c r="C587" s="6">
        <v>7.0153999999999996</v>
      </c>
      <c r="D587" s="6">
        <v>21.844000000000001</v>
      </c>
      <c r="E587" s="6">
        <v>29.206</v>
      </c>
      <c r="F587" s="6">
        <v>9.0006000000000004</v>
      </c>
      <c r="G587" s="4">
        <v>-1</v>
      </c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" thickBot="1" x14ac:dyDescent="0.35">
      <c r="A588" s="5" t="s">
        <v>592</v>
      </c>
      <c r="B588" s="4"/>
      <c r="C588" s="6">
        <v>16.7</v>
      </c>
      <c r="D588" s="6">
        <v>16.7</v>
      </c>
      <c r="E588" s="6">
        <v>16.7</v>
      </c>
      <c r="F588" s="6">
        <v>16.7</v>
      </c>
      <c r="G588" s="4">
        <v>-1</v>
      </c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" thickBot="1" x14ac:dyDescent="0.35">
      <c r="A589" s="5" t="s">
        <v>593</v>
      </c>
      <c r="B589" s="4"/>
      <c r="C589" s="6">
        <v>16.7</v>
      </c>
      <c r="D589" s="6">
        <v>16.7</v>
      </c>
      <c r="E589" s="6">
        <v>16.7</v>
      </c>
      <c r="F589" s="6">
        <v>16.7</v>
      </c>
      <c r="G589" s="4">
        <v>-1</v>
      </c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" thickBot="1" x14ac:dyDescent="0.35">
      <c r="A590" s="5" t="s">
        <v>594</v>
      </c>
      <c r="B590" s="4"/>
      <c r="C590" s="6">
        <v>16.666666670000001</v>
      </c>
      <c r="D590" s="6">
        <v>16.666666670000001</v>
      </c>
      <c r="E590" s="6">
        <v>16.666666670000001</v>
      </c>
      <c r="F590" s="6">
        <v>16.666666670000001</v>
      </c>
      <c r="G590" s="4">
        <v>-1</v>
      </c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" thickBot="1" x14ac:dyDescent="0.35">
      <c r="A591" s="5" t="s">
        <v>595</v>
      </c>
      <c r="B591" s="4"/>
      <c r="C591" s="6">
        <v>9.8315999999999999</v>
      </c>
      <c r="D591" s="6">
        <v>19.123999999999999</v>
      </c>
      <c r="E591" s="6">
        <v>25.027999999999999</v>
      </c>
      <c r="F591" s="6">
        <v>12.622999999999999</v>
      </c>
      <c r="G591" s="4">
        <v>-1</v>
      </c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" thickBot="1" x14ac:dyDescent="0.35">
      <c r="A592" s="5" t="s">
        <v>596</v>
      </c>
      <c r="B592" s="4"/>
      <c r="C592" s="6">
        <v>14.5</v>
      </c>
      <c r="D592" s="6">
        <v>14.4</v>
      </c>
      <c r="E592" s="6">
        <v>18.8</v>
      </c>
      <c r="F592" s="6">
        <v>18.899999999999999</v>
      </c>
      <c r="G592" s="4">
        <v>-1</v>
      </c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" thickBot="1" x14ac:dyDescent="0.35">
      <c r="A593" s="5" t="s">
        <v>597</v>
      </c>
      <c r="B593" s="4"/>
      <c r="C593" s="6">
        <v>9.8000000000000007</v>
      </c>
      <c r="D593" s="6">
        <v>19.100000000000001</v>
      </c>
      <c r="E593" s="6">
        <v>25</v>
      </c>
      <c r="F593" s="6">
        <v>12.6</v>
      </c>
      <c r="G593" s="4">
        <v>-1</v>
      </c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" thickBot="1" x14ac:dyDescent="0.35">
      <c r="A594" s="5" t="s">
        <v>598</v>
      </c>
      <c r="B594" s="4"/>
      <c r="C594" s="6">
        <v>14.536</v>
      </c>
      <c r="D594" s="6">
        <v>14.417</v>
      </c>
      <c r="E594" s="6">
        <v>18.759</v>
      </c>
      <c r="F594" s="6">
        <v>18.850000000000001</v>
      </c>
      <c r="G594" s="4">
        <v>-1</v>
      </c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" thickBot="1" x14ac:dyDescent="0.35">
      <c r="A595" s="5" t="s">
        <v>599</v>
      </c>
      <c r="B595" s="4"/>
      <c r="C595" s="6">
        <v>16.899999999999999</v>
      </c>
      <c r="D595" s="6">
        <v>12</v>
      </c>
      <c r="E595" s="6">
        <v>15.5</v>
      </c>
      <c r="F595" s="6">
        <v>21.6</v>
      </c>
      <c r="G595" s="4">
        <v>-1</v>
      </c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" thickBot="1" x14ac:dyDescent="0.35">
      <c r="A596" s="5" t="s">
        <v>600</v>
      </c>
      <c r="B596" s="4"/>
      <c r="C596" s="6">
        <v>16.898</v>
      </c>
      <c r="D596" s="6">
        <v>12.016</v>
      </c>
      <c r="E596" s="6">
        <v>15.523</v>
      </c>
      <c r="F596" s="6">
        <v>21.562000000000001</v>
      </c>
      <c r="G596" s="4">
        <v>-1</v>
      </c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" thickBot="1" x14ac:dyDescent="0.35">
      <c r="A597" s="5" t="s">
        <v>601</v>
      </c>
      <c r="B597" s="4"/>
      <c r="C597" s="6">
        <v>16.44736842</v>
      </c>
      <c r="D597" s="6">
        <v>16.44736842</v>
      </c>
      <c r="E597" s="6">
        <v>16.44736842</v>
      </c>
      <c r="F597" s="6">
        <v>16.44736842</v>
      </c>
      <c r="G597" s="4">
        <v>-1</v>
      </c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" thickBot="1" x14ac:dyDescent="0.35">
      <c r="A598" s="5" t="s">
        <v>602</v>
      </c>
      <c r="B598" s="4"/>
      <c r="C598" s="6">
        <v>16.393442619999998</v>
      </c>
      <c r="D598" s="6">
        <v>16.393442619999998</v>
      </c>
      <c r="E598" s="6">
        <v>16.393442619999998</v>
      </c>
      <c r="F598" s="6">
        <v>16.393442619999998</v>
      </c>
      <c r="G598" s="4">
        <v>-1</v>
      </c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" thickBot="1" x14ac:dyDescent="0.35">
      <c r="A599" s="5" t="s">
        <v>603</v>
      </c>
      <c r="B599" s="4"/>
      <c r="C599" s="6">
        <v>15.7</v>
      </c>
      <c r="D599" s="6">
        <v>13</v>
      </c>
      <c r="E599" s="6">
        <v>17.100000000000001</v>
      </c>
      <c r="F599" s="6">
        <v>19.7</v>
      </c>
      <c r="G599" s="4">
        <v>-1</v>
      </c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" thickBot="1" x14ac:dyDescent="0.35">
      <c r="A600" s="5" t="s">
        <v>604</v>
      </c>
      <c r="B600" s="4"/>
      <c r="C600" s="6">
        <v>15.662000000000001</v>
      </c>
      <c r="D600" s="6">
        <v>12.968</v>
      </c>
      <c r="E600" s="6">
        <v>17.11</v>
      </c>
      <c r="F600" s="6">
        <v>19.689</v>
      </c>
      <c r="G600" s="4">
        <v>-1</v>
      </c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" thickBot="1" x14ac:dyDescent="0.35">
      <c r="A601" s="5" t="s">
        <v>605</v>
      </c>
      <c r="B601" s="4"/>
      <c r="C601" s="6">
        <v>10.6</v>
      </c>
      <c r="D601" s="6">
        <v>17.600000000000001</v>
      </c>
      <c r="E601" s="6">
        <v>23.3</v>
      </c>
      <c r="F601" s="6">
        <v>13.9</v>
      </c>
      <c r="G601" s="4">
        <v>-1</v>
      </c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" thickBot="1" x14ac:dyDescent="0.35">
      <c r="A602" s="5" t="s">
        <v>606</v>
      </c>
      <c r="B602" s="4"/>
      <c r="C602" s="6">
        <v>10.597</v>
      </c>
      <c r="D602" s="6">
        <v>17.617999999999999</v>
      </c>
      <c r="E602" s="6">
        <v>23.271999999999998</v>
      </c>
      <c r="F602" s="6">
        <v>13.874000000000001</v>
      </c>
      <c r="G602" s="4">
        <v>-1</v>
      </c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" thickBot="1" x14ac:dyDescent="0.35">
      <c r="A603" s="5" t="s">
        <v>607</v>
      </c>
      <c r="B603" s="4"/>
      <c r="C603" s="6">
        <v>7.6</v>
      </c>
      <c r="D603" s="6">
        <v>20.8</v>
      </c>
      <c r="E603" s="6">
        <v>27.2</v>
      </c>
      <c r="F603" s="6">
        <v>9.8000000000000007</v>
      </c>
      <c r="G603" s="4">
        <v>-1</v>
      </c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" thickBot="1" x14ac:dyDescent="0.35">
      <c r="A604" s="5" t="s">
        <v>608</v>
      </c>
      <c r="B604" s="4"/>
      <c r="C604" s="6">
        <v>7.5601000000000003</v>
      </c>
      <c r="D604" s="6">
        <v>20.780999999999999</v>
      </c>
      <c r="E604" s="6">
        <v>27.178000000000001</v>
      </c>
      <c r="F604" s="6">
        <v>9.8041999999999998</v>
      </c>
      <c r="G604" s="4">
        <v>-1</v>
      </c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" thickBot="1" x14ac:dyDescent="0.35">
      <c r="A605" s="5" t="s">
        <v>609</v>
      </c>
      <c r="B605" s="4"/>
      <c r="C605" s="6">
        <v>6</v>
      </c>
      <c r="D605" s="6">
        <v>22</v>
      </c>
      <c r="E605" s="6">
        <v>29.2</v>
      </c>
      <c r="F605" s="6">
        <v>7.7</v>
      </c>
      <c r="G605" s="4">
        <v>-1</v>
      </c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" thickBot="1" x14ac:dyDescent="0.35">
      <c r="A606" s="5" t="s">
        <v>610</v>
      </c>
      <c r="B606" s="4"/>
      <c r="C606" s="6">
        <v>5.9950999999999999</v>
      </c>
      <c r="D606" s="6">
        <v>21.959</v>
      </c>
      <c r="E606" s="6">
        <v>29.154</v>
      </c>
      <c r="F606" s="6">
        <v>7.6893000000000002</v>
      </c>
      <c r="G606" s="4">
        <v>-1</v>
      </c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" thickBot="1" x14ac:dyDescent="0.35">
      <c r="A607" s="5" t="s">
        <v>611</v>
      </c>
      <c r="B607" s="4"/>
      <c r="C607" s="6">
        <v>16.129032259999999</v>
      </c>
      <c r="D607" s="6">
        <v>16.129032259999999</v>
      </c>
      <c r="E607" s="6">
        <v>16.129032259999999</v>
      </c>
      <c r="F607" s="6">
        <v>16.129032259999999</v>
      </c>
      <c r="G607" s="4">
        <v>-1</v>
      </c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" thickBot="1" x14ac:dyDescent="0.35">
      <c r="A608" s="5" t="s">
        <v>612</v>
      </c>
      <c r="B608" s="4"/>
      <c r="C608" s="6">
        <v>11.7</v>
      </c>
      <c r="D608" s="6">
        <v>16.308</v>
      </c>
      <c r="E608" s="6">
        <v>21.463999999999999</v>
      </c>
      <c r="F608" s="6">
        <v>14.974</v>
      </c>
      <c r="G608" s="4">
        <v>-1</v>
      </c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" thickBot="1" x14ac:dyDescent="0.35">
      <c r="A609" s="5" t="s">
        <v>613</v>
      </c>
      <c r="B609" s="4"/>
      <c r="C609" s="6">
        <v>11.7</v>
      </c>
      <c r="D609" s="6">
        <v>16.3</v>
      </c>
      <c r="E609" s="6">
        <v>21.5</v>
      </c>
      <c r="F609" s="6">
        <v>15</v>
      </c>
      <c r="G609" s="4">
        <v>-1</v>
      </c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" thickBot="1" x14ac:dyDescent="0.35">
      <c r="A610" s="5" t="s">
        <v>614</v>
      </c>
      <c r="B610" s="4"/>
      <c r="C610" s="6">
        <v>12.6</v>
      </c>
      <c r="D610" s="6">
        <v>15</v>
      </c>
      <c r="E610" s="6">
        <v>19.7</v>
      </c>
      <c r="F610" s="6">
        <v>16.399999999999999</v>
      </c>
      <c r="G610" s="4">
        <v>-1</v>
      </c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" thickBot="1" x14ac:dyDescent="0.35">
      <c r="A611" s="5" t="s">
        <v>615</v>
      </c>
      <c r="B611" s="4"/>
      <c r="C611" s="6">
        <v>12.590999999999999</v>
      </c>
      <c r="D611" s="6">
        <v>15.000999999999999</v>
      </c>
      <c r="E611" s="6">
        <v>19.681000000000001</v>
      </c>
      <c r="F611" s="6">
        <v>16.391999999999999</v>
      </c>
      <c r="G611" s="4">
        <v>-1</v>
      </c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" thickBot="1" x14ac:dyDescent="0.35">
      <c r="A612" s="5" t="s">
        <v>616</v>
      </c>
      <c r="B612" s="4"/>
      <c r="C612" s="6">
        <v>8.3000000000000007</v>
      </c>
      <c r="D612" s="6">
        <v>18.899999999999999</v>
      </c>
      <c r="E612" s="6">
        <v>25.6</v>
      </c>
      <c r="F612" s="6">
        <v>10.7</v>
      </c>
      <c r="G612" s="4">
        <v>-1</v>
      </c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" thickBot="1" x14ac:dyDescent="0.35">
      <c r="A613" s="5" t="s">
        <v>617</v>
      </c>
      <c r="B613" s="4"/>
      <c r="C613" s="6">
        <v>15.87301587</v>
      </c>
      <c r="D613" s="6">
        <v>15.87301587</v>
      </c>
      <c r="E613" s="6">
        <v>15.87301587</v>
      </c>
      <c r="F613" s="6">
        <v>15.87301587</v>
      </c>
      <c r="G613" s="4">
        <v>-1</v>
      </c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" thickBot="1" x14ac:dyDescent="0.35">
      <c r="A614" s="5" t="s">
        <v>618</v>
      </c>
      <c r="B614" s="4"/>
      <c r="C614" s="6">
        <v>8.2714999999999996</v>
      </c>
      <c r="D614" s="6">
        <v>18.88</v>
      </c>
      <c r="E614" s="6">
        <v>25.6</v>
      </c>
      <c r="F614" s="6">
        <v>10.712999999999999</v>
      </c>
      <c r="G614" s="4">
        <v>-1</v>
      </c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" thickBot="1" x14ac:dyDescent="0.35">
      <c r="A615" s="5" t="s">
        <v>619</v>
      </c>
      <c r="B615" s="4"/>
      <c r="C615" s="6">
        <v>15.625</v>
      </c>
      <c r="D615" s="6">
        <v>15.625</v>
      </c>
      <c r="E615" s="6">
        <v>15.625</v>
      </c>
      <c r="F615" s="6">
        <v>15.625</v>
      </c>
      <c r="G615" s="4">
        <v>-1</v>
      </c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" thickBot="1" x14ac:dyDescent="0.35">
      <c r="A616" s="5" t="s">
        <v>620</v>
      </c>
      <c r="B616" s="4"/>
      <c r="C616" s="6">
        <v>6.5</v>
      </c>
      <c r="D616" s="6">
        <v>20.3</v>
      </c>
      <c r="E616" s="6">
        <v>27.2</v>
      </c>
      <c r="F616" s="6">
        <v>8.4</v>
      </c>
      <c r="G616" s="4">
        <v>-1</v>
      </c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" thickBot="1" x14ac:dyDescent="0.35">
      <c r="A617" s="5" t="s">
        <v>621</v>
      </c>
      <c r="B617" s="4"/>
      <c r="C617" s="6">
        <v>6.4656000000000002</v>
      </c>
      <c r="D617" s="6">
        <v>20.34</v>
      </c>
      <c r="E617" s="6">
        <v>27.196999999999999</v>
      </c>
      <c r="F617" s="6">
        <v>8.3725000000000005</v>
      </c>
      <c r="G617" s="4">
        <v>-1</v>
      </c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" thickBot="1" x14ac:dyDescent="0.35">
      <c r="A618" s="5" t="s">
        <v>622</v>
      </c>
      <c r="B618" s="4"/>
      <c r="C618" s="6">
        <v>13.486000000000001</v>
      </c>
      <c r="D618" s="6">
        <v>13.571999999999999</v>
      </c>
      <c r="E618" s="6">
        <v>17.806999999999999</v>
      </c>
      <c r="F618" s="6">
        <v>17.373999999999999</v>
      </c>
      <c r="G618" s="4">
        <v>-1</v>
      </c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" thickBot="1" x14ac:dyDescent="0.35">
      <c r="A619" s="5" t="s">
        <v>623</v>
      </c>
      <c r="B619" s="4"/>
      <c r="C619" s="6">
        <v>13.5</v>
      </c>
      <c r="D619" s="6">
        <v>13.6</v>
      </c>
      <c r="E619" s="6">
        <v>17.8</v>
      </c>
      <c r="F619" s="6">
        <v>17.399999999999999</v>
      </c>
      <c r="G619" s="4">
        <v>-1</v>
      </c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" thickBot="1" x14ac:dyDescent="0.35">
      <c r="A620" s="5" t="s">
        <v>624</v>
      </c>
      <c r="B620" s="4"/>
      <c r="C620" s="6">
        <v>15.499000000000001</v>
      </c>
      <c r="D620" s="6">
        <v>11.51</v>
      </c>
      <c r="E620" s="6">
        <v>14.824</v>
      </c>
      <c r="F620" s="6">
        <v>19.780999999999999</v>
      </c>
      <c r="G620" s="4">
        <v>-1</v>
      </c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" thickBot="1" x14ac:dyDescent="0.35">
      <c r="A621" s="5" t="s">
        <v>625</v>
      </c>
      <c r="B621" s="4"/>
      <c r="C621" s="6">
        <v>15.5</v>
      </c>
      <c r="D621" s="6">
        <v>11.5</v>
      </c>
      <c r="E621" s="6">
        <v>14.8</v>
      </c>
      <c r="F621" s="6">
        <v>19.8</v>
      </c>
      <c r="G621" s="4">
        <v>-1</v>
      </c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" thickBot="1" x14ac:dyDescent="0.35">
      <c r="A622" s="5" t="s">
        <v>626</v>
      </c>
      <c r="B622" s="4"/>
      <c r="C622" s="6">
        <v>8.9050999999999991</v>
      </c>
      <c r="D622" s="6">
        <v>17.672000000000001</v>
      </c>
      <c r="E622" s="6">
        <v>23.460999999999999</v>
      </c>
      <c r="F622" s="6">
        <v>11.51</v>
      </c>
      <c r="G622" s="4">
        <v>-1</v>
      </c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" thickBot="1" x14ac:dyDescent="0.35">
      <c r="A623" s="5" t="s">
        <v>627</v>
      </c>
      <c r="B623" s="4"/>
      <c r="C623" s="6">
        <v>8.9</v>
      </c>
      <c r="D623" s="6">
        <v>17.7</v>
      </c>
      <c r="E623" s="6">
        <v>23.5</v>
      </c>
      <c r="F623" s="6">
        <v>11.5</v>
      </c>
      <c r="G623" s="4">
        <v>-1</v>
      </c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" thickBot="1" x14ac:dyDescent="0.35">
      <c r="A624" s="5" t="s">
        <v>628</v>
      </c>
      <c r="B624" s="4"/>
      <c r="C624" s="6">
        <v>15.38461538</v>
      </c>
      <c r="D624" s="6">
        <v>15.38461538</v>
      </c>
      <c r="E624" s="6">
        <v>15.38461538</v>
      </c>
      <c r="F624" s="6">
        <v>15.38461538</v>
      </c>
      <c r="G624" s="4">
        <v>-1</v>
      </c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" thickBot="1" x14ac:dyDescent="0.35">
      <c r="A625" s="5" t="s">
        <v>629</v>
      </c>
      <c r="B625" s="4"/>
      <c r="C625" s="6">
        <v>15.38461538</v>
      </c>
      <c r="D625" s="6">
        <v>15.38461538</v>
      </c>
      <c r="E625" s="6">
        <v>15.38461538</v>
      </c>
      <c r="F625" s="6">
        <v>15.38461538</v>
      </c>
      <c r="G625" s="4">
        <v>-1</v>
      </c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" thickBot="1" x14ac:dyDescent="0.35">
      <c r="A626" s="5" t="s">
        <v>630</v>
      </c>
      <c r="B626" s="4"/>
      <c r="C626" s="6">
        <v>7.1</v>
      </c>
      <c r="D626" s="6">
        <v>19.3</v>
      </c>
      <c r="E626" s="6">
        <v>25.5</v>
      </c>
      <c r="F626" s="6">
        <v>9.3000000000000007</v>
      </c>
      <c r="G626" s="4">
        <v>-1</v>
      </c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" thickBot="1" x14ac:dyDescent="0.35">
      <c r="A627" s="5" t="s">
        <v>631</v>
      </c>
      <c r="B627" s="4"/>
      <c r="C627" s="6">
        <v>7.0669000000000004</v>
      </c>
      <c r="D627" s="6">
        <v>19.338000000000001</v>
      </c>
      <c r="E627" s="6">
        <v>25.495000000000001</v>
      </c>
      <c r="F627" s="6">
        <v>9.2826000000000004</v>
      </c>
      <c r="G627" s="4">
        <v>-1</v>
      </c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" thickBot="1" x14ac:dyDescent="0.35">
      <c r="A628" s="5" t="s">
        <v>632</v>
      </c>
      <c r="B628" s="4"/>
      <c r="C628" s="6">
        <v>14.202999999999999</v>
      </c>
      <c r="D628" s="6">
        <v>12.522</v>
      </c>
      <c r="E628" s="6">
        <v>16.16</v>
      </c>
      <c r="F628" s="6">
        <v>18.221</v>
      </c>
      <c r="G628" s="4">
        <v>-1</v>
      </c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" thickBot="1" x14ac:dyDescent="0.35">
      <c r="A629" s="5" t="s">
        <v>633</v>
      </c>
      <c r="B629" s="4"/>
      <c r="C629" s="6">
        <v>14.2</v>
      </c>
      <c r="D629" s="6">
        <v>12.5</v>
      </c>
      <c r="E629" s="6">
        <v>16.2</v>
      </c>
      <c r="F629" s="6">
        <v>18.2</v>
      </c>
      <c r="G629" s="4">
        <v>-1</v>
      </c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" thickBot="1" x14ac:dyDescent="0.35">
      <c r="A630" s="5" t="s">
        <v>634</v>
      </c>
      <c r="B630" s="4"/>
      <c r="C630" s="6">
        <v>9.7304999999999993</v>
      </c>
      <c r="D630" s="6">
        <v>16.431999999999999</v>
      </c>
      <c r="E630" s="6">
        <v>21.931999999999999</v>
      </c>
      <c r="F630" s="6">
        <v>12.609</v>
      </c>
      <c r="G630" s="4">
        <v>-1</v>
      </c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" thickBot="1" x14ac:dyDescent="0.35">
      <c r="A631" s="5" t="s">
        <v>635</v>
      </c>
      <c r="B631" s="4"/>
      <c r="C631" s="6">
        <v>9.6999999999999993</v>
      </c>
      <c r="D631" s="6">
        <v>16.399999999999999</v>
      </c>
      <c r="E631" s="6">
        <v>21.9</v>
      </c>
      <c r="F631" s="6">
        <v>12.6</v>
      </c>
      <c r="G631" s="4">
        <v>-1</v>
      </c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" thickBot="1" x14ac:dyDescent="0.35">
      <c r="A632" s="5" t="s">
        <v>636</v>
      </c>
      <c r="B632" s="4"/>
      <c r="C632" s="6">
        <v>15.15151515</v>
      </c>
      <c r="D632" s="6">
        <v>15.15151515</v>
      </c>
      <c r="E632" s="6">
        <v>15.15151515</v>
      </c>
      <c r="F632" s="6">
        <v>15.15151515</v>
      </c>
      <c r="G632" s="4">
        <v>-1</v>
      </c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" thickBot="1" x14ac:dyDescent="0.35">
      <c r="A633" s="5" t="s">
        <v>637</v>
      </c>
      <c r="B633" s="4"/>
      <c r="C633" s="6">
        <v>10.834</v>
      </c>
      <c r="D633" s="6">
        <v>15.34</v>
      </c>
      <c r="E633" s="6">
        <v>20.103000000000002</v>
      </c>
      <c r="F633" s="6">
        <v>13.868</v>
      </c>
      <c r="G633" s="4">
        <v>-1</v>
      </c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" thickBot="1" x14ac:dyDescent="0.35">
      <c r="A634" s="5" t="s">
        <v>638</v>
      </c>
      <c r="B634" s="4"/>
      <c r="C634" s="6">
        <v>10.8</v>
      </c>
      <c r="D634" s="6">
        <v>15.3</v>
      </c>
      <c r="E634" s="6">
        <v>20.100000000000001</v>
      </c>
      <c r="F634" s="6">
        <v>13.9</v>
      </c>
      <c r="G634" s="4">
        <v>-1</v>
      </c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" thickBot="1" x14ac:dyDescent="0.35">
      <c r="A635" s="5" t="s">
        <v>639</v>
      </c>
      <c r="B635" s="4"/>
      <c r="C635" s="6">
        <v>7.8</v>
      </c>
      <c r="D635" s="6">
        <v>18</v>
      </c>
      <c r="E635" s="6">
        <v>23.9</v>
      </c>
      <c r="F635" s="6">
        <v>10.1</v>
      </c>
      <c r="G635" s="4">
        <v>-1</v>
      </c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" thickBot="1" x14ac:dyDescent="0.35">
      <c r="A636" s="5" t="s">
        <v>640</v>
      </c>
      <c r="B636" s="4"/>
      <c r="C636" s="6">
        <v>7.7624000000000004</v>
      </c>
      <c r="D636" s="6">
        <v>17.971</v>
      </c>
      <c r="E636" s="6">
        <v>23.928000000000001</v>
      </c>
      <c r="F636" s="6">
        <v>10.097</v>
      </c>
      <c r="G636" s="4">
        <v>-1</v>
      </c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" thickBot="1" x14ac:dyDescent="0.35">
      <c r="A637" s="5" t="s">
        <v>641</v>
      </c>
      <c r="B637" s="4"/>
      <c r="C637" s="6">
        <v>14.925373130000001</v>
      </c>
      <c r="D637" s="6">
        <v>14.925373130000001</v>
      </c>
      <c r="E637" s="6">
        <v>14.925373130000001</v>
      </c>
      <c r="F637" s="6">
        <v>14.925373130000001</v>
      </c>
      <c r="G637" s="4">
        <v>-1</v>
      </c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" thickBot="1" x14ac:dyDescent="0.35">
      <c r="A638" s="5" t="s">
        <v>642</v>
      </c>
      <c r="B638" s="4"/>
      <c r="C638" s="6">
        <v>11.8</v>
      </c>
      <c r="D638" s="6">
        <v>14.2</v>
      </c>
      <c r="E638" s="6">
        <v>18.399999999999999</v>
      </c>
      <c r="F638" s="6">
        <v>15</v>
      </c>
      <c r="G638" s="4">
        <v>-1</v>
      </c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" thickBot="1" x14ac:dyDescent="0.35">
      <c r="A639" s="5" t="s">
        <v>643</v>
      </c>
      <c r="B639" s="4"/>
      <c r="C639" s="6">
        <v>11.784000000000001</v>
      </c>
      <c r="D639" s="6">
        <v>14.19</v>
      </c>
      <c r="E639" s="6">
        <v>18.416</v>
      </c>
      <c r="F639" s="6">
        <v>14.994999999999999</v>
      </c>
      <c r="G639" s="4">
        <v>-1</v>
      </c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" thickBot="1" x14ac:dyDescent="0.35">
      <c r="A640" s="5" t="s">
        <v>644</v>
      </c>
      <c r="B640" s="4"/>
      <c r="C640" s="6">
        <v>14.81481481</v>
      </c>
      <c r="D640" s="6">
        <v>14.81481481</v>
      </c>
      <c r="E640" s="6">
        <v>14.81481481</v>
      </c>
      <c r="F640" s="6">
        <v>14.81481481</v>
      </c>
      <c r="G640" s="4">
        <v>-1</v>
      </c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" thickBot="1" x14ac:dyDescent="0.35">
      <c r="A641" s="5" t="s">
        <v>645</v>
      </c>
      <c r="B641" s="4"/>
      <c r="C641" s="6">
        <v>14.70588235</v>
      </c>
      <c r="D641" s="6">
        <v>14.70588235</v>
      </c>
      <c r="E641" s="6">
        <v>14.70588235</v>
      </c>
      <c r="F641" s="6">
        <v>14.70588235</v>
      </c>
      <c r="G641" s="4">
        <v>-1</v>
      </c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" thickBot="1" x14ac:dyDescent="0.35">
      <c r="A642" s="5" t="s">
        <v>646</v>
      </c>
      <c r="B642" s="4"/>
      <c r="C642" s="6">
        <v>14.49275362</v>
      </c>
      <c r="D642" s="6">
        <v>14.49275362</v>
      </c>
      <c r="E642" s="6">
        <v>14.49275362</v>
      </c>
      <c r="F642" s="6">
        <v>14.49275362</v>
      </c>
      <c r="G642" s="4">
        <v>-1</v>
      </c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" thickBot="1" x14ac:dyDescent="0.35">
      <c r="A643" s="5" t="s">
        <v>647</v>
      </c>
      <c r="B643" s="4"/>
      <c r="C643" s="6">
        <v>12.2</v>
      </c>
      <c r="D643" s="6">
        <v>12.9</v>
      </c>
      <c r="E643" s="6">
        <v>16.8</v>
      </c>
      <c r="F643" s="6">
        <v>15.7</v>
      </c>
      <c r="G643" s="4">
        <v>-1</v>
      </c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" thickBot="1" x14ac:dyDescent="0.35">
      <c r="A644" s="5" t="s">
        <v>648</v>
      </c>
      <c r="B644" s="4"/>
      <c r="C644" s="6">
        <v>12.234999999999999</v>
      </c>
      <c r="D644" s="6">
        <v>12.929</v>
      </c>
      <c r="E644" s="6">
        <v>16.760999999999999</v>
      </c>
      <c r="F644" s="6">
        <v>15.656000000000001</v>
      </c>
      <c r="G644" s="4">
        <v>-1</v>
      </c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" thickBot="1" x14ac:dyDescent="0.35">
      <c r="A645" s="5" t="s">
        <v>649</v>
      </c>
      <c r="B645" s="4"/>
      <c r="C645" s="6">
        <v>14.28571429</v>
      </c>
      <c r="D645" s="6">
        <v>14.28571429</v>
      </c>
      <c r="E645" s="6">
        <v>14.28571429</v>
      </c>
      <c r="F645" s="6">
        <v>14.28571429</v>
      </c>
      <c r="G645" s="4">
        <v>-1</v>
      </c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" thickBot="1" x14ac:dyDescent="0.35">
      <c r="A646" s="5" t="s">
        <v>650</v>
      </c>
      <c r="B646" s="4"/>
      <c r="C646" s="6">
        <v>8.3000000000000007</v>
      </c>
      <c r="D646" s="6">
        <v>16.399999999999999</v>
      </c>
      <c r="E646" s="6">
        <v>21.7</v>
      </c>
      <c r="F646" s="6">
        <v>10.6</v>
      </c>
      <c r="G646" s="4">
        <v>-1</v>
      </c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" thickBot="1" x14ac:dyDescent="0.35">
      <c r="A647" s="5" t="s">
        <v>651</v>
      </c>
      <c r="B647" s="4"/>
      <c r="C647" s="6">
        <v>6.5</v>
      </c>
      <c r="D647" s="6">
        <v>18</v>
      </c>
      <c r="E647" s="6">
        <v>23.9</v>
      </c>
      <c r="F647" s="6">
        <v>8.5</v>
      </c>
      <c r="G647" s="4">
        <v>-1</v>
      </c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" thickBot="1" x14ac:dyDescent="0.35">
      <c r="A648" s="5" t="s">
        <v>652</v>
      </c>
      <c r="B648" s="4"/>
      <c r="C648" s="6">
        <v>6.5408999999999997</v>
      </c>
      <c r="D648" s="6">
        <v>17.978999999999999</v>
      </c>
      <c r="E648" s="6">
        <v>23.908000000000001</v>
      </c>
      <c r="F648" s="6">
        <v>8.4581</v>
      </c>
      <c r="G648" s="4">
        <v>-1</v>
      </c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" thickBot="1" x14ac:dyDescent="0.35">
      <c r="A649" s="5" t="s">
        <v>653</v>
      </c>
      <c r="B649" s="4"/>
      <c r="C649" s="6">
        <v>13.044</v>
      </c>
      <c r="D649" s="6">
        <v>11.749000000000001</v>
      </c>
      <c r="E649" s="6">
        <v>15.35</v>
      </c>
      <c r="F649" s="6">
        <v>16.739999999999998</v>
      </c>
      <c r="G649" s="4">
        <v>-1</v>
      </c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" thickBot="1" x14ac:dyDescent="0.35">
      <c r="A650" s="5" t="s">
        <v>654</v>
      </c>
      <c r="B650" s="4"/>
      <c r="C650" s="6">
        <v>8.2876999999999992</v>
      </c>
      <c r="D650" s="6">
        <v>16.353999999999999</v>
      </c>
      <c r="E650" s="6">
        <v>21.652999999999999</v>
      </c>
      <c r="F650" s="6">
        <v>10.563000000000001</v>
      </c>
      <c r="G650" s="4">
        <v>-1</v>
      </c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" thickBot="1" x14ac:dyDescent="0.35">
      <c r="A651" s="5" t="s">
        <v>655</v>
      </c>
      <c r="B651" s="4"/>
      <c r="C651" s="6">
        <v>13</v>
      </c>
      <c r="D651" s="6">
        <v>11.7</v>
      </c>
      <c r="E651" s="6">
        <v>15.4</v>
      </c>
      <c r="F651" s="6">
        <v>16.7</v>
      </c>
      <c r="G651" s="4">
        <v>-1</v>
      </c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" thickBot="1" x14ac:dyDescent="0.35">
      <c r="A652" s="5" t="s">
        <v>656</v>
      </c>
      <c r="B652" s="4"/>
      <c r="C652" s="6">
        <v>10.1</v>
      </c>
      <c r="D652" s="6">
        <v>14.5</v>
      </c>
      <c r="E652" s="6">
        <v>18.600000000000001</v>
      </c>
      <c r="F652" s="6">
        <v>12.8</v>
      </c>
      <c r="G652" s="4">
        <v>-1</v>
      </c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" thickBot="1" x14ac:dyDescent="0.35">
      <c r="A653" s="5" t="s">
        <v>657</v>
      </c>
      <c r="B653" s="4"/>
      <c r="C653" s="6">
        <v>10.066000000000001</v>
      </c>
      <c r="D653" s="6">
        <v>14.475</v>
      </c>
      <c r="E653" s="6">
        <v>18.64</v>
      </c>
      <c r="F653" s="6">
        <v>12.757</v>
      </c>
      <c r="G653" s="4">
        <v>-1</v>
      </c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" thickBot="1" x14ac:dyDescent="0.35">
      <c r="A654" s="5" t="s">
        <v>658</v>
      </c>
      <c r="B654" s="4"/>
      <c r="C654" s="6">
        <v>8.9</v>
      </c>
      <c r="D654" s="6">
        <v>15.3</v>
      </c>
      <c r="E654" s="6">
        <v>20.2</v>
      </c>
      <c r="F654" s="6">
        <v>11.5</v>
      </c>
      <c r="G654" s="4">
        <v>-1</v>
      </c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" thickBot="1" x14ac:dyDescent="0.35">
      <c r="A655" s="5" t="s">
        <v>659</v>
      </c>
      <c r="B655" s="4"/>
      <c r="C655" s="6">
        <v>8.89</v>
      </c>
      <c r="D655" s="6">
        <v>15.275</v>
      </c>
      <c r="E655" s="6">
        <v>20.196999999999999</v>
      </c>
      <c r="F655" s="6">
        <v>11.462</v>
      </c>
      <c r="G655" s="4">
        <v>-1</v>
      </c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" thickBot="1" x14ac:dyDescent="0.35">
      <c r="A656" s="5" t="s">
        <v>660</v>
      </c>
      <c r="B656" s="4"/>
      <c r="C656" s="6">
        <v>7.3</v>
      </c>
      <c r="D656" s="6">
        <v>16.7</v>
      </c>
      <c r="E656" s="6">
        <v>21.9</v>
      </c>
      <c r="F656" s="6">
        <v>9.3000000000000007</v>
      </c>
      <c r="G656" s="4">
        <v>-1</v>
      </c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" thickBot="1" x14ac:dyDescent="0.35">
      <c r="A657" s="5" t="s">
        <v>661</v>
      </c>
      <c r="B657" s="4"/>
      <c r="C657" s="6">
        <v>7.3437999999999999</v>
      </c>
      <c r="D657" s="6">
        <v>16.684000000000001</v>
      </c>
      <c r="E657" s="6">
        <v>21.855</v>
      </c>
      <c r="F657" s="6">
        <v>9.2966999999999995</v>
      </c>
      <c r="G657" s="4">
        <v>-1</v>
      </c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" thickBot="1" x14ac:dyDescent="0.35">
      <c r="A658" s="5" t="s">
        <v>662</v>
      </c>
      <c r="B658" s="4"/>
      <c r="C658" s="6">
        <v>10.6</v>
      </c>
      <c r="D658" s="6">
        <v>13.3</v>
      </c>
      <c r="E658" s="6">
        <v>17.3</v>
      </c>
      <c r="F658" s="6">
        <v>13.5</v>
      </c>
      <c r="G658" s="4">
        <v>-1</v>
      </c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" thickBot="1" x14ac:dyDescent="0.35">
      <c r="A659" s="5" t="s">
        <v>663</v>
      </c>
      <c r="B659" s="4"/>
      <c r="C659" s="6">
        <v>10.592000000000001</v>
      </c>
      <c r="D659" s="6">
        <v>13.282</v>
      </c>
      <c r="E659" s="6">
        <v>17.297999999999998</v>
      </c>
      <c r="F659" s="6">
        <v>13.526</v>
      </c>
      <c r="G659" s="4">
        <v>-1</v>
      </c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" thickBot="1" x14ac:dyDescent="0.35">
      <c r="A660" s="5" t="s">
        <v>664</v>
      </c>
      <c r="B660" s="4"/>
      <c r="C660" s="6">
        <v>11.4</v>
      </c>
      <c r="D660" s="6">
        <v>12.3</v>
      </c>
      <c r="E660" s="6">
        <v>15.9</v>
      </c>
      <c r="F660" s="6">
        <v>14.5</v>
      </c>
      <c r="G660" s="4">
        <v>-1</v>
      </c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" thickBot="1" x14ac:dyDescent="0.35">
      <c r="A661" s="5" t="s">
        <v>665</v>
      </c>
      <c r="B661" s="4"/>
      <c r="C661" s="6">
        <v>11.363</v>
      </c>
      <c r="D661" s="6">
        <v>12.314</v>
      </c>
      <c r="E661" s="6">
        <v>15.944000000000001</v>
      </c>
      <c r="F661" s="6">
        <v>14.455</v>
      </c>
      <c r="G661" s="4">
        <v>-1</v>
      </c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" thickBot="1" x14ac:dyDescent="0.35">
      <c r="A662" s="5" t="s">
        <v>666</v>
      </c>
      <c r="B662" s="4"/>
      <c r="C662" s="6">
        <v>7.7</v>
      </c>
      <c r="D662" s="6">
        <v>15.3</v>
      </c>
      <c r="E662" s="6">
        <v>20.2</v>
      </c>
      <c r="F662" s="6">
        <v>9.9</v>
      </c>
      <c r="G662" s="4">
        <v>-1</v>
      </c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" thickBot="1" x14ac:dyDescent="0.35">
      <c r="A663" s="5" t="s">
        <v>667</v>
      </c>
      <c r="B663" s="4"/>
      <c r="C663" s="6">
        <v>7.6551999999999998</v>
      </c>
      <c r="D663" s="6">
        <v>15.265000000000001</v>
      </c>
      <c r="E663" s="6">
        <v>20.238</v>
      </c>
      <c r="F663" s="6">
        <v>9.8978000000000002</v>
      </c>
      <c r="G663" s="4">
        <v>-1</v>
      </c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" thickBot="1" x14ac:dyDescent="0.35">
      <c r="A664" s="5" t="s">
        <v>668</v>
      </c>
      <c r="B664" s="4"/>
      <c r="C664" s="6">
        <v>8.3443000000000005</v>
      </c>
      <c r="D664" s="6">
        <v>14.497999999999999</v>
      </c>
      <c r="E664" s="6">
        <v>18.908999999999999</v>
      </c>
      <c r="F664" s="6">
        <v>10.742000000000001</v>
      </c>
      <c r="G664" s="4">
        <v>-1</v>
      </c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" thickBot="1" x14ac:dyDescent="0.35">
      <c r="A665" s="5" t="s">
        <v>669</v>
      </c>
      <c r="B665" s="4"/>
      <c r="C665" s="6">
        <v>8.3000000000000007</v>
      </c>
      <c r="D665" s="6">
        <v>14.5</v>
      </c>
      <c r="E665" s="6">
        <v>18.899999999999999</v>
      </c>
      <c r="F665" s="6">
        <v>10.7</v>
      </c>
      <c r="G665" s="4">
        <v>-1</v>
      </c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" thickBot="1" x14ac:dyDescent="0.35">
      <c r="A666" s="5" t="s">
        <v>670</v>
      </c>
      <c r="B666" s="4"/>
      <c r="C666" s="6">
        <v>9.0437999999999992</v>
      </c>
      <c r="D666" s="6">
        <v>13.337999999999999</v>
      </c>
      <c r="E666" s="6">
        <v>17.483000000000001</v>
      </c>
      <c r="F666" s="6">
        <v>11.305999999999999</v>
      </c>
      <c r="G666" s="4">
        <v>-1</v>
      </c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" thickBot="1" x14ac:dyDescent="0.35">
      <c r="A667" s="5" t="s">
        <v>671</v>
      </c>
      <c r="B667" s="4"/>
      <c r="C667" s="6">
        <v>9</v>
      </c>
      <c r="D667" s="6">
        <v>13.3</v>
      </c>
      <c r="E667" s="6">
        <v>17.5</v>
      </c>
      <c r="F667" s="6">
        <v>11.3</v>
      </c>
      <c r="G667" s="4">
        <v>-1</v>
      </c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" thickBot="1" x14ac:dyDescent="0.35">
      <c r="A668" s="5" t="s">
        <v>672</v>
      </c>
      <c r="B668" s="7">
        <v>1</v>
      </c>
      <c r="C668" s="4"/>
      <c r="D668" s="4"/>
      <c r="E668" s="4"/>
      <c r="F668" s="4"/>
      <c r="G668" s="7">
        <v>1</v>
      </c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" thickBot="1" x14ac:dyDescent="0.35">
      <c r="A669" s="5" t="s">
        <v>673</v>
      </c>
      <c r="B669" s="7">
        <v>1</v>
      </c>
      <c r="C669" s="4"/>
      <c r="D669" s="4"/>
      <c r="E669" s="4"/>
      <c r="F669" s="4"/>
      <c r="G669" s="7">
        <v>1</v>
      </c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" thickBot="1" x14ac:dyDescent="0.35">
      <c r="A670" s="5" t="s">
        <v>674</v>
      </c>
      <c r="B670" s="7">
        <v>1</v>
      </c>
      <c r="C670" s="4"/>
      <c r="D670" s="4"/>
      <c r="E670" s="4"/>
      <c r="F670" s="4"/>
      <c r="G670" s="7">
        <v>1</v>
      </c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" thickBot="1" x14ac:dyDescent="0.35">
      <c r="A671" s="5" t="s">
        <v>675</v>
      </c>
      <c r="B671" s="7">
        <v>1</v>
      </c>
      <c r="C671" s="4"/>
      <c r="D671" s="4"/>
      <c r="E671" s="4"/>
      <c r="F671" s="4"/>
      <c r="G671" s="7">
        <v>1</v>
      </c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" thickBot="1" x14ac:dyDescent="0.35">
      <c r="A672" s="5" t="s">
        <v>676</v>
      </c>
      <c r="B672" s="7">
        <v>1</v>
      </c>
      <c r="C672" s="4"/>
      <c r="D672" s="4"/>
      <c r="E672" s="4"/>
      <c r="F672" s="4"/>
      <c r="G672" s="7">
        <v>1</v>
      </c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" thickBot="1" x14ac:dyDescent="0.35">
      <c r="A673" s="5" t="s">
        <v>677</v>
      </c>
      <c r="B673" s="7">
        <v>1</v>
      </c>
      <c r="C673" s="4"/>
      <c r="D673" s="4"/>
      <c r="E673" s="4"/>
      <c r="F673" s="4"/>
      <c r="G673" s="7">
        <v>1</v>
      </c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" thickBot="1" x14ac:dyDescent="0.35">
      <c r="A674" s="5" t="s">
        <v>678</v>
      </c>
      <c r="B674" s="7">
        <v>1</v>
      </c>
      <c r="C674" s="4"/>
      <c r="D674" s="4"/>
      <c r="E674" s="4"/>
      <c r="F674" s="4"/>
      <c r="G674" s="7">
        <v>1</v>
      </c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" thickBot="1" x14ac:dyDescent="0.35">
      <c r="A675" s="5" t="s">
        <v>679</v>
      </c>
      <c r="B675" s="7">
        <v>1</v>
      </c>
      <c r="C675" s="4"/>
      <c r="D675" s="4"/>
      <c r="E675" s="4"/>
      <c r="F675" s="4"/>
      <c r="G675" s="7">
        <v>1</v>
      </c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" thickBot="1" x14ac:dyDescent="0.35">
      <c r="A676" s="5" t="s">
        <v>680</v>
      </c>
      <c r="B676" s="7">
        <v>1</v>
      </c>
      <c r="C676" s="4"/>
      <c r="D676" s="4"/>
      <c r="E676" s="4"/>
      <c r="F676" s="4"/>
      <c r="G676" s="7">
        <v>1</v>
      </c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" thickBot="1" x14ac:dyDescent="0.35">
      <c r="A677" s="5" t="s">
        <v>681</v>
      </c>
      <c r="B677" s="7">
        <v>1</v>
      </c>
      <c r="C677" s="4"/>
      <c r="D677" s="4"/>
      <c r="E677" s="4"/>
      <c r="F677" s="4"/>
      <c r="G677" s="7">
        <v>1</v>
      </c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" thickBot="1" x14ac:dyDescent="0.35">
      <c r="A678" s="5" t="s">
        <v>682</v>
      </c>
      <c r="B678" s="7">
        <v>1</v>
      </c>
      <c r="C678" s="4"/>
      <c r="D678" s="4"/>
      <c r="E678" s="4"/>
      <c r="F678" s="4"/>
      <c r="G678" s="7">
        <v>1</v>
      </c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" thickBot="1" x14ac:dyDescent="0.35">
      <c r="A679" s="5" t="s">
        <v>683</v>
      </c>
      <c r="B679" s="7">
        <v>1</v>
      </c>
      <c r="C679" s="4"/>
      <c r="D679" s="4"/>
      <c r="E679" s="4"/>
      <c r="F679" s="4"/>
      <c r="G679" s="7">
        <v>1</v>
      </c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" thickBot="1" x14ac:dyDescent="0.35">
      <c r="A680" s="5" t="s">
        <v>684</v>
      </c>
      <c r="B680" s="7">
        <v>1</v>
      </c>
      <c r="C680" s="4"/>
      <c r="D680" s="4"/>
      <c r="E680" s="4"/>
      <c r="F680" s="4"/>
      <c r="G680" s="7">
        <v>1</v>
      </c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" thickBot="1" x14ac:dyDescent="0.35">
      <c r="A681" s="5" t="s">
        <v>685</v>
      </c>
      <c r="B681" s="7">
        <v>1</v>
      </c>
      <c r="C681" s="4"/>
      <c r="D681" s="4"/>
      <c r="E681" s="4"/>
      <c r="F681" s="4"/>
      <c r="G681" s="7">
        <v>1</v>
      </c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" thickBot="1" x14ac:dyDescent="0.35">
      <c r="A682" s="5" t="s">
        <v>686</v>
      </c>
      <c r="B682" s="7">
        <v>1</v>
      </c>
      <c r="C682" s="4"/>
      <c r="D682" s="4"/>
      <c r="E682" s="4"/>
      <c r="F682" s="4"/>
      <c r="G682" s="7">
        <v>1</v>
      </c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" thickBot="1" x14ac:dyDescent="0.35">
      <c r="A683" s="5" t="s">
        <v>687</v>
      </c>
      <c r="B683" s="7">
        <v>1</v>
      </c>
      <c r="C683" s="4"/>
      <c r="D683" s="4"/>
      <c r="E683" s="4"/>
      <c r="F683" s="4"/>
      <c r="G683" s="7">
        <v>1</v>
      </c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" thickBot="1" x14ac:dyDescent="0.35">
      <c r="A684" s="5" t="s">
        <v>688</v>
      </c>
      <c r="B684" s="7">
        <v>1</v>
      </c>
      <c r="C684" s="4"/>
      <c r="D684" s="4"/>
      <c r="E684" s="4"/>
      <c r="F684" s="4"/>
      <c r="G684" s="7">
        <v>1</v>
      </c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" thickBot="1" x14ac:dyDescent="0.35">
      <c r="A685" s="8" t="s">
        <v>689</v>
      </c>
      <c r="B685" s="7">
        <v>1</v>
      </c>
      <c r="C685" s="4"/>
      <c r="D685" s="4"/>
      <c r="E685" s="4"/>
      <c r="F685" s="4"/>
      <c r="G685" s="7">
        <v>1</v>
      </c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" thickBot="1" x14ac:dyDescent="0.35">
      <c r="A686" s="8" t="s">
        <v>690</v>
      </c>
      <c r="B686" s="7">
        <v>1</v>
      </c>
      <c r="C686" s="4"/>
      <c r="D686" s="4"/>
      <c r="E686" s="4"/>
      <c r="F686" s="4"/>
      <c r="G686" s="7">
        <v>1</v>
      </c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" thickBot="1" x14ac:dyDescent="0.35">
      <c r="A687" s="5" t="s">
        <v>691</v>
      </c>
      <c r="B687" s="7">
        <v>1</v>
      </c>
      <c r="C687" s="4"/>
      <c r="D687" s="4"/>
      <c r="E687" s="4"/>
      <c r="F687" s="4"/>
      <c r="G687" s="7">
        <v>1</v>
      </c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" thickBot="1" x14ac:dyDescent="0.35">
      <c r="A688" s="8" t="s">
        <v>692</v>
      </c>
      <c r="B688" s="7">
        <v>1</v>
      </c>
      <c r="C688" s="4"/>
      <c r="D688" s="4"/>
      <c r="E688" s="4"/>
      <c r="F688" s="4"/>
      <c r="G688" s="7">
        <v>1</v>
      </c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" thickBot="1" x14ac:dyDescent="0.35">
      <c r="A689" s="8" t="s">
        <v>693</v>
      </c>
      <c r="B689" s="7">
        <v>1</v>
      </c>
      <c r="C689" s="4"/>
      <c r="D689" s="4"/>
      <c r="E689" s="4"/>
      <c r="F689" s="4"/>
      <c r="G689" s="7">
        <v>1</v>
      </c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" thickBot="1" x14ac:dyDescent="0.35">
      <c r="A690" s="5" t="s">
        <v>694</v>
      </c>
      <c r="B690" s="7">
        <v>1</v>
      </c>
      <c r="C690" s="4"/>
      <c r="D690" s="4"/>
      <c r="E690" s="4"/>
      <c r="F690" s="4"/>
      <c r="G690" s="7">
        <v>1</v>
      </c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" thickBot="1" x14ac:dyDescent="0.35">
      <c r="A691" s="5" t="s">
        <v>695</v>
      </c>
      <c r="B691" s="7">
        <v>1</v>
      </c>
      <c r="C691" s="4"/>
      <c r="D691" s="4"/>
      <c r="E691" s="4"/>
      <c r="F691" s="4"/>
      <c r="G691" s="7">
        <v>1</v>
      </c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" thickBot="1" x14ac:dyDescent="0.35">
      <c r="A692" s="5" t="s">
        <v>696</v>
      </c>
      <c r="B692" s="7">
        <v>1</v>
      </c>
      <c r="C692" s="4"/>
      <c r="D692" s="4"/>
      <c r="E692" s="4"/>
      <c r="F692" s="4"/>
      <c r="G692" s="7">
        <v>1</v>
      </c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" thickBot="1" x14ac:dyDescent="0.35">
      <c r="A693" s="5" t="s">
        <v>697</v>
      </c>
      <c r="B693" s="7">
        <v>1</v>
      </c>
      <c r="C693" s="4"/>
      <c r="D693" s="4"/>
      <c r="E693" s="4"/>
      <c r="F693" s="4"/>
      <c r="G693" s="7">
        <v>1</v>
      </c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" thickBot="1" x14ac:dyDescent="0.35">
      <c r="A694" s="5" t="s">
        <v>698</v>
      </c>
      <c r="B694" s="7">
        <v>1</v>
      </c>
      <c r="C694" s="4"/>
      <c r="D694" s="4"/>
      <c r="E694" s="4"/>
      <c r="F694" s="4"/>
      <c r="G694" s="7">
        <v>1</v>
      </c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" thickBot="1" x14ac:dyDescent="0.35">
      <c r="A695" s="5" t="s">
        <v>699</v>
      </c>
      <c r="B695" s="7">
        <v>1</v>
      </c>
      <c r="C695" s="4"/>
      <c r="D695" s="4"/>
      <c r="E695" s="4"/>
      <c r="F695" s="4"/>
      <c r="G695" s="7">
        <v>1</v>
      </c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" thickBot="1" x14ac:dyDescent="0.35">
      <c r="A696" s="8" t="s">
        <v>700</v>
      </c>
      <c r="B696" s="7">
        <v>1</v>
      </c>
      <c r="C696" s="4"/>
      <c r="D696" s="4"/>
      <c r="E696" s="4"/>
      <c r="F696" s="4"/>
      <c r="G696" s="7">
        <v>1</v>
      </c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" thickBot="1" x14ac:dyDescent="0.35">
      <c r="A697" s="5" t="s">
        <v>701</v>
      </c>
      <c r="B697" s="7">
        <v>1</v>
      </c>
      <c r="C697" s="4"/>
      <c r="D697" s="4"/>
      <c r="E697" s="4"/>
      <c r="F697" s="4"/>
      <c r="G697" s="7">
        <v>1</v>
      </c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" thickBot="1" x14ac:dyDescent="0.35">
      <c r="A698" s="5" t="s">
        <v>702</v>
      </c>
      <c r="B698" s="7">
        <v>1</v>
      </c>
      <c r="C698" s="4"/>
      <c r="D698" s="4"/>
      <c r="E698" s="4"/>
      <c r="F698" s="4"/>
      <c r="G698" s="7">
        <v>1</v>
      </c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" thickBot="1" x14ac:dyDescent="0.35">
      <c r="A699" s="5" t="s">
        <v>703</v>
      </c>
      <c r="B699" s="7">
        <v>1</v>
      </c>
      <c r="C699" s="4"/>
      <c r="D699" s="4"/>
      <c r="E699" s="4"/>
      <c r="F699" s="4"/>
      <c r="G699" s="7">
        <v>1</v>
      </c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" thickBot="1" x14ac:dyDescent="0.35">
      <c r="A700" s="5" t="s">
        <v>704</v>
      </c>
      <c r="B700" s="7">
        <v>1</v>
      </c>
      <c r="C700" s="4"/>
      <c r="D700" s="4"/>
      <c r="E700" s="4"/>
      <c r="F700" s="4"/>
      <c r="G700" s="7">
        <v>1</v>
      </c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" thickBot="1" x14ac:dyDescent="0.35">
      <c r="A701" s="5" t="s">
        <v>705</v>
      </c>
      <c r="B701" s="7">
        <v>1</v>
      </c>
      <c r="C701" s="4"/>
      <c r="D701" s="4"/>
      <c r="E701" s="4"/>
      <c r="F701" s="4"/>
      <c r="G701" s="7">
        <v>1</v>
      </c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" thickBot="1" x14ac:dyDescent="0.35">
      <c r="A702" s="5" t="s">
        <v>706</v>
      </c>
      <c r="B702" s="7">
        <v>1</v>
      </c>
      <c r="C702" s="4"/>
      <c r="D702" s="4"/>
      <c r="E702" s="4"/>
      <c r="F702" s="4"/>
      <c r="G702" s="7">
        <v>1</v>
      </c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" thickBot="1" x14ac:dyDescent="0.35">
      <c r="A703" s="5" t="s">
        <v>707</v>
      </c>
      <c r="B703" s="7">
        <v>1</v>
      </c>
      <c r="C703" s="4"/>
      <c r="D703" s="4"/>
      <c r="E703" s="4"/>
      <c r="F703" s="4"/>
      <c r="G703" s="7">
        <v>1</v>
      </c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" thickBot="1" x14ac:dyDescent="0.35">
      <c r="A704" s="5" t="s">
        <v>708</v>
      </c>
      <c r="B704" s="7">
        <v>1</v>
      </c>
      <c r="C704" s="4"/>
      <c r="D704" s="4"/>
      <c r="E704" s="4"/>
      <c r="F704" s="4"/>
      <c r="G704" s="7">
        <v>1</v>
      </c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" thickBot="1" x14ac:dyDescent="0.35">
      <c r="A705" s="5" t="s">
        <v>709</v>
      </c>
      <c r="B705" s="7">
        <v>1</v>
      </c>
      <c r="C705" s="4"/>
      <c r="D705" s="4"/>
      <c r="E705" s="4"/>
      <c r="F705" s="4"/>
      <c r="G705" s="7">
        <v>1</v>
      </c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" thickBot="1" x14ac:dyDescent="0.35">
      <c r="A706" s="5" t="s">
        <v>710</v>
      </c>
      <c r="B706" s="7">
        <v>1</v>
      </c>
      <c r="C706" s="4"/>
      <c r="D706" s="4"/>
      <c r="E706" s="4"/>
      <c r="F706" s="4"/>
      <c r="G706" s="7">
        <v>1</v>
      </c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" thickBot="1" x14ac:dyDescent="0.35">
      <c r="A707" s="5" t="s">
        <v>711</v>
      </c>
      <c r="B707" s="7">
        <v>1</v>
      </c>
      <c r="C707" s="4"/>
      <c r="D707" s="4"/>
      <c r="E707" s="4"/>
      <c r="F707" s="4"/>
      <c r="G707" s="7">
        <v>1</v>
      </c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" thickBot="1" x14ac:dyDescent="0.35">
      <c r="A708" s="5" t="s">
        <v>712</v>
      </c>
      <c r="B708" s="7">
        <v>1</v>
      </c>
      <c r="C708" s="4"/>
      <c r="D708" s="4"/>
      <c r="E708" s="4"/>
      <c r="F708" s="4"/>
      <c r="G708" s="7">
        <v>1</v>
      </c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" thickBot="1" x14ac:dyDescent="0.35">
      <c r="A709" s="5" t="s">
        <v>713</v>
      </c>
      <c r="B709" s="7">
        <v>1</v>
      </c>
      <c r="C709" s="4"/>
      <c r="D709" s="4"/>
      <c r="E709" s="4"/>
      <c r="F709" s="4"/>
      <c r="G709" s="7">
        <v>1</v>
      </c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" thickBot="1" x14ac:dyDescent="0.35">
      <c r="A710" s="5" t="s">
        <v>714</v>
      </c>
      <c r="B710" s="7">
        <v>1</v>
      </c>
      <c r="C710" s="4"/>
      <c r="D710" s="4"/>
      <c r="E710" s="4"/>
      <c r="F710" s="4"/>
      <c r="G710" s="7">
        <v>1</v>
      </c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" thickBot="1" x14ac:dyDescent="0.35">
      <c r="A711" s="5" t="s">
        <v>715</v>
      </c>
      <c r="B711" s="7">
        <v>1</v>
      </c>
      <c r="C711" s="4"/>
      <c r="D711" s="4"/>
      <c r="E711" s="4"/>
      <c r="F711" s="4"/>
      <c r="G711" s="7">
        <v>1</v>
      </c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" thickBot="1" x14ac:dyDescent="0.35">
      <c r="A712" s="5" t="s">
        <v>716</v>
      </c>
      <c r="B712" s="7">
        <v>1</v>
      </c>
      <c r="C712" s="4"/>
      <c r="D712" s="4"/>
      <c r="E712" s="4"/>
      <c r="F712" s="4"/>
      <c r="G712" s="7">
        <v>1</v>
      </c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" thickBot="1" x14ac:dyDescent="0.35">
      <c r="A713" s="5" t="s">
        <v>717</v>
      </c>
      <c r="B713" s="7">
        <v>1</v>
      </c>
      <c r="C713" s="4"/>
      <c r="D713" s="4"/>
      <c r="E713" s="4"/>
      <c r="F713" s="4"/>
      <c r="G713" s="7">
        <v>1</v>
      </c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" thickBot="1" x14ac:dyDescent="0.35">
      <c r="A714" s="5" t="s">
        <v>718</v>
      </c>
      <c r="B714" s="7">
        <v>1</v>
      </c>
      <c r="C714" s="4"/>
      <c r="D714" s="4"/>
      <c r="E714" s="4"/>
      <c r="F714" s="4"/>
      <c r="G714" s="7">
        <v>1</v>
      </c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" thickBot="1" x14ac:dyDescent="0.35">
      <c r="A715" s="5" t="s">
        <v>719</v>
      </c>
      <c r="B715" s="7">
        <v>1</v>
      </c>
      <c r="C715" s="4"/>
      <c r="D715" s="4"/>
      <c r="E715" s="4"/>
      <c r="F715" s="4"/>
      <c r="G715" s="7">
        <v>1</v>
      </c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" thickBot="1" x14ac:dyDescent="0.35">
      <c r="A716" s="5" t="s">
        <v>720</v>
      </c>
      <c r="B716" s="7">
        <v>1</v>
      </c>
      <c r="C716" s="4"/>
      <c r="D716" s="4"/>
      <c r="E716" s="4"/>
      <c r="F716" s="4"/>
      <c r="G716" s="7">
        <v>1</v>
      </c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" thickBot="1" x14ac:dyDescent="0.35">
      <c r="A717" s="5" t="s">
        <v>721</v>
      </c>
      <c r="B717" s="7">
        <v>1</v>
      </c>
      <c r="C717" s="4"/>
      <c r="D717" s="4"/>
      <c r="E717" s="4"/>
      <c r="F717" s="4"/>
      <c r="G717" s="7">
        <v>1</v>
      </c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" thickBot="1" x14ac:dyDescent="0.35">
      <c r="A718" s="5" t="s">
        <v>722</v>
      </c>
      <c r="B718" s="7">
        <v>1</v>
      </c>
      <c r="C718" s="4"/>
      <c r="D718" s="4"/>
      <c r="E718" s="4"/>
      <c r="F718" s="4"/>
      <c r="G718" s="7">
        <v>1</v>
      </c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" thickBot="1" x14ac:dyDescent="0.35">
      <c r="A719" s="5" t="s">
        <v>723</v>
      </c>
      <c r="B719" s="7">
        <v>1</v>
      </c>
      <c r="C719" s="4"/>
      <c r="D719" s="4"/>
      <c r="E719" s="4"/>
      <c r="F719" s="4"/>
      <c r="G719" s="7">
        <v>1</v>
      </c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" thickBot="1" x14ac:dyDescent="0.35">
      <c r="A720" s="5" t="s">
        <v>724</v>
      </c>
      <c r="B720" s="7">
        <v>1</v>
      </c>
      <c r="C720" s="4"/>
      <c r="D720" s="4"/>
      <c r="E720" s="4"/>
      <c r="F720" s="4"/>
      <c r="G720" s="7">
        <v>1</v>
      </c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" thickBot="1" x14ac:dyDescent="0.35">
      <c r="A721" s="5" t="s">
        <v>725</v>
      </c>
      <c r="B721" s="7">
        <v>1</v>
      </c>
      <c r="C721" s="4"/>
      <c r="D721" s="4"/>
      <c r="E721" s="4"/>
      <c r="F721" s="4"/>
      <c r="G721" s="7">
        <v>1</v>
      </c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" thickBot="1" x14ac:dyDescent="0.35">
      <c r="A722" s="5" t="s">
        <v>726</v>
      </c>
      <c r="B722" s="7">
        <v>1</v>
      </c>
      <c r="C722" s="4"/>
      <c r="D722" s="4"/>
      <c r="E722" s="4"/>
      <c r="F722" s="4"/>
      <c r="G722" s="7">
        <v>1</v>
      </c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" thickBot="1" x14ac:dyDescent="0.35">
      <c r="A723" s="5" t="s">
        <v>727</v>
      </c>
      <c r="B723" s="7">
        <v>1</v>
      </c>
      <c r="C723" s="4"/>
      <c r="D723" s="4"/>
      <c r="E723" s="4"/>
      <c r="F723" s="4"/>
      <c r="G723" s="7">
        <v>1</v>
      </c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" thickBot="1" x14ac:dyDescent="0.35">
      <c r="A724" s="5" t="s">
        <v>728</v>
      </c>
      <c r="B724" s="7">
        <v>1</v>
      </c>
      <c r="C724" s="4"/>
      <c r="D724" s="4"/>
      <c r="E724" s="4"/>
      <c r="F724" s="4"/>
      <c r="G724" s="7">
        <v>1</v>
      </c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" thickBot="1" x14ac:dyDescent="0.35">
      <c r="A725" s="5" t="s">
        <v>729</v>
      </c>
      <c r="B725" s="7">
        <v>1</v>
      </c>
      <c r="C725" s="4"/>
      <c r="D725" s="4"/>
      <c r="E725" s="4"/>
      <c r="F725" s="4"/>
      <c r="G725" s="7">
        <v>1</v>
      </c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" thickBot="1" x14ac:dyDescent="0.35">
      <c r="A726" s="5" t="s">
        <v>730</v>
      </c>
      <c r="B726" s="7">
        <v>1</v>
      </c>
      <c r="C726" s="4"/>
      <c r="D726" s="4"/>
      <c r="E726" s="4"/>
      <c r="F726" s="4"/>
      <c r="G726" s="7">
        <v>1</v>
      </c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" thickBot="1" x14ac:dyDescent="0.35">
      <c r="A727" s="5" t="s">
        <v>731</v>
      </c>
      <c r="B727" s="7">
        <v>1</v>
      </c>
      <c r="C727" s="4"/>
      <c r="D727" s="4"/>
      <c r="E727" s="4"/>
      <c r="F727" s="4"/>
      <c r="G727" s="7">
        <v>1</v>
      </c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" thickBot="1" x14ac:dyDescent="0.35">
      <c r="A728" s="5" t="s">
        <v>732</v>
      </c>
      <c r="B728" s="7">
        <v>1</v>
      </c>
      <c r="C728" s="4"/>
      <c r="D728" s="4"/>
      <c r="E728" s="4"/>
      <c r="F728" s="4"/>
      <c r="G728" s="7">
        <v>1</v>
      </c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" thickBot="1" x14ac:dyDescent="0.35">
      <c r="A729" s="5" t="s">
        <v>733</v>
      </c>
      <c r="B729" s="7">
        <v>1</v>
      </c>
      <c r="C729" s="4"/>
      <c r="D729" s="4"/>
      <c r="E729" s="4"/>
      <c r="F729" s="4"/>
      <c r="G729" s="7">
        <v>1</v>
      </c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" thickBot="1" x14ac:dyDescent="0.35">
      <c r="A730" s="5" t="s">
        <v>734</v>
      </c>
      <c r="B730" s="7">
        <v>1</v>
      </c>
      <c r="C730" s="4"/>
      <c r="D730" s="4"/>
      <c r="E730" s="4"/>
      <c r="F730" s="4"/>
      <c r="G730" s="7">
        <v>1</v>
      </c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" thickBot="1" x14ac:dyDescent="0.35">
      <c r="A731" s="5" t="s">
        <v>735</v>
      </c>
      <c r="B731" s="7">
        <v>1</v>
      </c>
      <c r="C731" s="4"/>
      <c r="D731" s="4"/>
      <c r="E731" s="4"/>
      <c r="F731" s="4"/>
      <c r="G731" s="7">
        <v>1</v>
      </c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" thickBot="1" x14ac:dyDescent="0.35">
      <c r="A732" s="5" t="s">
        <v>736</v>
      </c>
      <c r="B732" s="7">
        <v>1</v>
      </c>
      <c r="C732" s="4"/>
      <c r="D732" s="4"/>
      <c r="E732" s="4"/>
      <c r="F732" s="4"/>
      <c r="G732" s="7">
        <v>1</v>
      </c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" thickBot="1" x14ac:dyDescent="0.35">
      <c r="A733" s="5" t="s">
        <v>737</v>
      </c>
      <c r="B733" s="7">
        <v>1</v>
      </c>
      <c r="C733" s="4"/>
      <c r="D733" s="4"/>
      <c r="E733" s="4"/>
      <c r="F733" s="4"/>
      <c r="G733" s="7">
        <v>1</v>
      </c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" thickBot="1" x14ac:dyDescent="0.35">
      <c r="A734" s="5" t="s">
        <v>738</v>
      </c>
      <c r="B734" s="7">
        <v>1</v>
      </c>
      <c r="C734" s="4"/>
      <c r="D734" s="4"/>
      <c r="E734" s="4"/>
      <c r="F734" s="4"/>
      <c r="G734" s="7">
        <v>1</v>
      </c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" thickBot="1" x14ac:dyDescent="0.35">
      <c r="A735" s="5" t="s">
        <v>739</v>
      </c>
      <c r="B735" s="7">
        <v>1</v>
      </c>
      <c r="C735" s="4"/>
      <c r="D735" s="4"/>
      <c r="E735" s="4"/>
      <c r="F735" s="4"/>
      <c r="G735" s="7">
        <v>1</v>
      </c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" thickBot="1" x14ac:dyDescent="0.35">
      <c r="A736" s="5" t="s">
        <v>740</v>
      </c>
      <c r="B736" s="7">
        <v>1</v>
      </c>
      <c r="C736" s="4"/>
      <c r="D736" s="4"/>
      <c r="E736" s="4"/>
      <c r="F736" s="4"/>
      <c r="G736" s="7">
        <v>1</v>
      </c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" thickBot="1" x14ac:dyDescent="0.35">
      <c r="A737" s="5" t="s">
        <v>741</v>
      </c>
      <c r="B737" s="7">
        <v>1</v>
      </c>
      <c r="C737" s="4"/>
      <c r="D737" s="4"/>
      <c r="E737" s="4"/>
      <c r="F737" s="4"/>
      <c r="G737" s="7">
        <v>1</v>
      </c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" thickBot="1" x14ac:dyDescent="0.35">
      <c r="A738" s="5" t="s">
        <v>742</v>
      </c>
      <c r="B738" s="7">
        <v>1</v>
      </c>
      <c r="C738" s="4"/>
      <c r="D738" s="4"/>
      <c r="E738" s="4"/>
      <c r="F738" s="4"/>
      <c r="G738" s="7">
        <v>1</v>
      </c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" thickBot="1" x14ac:dyDescent="0.35">
      <c r="A739" s="5" t="s">
        <v>743</v>
      </c>
      <c r="B739" s="7">
        <v>1</v>
      </c>
      <c r="C739" s="4"/>
      <c r="D739" s="4"/>
      <c r="E739" s="4"/>
      <c r="F739" s="4"/>
      <c r="G739" s="7">
        <v>1</v>
      </c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" thickBot="1" x14ac:dyDescent="0.35">
      <c r="A740" s="5" t="s">
        <v>744</v>
      </c>
      <c r="B740" s="7">
        <v>1</v>
      </c>
      <c r="C740" s="4"/>
      <c r="D740" s="4"/>
      <c r="E740" s="4"/>
      <c r="F740" s="4"/>
      <c r="G740" s="7">
        <v>1</v>
      </c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" thickBot="1" x14ac:dyDescent="0.35">
      <c r="A741" s="5" t="s">
        <v>745</v>
      </c>
      <c r="B741" s="7">
        <v>1</v>
      </c>
      <c r="C741" s="4"/>
      <c r="D741" s="4"/>
      <c r="E741" s="4"/>
      <c r="F741" s="4"/>
      <c r="G741" s="7">
        <v>1</v>
      </c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" thickBot="1" x14ac:dyDescent="0.35">
      <c r="A742" s="5" t="s">
        <v>746</v>
      </c>
      <c r="B742" s="7">
        <v>1</v>
      </c>
      <c r="C742" s="4"/>
      <c r="D742" s="4"/>
      <c r="E742" s="4"/>
      <c r="F742" s="4"/>
      <c r="G742" s="7">
        <v>1</v>
      </c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" thickBot="1" x14ac:dyDescent="0.35">
      <c r="A743" s="5" t="s">
        <v>747</v>
      </c>
      <c r="B743" s="7">
        <v>1</v>
      </c>
      <c r="C743" s="4"/>
      <c r="D743" s="4"/>
      <c r="E743" s="4"/>
      <c r="F743" s="4"/>
      <c r="G743" s="7">
        <v>1</v>
      </c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" thickBot="1" x14ac:dyDescent="0.35">
      <c r="A744" s="5" t="s">
        <v>748</v>
      </c>
      <c r="B744" s="7">
        <v>1</v>
      </c>
      <c r="C744" s="4"/>
      <c r="D744" s="4"/>
      <c r="E744" s="4"/>
      <c r="F744" s="4"/>
      <c r="G744" s="7">
        <v>1</v>
      </c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" thickBot="1" x14ac:dyDescent="0.35">
      <c r="A745" s="5" t="s">
        <v>749</v>
      </c>
      <c r="B745" s="7">
        <v>1</v>
      </c>
      <c r="C745" s="4"/>
      <c r="D745" s="4"/>
      <c r="E745" s="4"/>
      <c r="F745" s="4"/>
      <c r="G745" s="7">
        <v>1</v>
      </c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" thickBot="1" x14ac:dyDescent="0.35">
      <c r="A746" s="5" t="s">
        <v>750</v>
      </c>
      <c r="B746" s="7">
        <v>1</v>
      </c>
      <c r="C746" s="4"/>
      <c r="D746" s="4"/>
      <c r="E746" s="4"/>
      <c r="F746" s="4"/>
      <c r="G746" s="7">
        <v>1</v>
      </c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" thickBot="1" x14ac:dyDescent="0.35">
      <c r="A747" s="5" t="s">
        <v>751</v>
      </c>
      <c r="B747" s="7">
        <v>1</v>
      </c>
      <c r="C747" s="4"/>
      <c r="D747" s="4"/>
      <c r="E747" s="4"/>
      <c r="F747" s="4"/>
      <c r="G747" s="7">
        <v>1</v>
      </c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" thickBot="1" x14ac:dyDescent="0.35">
      <c r="A748" s="5" t="s">
        <v>752</v>
      </c>
      <c r="B748" s="7">
        <v>1</v>
      </c>
      <c r="C748" s="4"/>
      <c r="D748" s="4"/>
      <c r="E748" s="4"/>
      <c r="F748" s="4"/>
      <c r="G748" s="7">
        <v>1</v>
      </c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" thickBot="1" x14ac:dyDescent="0.35">
      <c r="A749" s="5" t="s">
        <v>753</v>
      </c>
      <c r="B749" s="7">
        <v>1</v>
      </c>
      <c r="C749" s="4"/>
      <c r="D749" s="4"/>
      <c r="E749" s="4"/>
      <c r="F749" s="4"/>
      <c r="G749" s="7">
        <v>1</v>
      </c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" thickBot="1" x14ac:dyDescent="0.35">
      <c r="A750" s="5" t="s">
        <v>754</v>
      </c>
      <c r="B750" s="7">
        <v>1</v>
      </c>
      <c r="C750" s="4"/>
      <c r="D750" s="4"/>
      <c r="E750" s="4"/>
      <c r="F750" s="4"/>
      <c r="G750" s="7">
        <v>1</v>
      </c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" thickBot="1" x14ac:dyDescent="0.35">
      <c r="A751" s="4"/>
      <c r="B751" s="9"/>
      <c r="C751" s="4"/>
      <c r="D751" s="4"/>
      <c r="E751" s="4"/>
      <c r="F751" s="4"/>
      <c r="G751" s="9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" thickBot="1" x14ac:dyDescent="0.35">
      <c r="A752" s="4"/>
      <c r="B752" s="9"/>
      <c r="C752" s="4"/>
      <c r="D752" s="4"/>
      <c r="E752" s="4"/>
      <c r="F752" s="4"/>
      <c r="G752" s="9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" thickBot="1" x14ac:dyDescent="0.35">
      <c r="A753" s="4"/>
      <c r="B753" s="9"/>
      <c r="C753" s="4"/>
      <c r="D753" s="4"/>
      <c r="E753" s="4"/>
      <c r="F753" s="4"/>
      <c r="G753" s="9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" thickBot="1" x14ac:dyDescent="0.35">
      <c r="A754" s="4"/>
      <c r="B754" s="9"/>
      <c r="C754" s="4"/>
      <c r="D754" s="4"/>
      <c r="E754" s="4"/>
      <c r="F754" s="4"/>
      <c r="G754" s="9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" thickBot="1" x14ac:dyDescent="0.35">
      <c r="A755" s="4"/>
      <c r="B755" s="9"/>
      <c r="C755" s="4"/>
      <c r="D755" s="4"/>
      <c r="E755" s="4"/>
      <c r="F755" s="4"/>
      <c r="G755" s="9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" thickBot="1" x14ac:dyDescent="0.35">
      <c r="A756" s="4"/>
      <c r="B756" s="9"/>
      <c r="C756" s="4"/>
      <c r="D756" s="4"/>
      <c r="E756" s="4"/>
      <c r="F756" s="4"/>
      <c r="G756" s="9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" thickBot="1" x14ac:dyDescent="0.35">
      <c r="A757" s="4"/>
      <c r="B757" s="9"/>
      <c r="C757" s="4"/>
      <c r="D757" s="4"/>
      <c r="E757" s="4"/>
      <c r="F757" s="4"/>
      <c r="G757" s="9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" thickBot="1" x14ac:dyDescent="0.35">
      <c r="A758" s="4"/>
      <c r="B758" s="9"/>
      <c r="C758" s="4"/>
      <c r="D758" s="4"/>
      <c r="E758" s="4"/>
      <c r="F758" s="4"/>
      <c r="G758" s="9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" thickBot="1" x14ac:dyDescent="0.35">
      <c r="A759" s="4"/>
      <c r="B759" s="9"/>
      <c r="C759" s="4"/>
      <c r="D759" s="4"/>
      <c r="E759" s="4"/>
      <c r="F759" s="4"/>
      <c r="G759" s="9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" thickBot="1" x14ac:dyDescent="0.35">
      <c r="A760" s="4"/>
      <c r="B760" s="9"/>
      <c r="C760" s="4"/>
      <c r="D760" s="4"/>
      <c r="E760" s="4"/>
      <c r="F760" s="4"/>
      <c r="G760" s="9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" thickBot="1" x14ac:dyDescent="0.35">
      <c r="A761" s="4"/>
      <c r="B761" s="9"/>
      <c r="C761" s="4"/>
      <c r="D761" s="4"/>
      <c r="E761" s="4"/>
      <c r="F761" s="4"/>
      <c r="G761" s="9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" thickBot="1" x14ac:dyDescent="0.35">
      <c r="A762" s="4"/>
      <c r="B762" s="9"/>
      <c r="C762" s="4"/>
      <c r="D762" s="4"/>
      <c r="E762" s="4"/>
      <c r="F762" s="4"/>
      <c r="G762" s="9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" thickBot="1" x14ac:dyDescent="0.35">
      <c r="A763" s="4"/>
      <c r="B763" s="9"/>
      <c r="C763" s="4"/>
      <c r="D763" s="4"/>
      <c r="E763" s="4"/>
      <c r="F763" s="4"/>
      <c r="G763" s="9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" thickBot="1" x14ac:dyDescent="0.35">
      <c r="A764" s="4"/>
      <c r="B764" s="9"/>
      <c r="C764" s="4"/>
      <c r="D764" s="4"/>
      <c r="E764" s="4"/>
      <c r="F764" s="4"/>
      <c r="G764" s="9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" thickBot="1" x14ac:dyDescent="0.35">
      <c r="A765" s="4"/>
      <c r="B765" s="9"/>
      <c r="C765" s="4"/>
      <c r="D765" s="4"/>
      <c r="E765" s="4"/>
      <c r="F765" s="4"/>
      <c r="G765" s="9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" thickBot="1" x14ac:dyDescent="0.35">
      <c r="A766" s="4"/>
      <c r="B766" s="9"/>
      <c r="C766" s="4"/>
      <c r="D766" s="4"/>
      <c r="E766" s="4"/>
      <c r="F766" s="4"/>
      <c r="G766" s="9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" thickBot="1" x14ac:dyDescent="0.35">
      <c r="A767" s="4"/>
      <c r="B767" s="9"/>
      <c r="C767" s="4"/>
      <c r="D767" s="4"/>
      <c r="E767" s="4"/>
      <c r="F767" s="4"/>
      <c r="G767" s="9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" thickBot="1" x14ac:dyDescent="0.35">
      <c r="A768" s="4"/>
      <c r="B768" s="9"/>
      <c r="C768" s="4"/>
      <c r="D768" s="4"/>
      <c r="E768" s="4"/>
      <c r="F768" s="4"/>
      <c r="G768" s="9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" thickBot="1" x14ac:dyDescent="0.35">
      <c r="A769" s="4"/>
      <c r="B769" s="9"/>
      <c r="C769" s="4"/>
      <c r="D769" s="4"/>
      <c r="E769" s="4"/>
      <c r="F769" s="4"/>
      <c r="G769" s="9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" thickBot="1" x14ac:dyDescent="0.35">
      <c r="A770" s="4"/>
      <c r="B770" s="9"/>
      <c r="C770" s="4"/>
      <c r="D770" s="4"/>
      <c r="E770" s="4"/>
      <c r="F770" s="4"/>
      <c r="G770" s="9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" thickBot="1" x14ac:dyDescent="0.35">
      <c r="A771" s="4"/>
      <c r="B771" s="9"/>
      <c r="C771" s="4"/>
      <c r="D771" s="4"/>
      <c r="E771" s="4"/>
      <c r="F771" s="4"/>
      <c r="G771" s="9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" thickBot="1" x14ac:dyDescent="0.35">
      <c r="A772" s="4"/>
      <c r="B772" s="9"/>
      <c r="C772" s="4"/>
      <c r="D772" s="4"/>
      <c r="E772" s="4"/>
      <c r="F772" s="4"/>
      <c r="G772" s="9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" thickBot="1" x14ac:dyDescent="0.35">
      <c r="A773" s="4"/>
      <c r="B773" s="9"/>
      <c r="C773" s="4"/>
      <c r="D773" s="4"/>
      <c r="E773" s="4"/>
      <c r="F773" s="4"/>
      <c r="G773" s="9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" thickBot="1" x14ac:dyDescent="0.35">
      <c r="A774" s="4"/>
      <c r="B774" s="9"/>
      <c r="C774" s="4"/>
      <c r="D774" s="4"/>
      <c r="E774" s="4"/>
      <c r="F774" s="4"/>
      <c r="G774" s="9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" thickBot="1" x14ac:dyDescent="0.35">
      <c r="A775" s="4"/>
      <c r="B775" s="9"/>
      <c r="C775" s="4"/>
      <c r="D775" s="4"/>
      <c r="E775" s="4"/>
      <c r="F775" s="4"/>
      <c r="G775" s="9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" thickBot="1" x14ac:dyDescent="0.35">
      <c r="A776" s="4"/>
      <c r="B776" s="9"/>
      <c r="C776" s="4"/>
      <c r="D776" s="4"/>
      <c r="E776" s="4"/>
      <c r="F776" s="4"/>
      <c r="G776" s="9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" thickBot="1" x14ac:dyDescent="0.35">
      <c r="A777" s="4"/>
      <c r="B777" s="9"/>
      <c r="C777" s="4"/>
      <c r="D777" s="4"/>
      <c r="E777" s="4"/>
      <c r="F777" s="4"/>
      <c r="G777" s="9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" thickBot="1" x14ac:dyDescent="0.35">
      <c r="A778" s="4"/>
      <c r="B778" s="9"/>
      <c r="C778" s="4"/>
      <c r="D778" s="4"/>
      <c r="E778" s="4"/>
      <c r="F778" s="4"/>
      <c r="G778" s="9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" thickBot="1" x14ac:dyDescent="0.35">
      <c r="A779" s="4"/>
      <c r="B779" s="9"/>
      <c r="C779" s="4"/>
      <c r="D779" s="4"/>
      <c r="E779" s="4"/>
      <c r="F779" s="4"/>
      <c r="G779" s="9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" thickBot="1" x14ac:dyDescent="0.35">
      <c r="A780" s="4"/>
      <c r="B780" s="9"/>
      <c r="C780" s="4"/>
      <c r="D780" s="4"/>
      <c r="E780" s="4"/>
      <c r="F780" s="4"/>
      <c r="G780" s="9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" thickBot="1" x14ac:dyDescent="0.35">
      <c r="A781" s="4"/>
      <c r="B781" s="9"/>
      <c r="C781" s="4"/>
      <c r="D781" s="4"/>
      <c r="E781" s="4"/>
      <c r="F781" s="4"/>
      <c r="G781" s="9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" thickBot="1" x14ac:dyDescent="0.35">
      <c r="A782" s="4"/>
      <c r="B782" s="9"/>
      <c r="C782" s="4"/>
      <c r="D782" s="4"/>
      <c r="E782" s="4"/>
      <c r="F782" s="4"/>
      <c r="G782" s="9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" thickBot="1" x14ac:dyDescent="0.35">
      <c r="A783" s="4"/>
      <c r="B783" s="9"/>
      <c r="C783" s="4"/>
      <c r="D783" s="4"/>
      <c r="E783" s="4"/>
      <c r="F783" s="4"/>
      <c r="G783" s="9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" thickBot="1" x14ac:dyDescent="0.35">
      <c r="A784" s="4"/>
      <c r="B784" s="9"/>
      <c r="C784" s="4"/>
      <c r="D784" s="4"/>
      <c r="E784" s="4"/>
      <c r="F784" s="4"/>
      <c r="G784" s="9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" thickBot="1" x14ac:dyDescent="0.35">
      <c r="A785" s="4"/>
      <c r="B785" s="9"/>
      <c r="C785" s="4"/>
      <c r="D785" s="4"/>
      <c r="E785" s="4"/>
      <c r="F785" s="4"/>
      <c r="G785" s="9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" thickBot="1" x14ac:dyDescent="0.35">
      <c r="A786" s="4"/>
      <c r="B786" s="9"/>
      <c r="C786" s="4"/>
      <c r="D786" s="4"/>
      <c r="E786" s="4"/>
      <c r="F786" s="4"/>
      <c r="G786" s="9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" thickBot="1" x14ac:dyDescent="0.35">
      <c r="A787" s="4"/>
      <c r="B787" s="9"/>
      <c r="C787" s="4"/>
      <c r="D787" s="4"/>
      <c r="E787" s="4"/>
      <c r="F787" s="4"/>
      <c r="G787" s="9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" thickBot="1" x14ac:dyDescent="0.35">
      <c r="A788" s="4"/>
      <c r="B788" s="9"/>
      <c r="C788" s="4"/>
      <c r="D788" s="4"/>
      <c r="E788" s="4"/>
      <c r="F788" s="4"/>
      <c r="G788" s="9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" thickBot="1" x14ac:dyDescent="0.35">
      <c r="A789" s="4"/>
      <c r="B789" s="9"/>
      <c r="C789" s="4"/>
      <c r="D789" s="4"/>
      <c r="E789" s="4"/>
      <c r="F789" s="4"/>
      <c r="G789" s="9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" thickBot="1" x14ac:dyDescent="0.35">
      <c r="A790" s="4"/>
      <c r="B790" s="9"/>
      <c r="C790" s="4"/>
      <c r="D790" s="4"/>
      <c r="E790" s="4"/>
      <c r="F790" s="4"/>
      <c r="G790" s="9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" thickBot="1" x14ac:dyDescent="0.35">
      <c r="A791" s="4"/>
      <c r="B791" s="9"/>
      <c r="C791" s="4"/>
      <c r="D791" s="4"/>
      <c r="E791" s="4"/>
      <c r="F791" s="4"/>
      <c r="G791" s="9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" thickBot="1" x14ac:dyDescent="0.35">
      <c r="A792" s="4"/>
      <c r="B792" s="9"/>
      <c r="C792" s="4"/>
      <c r="D792" s="4"/>
      <c r="E792" s="4"/>
      <c r="F792" s="4"/>
      <c r="G792" s="9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" thickBot="1" x14ac:dyDescent="0.35">
      <c r="A793" s="4"/>
      <c r="B793" s="9"/>
      <c r="C793" s="4"/>
      <c r="D793" s="4"/>
      <c r="E793" s="4"/>
      <c r="F793" s="4"/>
      <c r="G793" s="9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" thickBot="1" x14ac:dyDescent="0.35">
      <c r="A794" s="4"/>
      <c r="B794" s="9"/>
      <c r="C794" s="4"/>
      <c r="D794" s="4"/>
      <c r="E794" s="4"/>
      <c r="F794" s="4"/>
      <c r="G794" s="9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" thickBot="1" x14ac:dyDescent="0.35">
      <c r="A795" s="4"/>
      <c r="B795" s="9"/>
      <c r="C795" s="4"/>
      <c r="D795" s="4"/>
      <c r="E795" s="4"/>
      <c r="F795" s="4"/>
      <c r="G795" s="9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" thickBot="1" x14ac:dyDescent="0.35">
      <c r="A796" s="4"/>
      <c r="B796" s="9"/>
      <c r="C796" s="4"/>
      <c r="D796" s="4"/>
      <c r="E796" s="4"/>
      <c r="F796" s="4"/>
      <c r="G796" s="9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" thickBot="1" x14ac:dyDescent="0.35">
      <c r="A797" s="4"/>
      <c r="B797" s="9"/>
      <c r="C797" s="4"/>
      <c r="D797" s="4"/>
      <c r="E797" s="4"/>
      <c r="F797" s="4"/>
      <c r="G797" s="9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" thickBot="1" x14ac:dyDescent="0.35">
      <c r="A798" s="4"/>
      <c r="B798" s="9"/>
      <c r="C798" s="4"/>
      <c r="D798" s="4"/>
      <c r="E798" s="4"/>
      <c r="F798" s="4"/>
      <c r="G798" s="9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" thickBot="1" x14ac:dyDescent="0.35">
      <c r="A799" s="4"/>
      <c r="B799" s="9"/>
      <c r="C799" s="4"/>
      <c r="D799" s="4"/>
      <c r="E799" s="4"/>
      <c r="F799" s="4"/>
      <c r="G799" s="9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" thickBot="1" x14ac:dyDescent="0.35">
      <c r="A800" s="4"/>
      <c r="B800" s="9"/>
      <c r="C800" s="4"/>
      <c r="D800" s="4"/>
      <c r="E800" s="4"/>
      <c r="F800" s="4"/>
      <c r="G800" s="9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" thickBot="1" x14ac:dyDescent="0.35">
      <c r="A801" s="4"/>
      <c r="B801" s="9"/>
      <c r="C801" s="4"/>
      <c r="D801" s="4"/>
      <c r="E801" s="4"/>
      <c r="F801" s="4"/>
      <c r="G801" s="9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" thickBot="1" x14ac:dyDescent="0.35">
      <c r="A802" s="4"/>
      <c r="B802" s="9"/>
      <c r="C802" s="4"/>
      <c r="D802" s="4"/>
      <c r="E802" s="4"/>
      <c r="F802" s="4"/>
      <c r="G802" s="9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" thickBot="1" x14ac:dyDescent="0.35">
      <c r="A803" s="4"/>
      <c r="B803" s="9"/>
      <c r="C803" s="4"/>
      <c r="D803" s="4"/>
      <c r="E803" s="4"/>
      <c r="F803" s="4"/>
      <c r="G803" s="9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" thickBot="1" x14ac:dyDescent="0.35">
      <c r="A804" s="4"/>
      <c r="B804" s="9"/>
      <c r="C804" s="4"/>
      <c r="D804" s="4"/>
      <c r="E804" s="4"/>
      <c r="F804" s="4"/>
      <c r="G804" s="9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" thickBot="1" x14ac:dyDescent="0.35">
      <c r="A805" s="4"/>
      <c r="B805" s="9"/>
      <c r="C805" s="4"/>
      <c r="D805" s="4"/>
      <c r="E805" s="4"/>
      <c r="F805" s="4"/>
      <c r="G805" s="9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" thickBot="1" x14ac:dyDescent="0.35">
      <c r="A806" s="4"/>
      <c r="B806" s="9"/>
      <c r="C806" s="4"/>
      <c r="D806" s="4"/>
      <c r="E806" s="4"/>
      <c r="F806" s="4"/>
      <c r="G806" s="9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" thickBot="1" x14ac:dyDescent="0.35">
      <c r="A807" s="4"/>
      <c r="B807" s="9"/>
      <c r="C807" s="4"/>
      <c r="D807" s="4"/>
      <c r="E807" s="4"/>
      <c r="F807" s="4"/>
      <c r="G807" s="9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" thickBot="1" x14ac:dyDescent="0.35">
      <c r="A808" s="4"/>
      <c r="B808" s="9"/>
      <c r="C808" s="4"/>
      <c r="D808" s="4"/>
      <c r="E808" s="4"/>
      <c r="F808" s="4"/>
      <c r="G808" s="9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" thickBo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" thickBo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" thickBo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" thickBo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" thickBo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" thickBo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" thickBo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" thickBo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" thickBo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" thickBo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" thickBo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" thickBo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" thickBo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" thickBo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" thickBo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" thickBo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" thickBo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" thickBo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" thickBo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" thickBo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" thickBo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" thickBo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" thickBo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" thickBo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" thickBo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" thickBo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" thickBo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" thickBo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" thickBo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" thickBo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" thickBo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" thickBo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" thickBo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" thickBo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" thickBo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" thickBo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" thickBo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" thickBo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" thickBo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" thickBo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" thickBo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" thickBo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" thickBo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" thickBo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" thickBo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" thickBo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" thickBo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" thickBo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" thickBo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" thickBo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" thickBo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" thickBo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" thickBo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" thickBo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" thickBo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" thickBo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" thickBo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" thickBo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" thickBo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" thickBo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" thickBo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" thickBo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" thickBo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" thickBo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" thickBo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" thickBo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" thickBo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" thickBo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" thickBo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" thickBo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" thickBo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" thickBo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" thickBo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" thickBo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" thickBo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" thickBo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" thickBo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" thickBo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" thickBo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" thickBo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" thickBo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" thickBo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" thickBo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" thickBo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" thickBo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" thickBo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" thickBo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" thickBo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" thickBo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" thickBo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" thickBo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" thickBo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" thickBo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" thickBo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" thickBo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" thickBo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" thickBo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" thickBo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" thickBo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" thickBo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" thickBo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" thickBo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" thickBo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" thickBo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" thickBo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" thickBo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" thickBo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" thickBo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" thickBo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" thickBo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" thickBo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" thickBo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" thickBo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" thickBo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" thickBo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" thickBo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" thickBo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" thickBo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" thickBo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" thickBo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" thickBo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" thickBo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" thickBo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" thickBo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" thickBo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" thickBo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" thickBo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" thickBo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" thickBo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" thickBo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" thickBo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" thickBo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" thickBo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" thickBo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" thickBo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" thickBo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" thickBo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" thickBo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" thickBo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" thickBo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" thickBo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" thickBo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" thickBo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" thickBo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" thickBo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" thickBo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" thickBo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" thickBo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" thickBo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" thickBo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" thickBo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" thickBo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" thickBo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" thickBo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" thickBo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" thickBo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" thickBo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" thickBo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" thickBo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" thickBo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" thickBo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" thickBo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" thickBo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" thickBo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" thickBo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" thickBo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" thickBo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" thickBo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" thickBo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" thickBo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" thickBo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" thickBo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" thickBo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" thickBo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" thickBo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" thickBo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" thickBo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" thickBo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" thickBo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" thickBo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" thickBo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" thickBo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" thickBo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" thickBo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" thickBo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" thickBo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" thickBo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" thickBo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" thickBo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" thickBo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" thickBo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" thickBo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FABE-3BC9-4DEC-A389-AB1309F4A369}">
  <dimension ref="A1:B1000"/>
  <sheetViews>
    <sheetView workbookViewId="0">
      <selection activeCell="A6" sqref="A6"/>
    </sheetView>
  </sheetViews>
  <sheetFormatPr defaultRowHeight="14.4" x14ac:dyDescent="0.3"/>
  <cols>
    <col min="1" max="1" width="45.44140625" customWidth="1"/>
    <col min="2" max="2" width="25.44140625" customWidth="1"/>
  </cols>
  <sheetData>
    <row r="1" spans="1:2" ht="15" thickBot="1" x14ac:dyDescent="0.35">
      <c r="A1" s="1" t="s">
        <v>0</v>
      </c>
      <c r="B1" s="2" t="s">
        <v>755</v>
      </c>
    </row>
    <row r="2" spans="1:2" ht="15" thickBot="1" x14ac:dyDescent="0.35">
      <c r="A2" s="5" t="s">
        <v>6</v>
      </c>
      <c r="B2" s="6">
        <v>7.6535000000000002</v>
      </c>
    </row>
    <row r="3" spans="1:2" ht="15" thickBot="1" x14ac:dyDescent="0.35">
      <c r="A3" s="5" t="s">
        <v>7</v>
      </c>
      <c r="B3" s="6">
        <v>7.6078000000000001</v>
      </c>
    </row>
    <row r="4" spans="1:2" ht="15" thickBot="1" x14ac:dyDescent="0.35">
      <c r="A4" s="5" t="s">
        <v>8</v>
      </c>
      <c r="B4" s="6">
        <v>8.1240000000000006</v>
      </c>
    </row>
    <row r="5" spans="1:2" ht="15" thickBot="1" x14ac:dyDescent="0.35">
      <c r="A5" s="5" t="s">
        <v>9</v>
      </c>
      <c r="B5" s="6">
        <v>8.1219999999999999</v>
      </c>
    </row>
    <row r="6" spans="1:2" ht="15" thickBot="1" x14ac:dyDescent="0.35">
      <c r="A6" s="5" t="s">
        <v>10</v>
      </c>
      <c r="B6" s="6">
        <v>8.1750000000000007</v>
      </c>
    </row>
    <row r="7" spans="1:2" ht="15" thickBot="1" x14ac:dyDescent="0.35">
      <c r="A7" s="5" t="s">
        <v>11</v>
      </c>
      <c r="B7" s="6">
        <v>7.5631000000000004</v>
      </c>
    </row>
    <row r="8" spans="1:2" ht="15" thickBot="1" x14ac:dyDescent="0.35">
      <c r="A8" s="5" t="s">
        <v>12</v>
      </c>
      <c r="B8" s="6">
        <v>8</v>
      </c>
    </row>
    <row r="9" spans="1:2" ht="15" thickBot="1" x14ac:dyDescent="0.35">
      <c r="A9" s="5" t="s">
        <v>13</v>
      </c>
      <c r="B9" s="6">
        <v>8.1</v>
      </c>
    </row>
    <row r="10" spans="1:2" ht="15" thickBot="1" x14ac:dyDescent="0.35">
      <c r="A10" s="5" t="s">
        <v>14</v>
      </c>
      <c r="B10" s="6">
        <v>7.5282999999999998</v>
      </c>
    </row>
    <row r="11" spans="1:2" ht="15" thickBot="1" x14ac:dyDescent="0.35">
      <c r="A11" s="5" t="s">
        <v>15</v>
      </c>
      <c r="B11" s="6">
        <v>7.9412000000000003</v>
      </c>
    </row>
    <row r="12" spans="1:2" ht="15" thickBot="1" x14ac:dyDescent="0.35">
      <c r="A12" s="5" t="s">
        <v>15</v>
      </c>
      <c r="B12" s="6">
        <v>7.9412000000000003</v>
      </c>
    </row>
    <row r="13" spans="1:2" ht="15" thickBot="1" x14ac:dyDescent="0.35">
      <c r="A13" s="5" t="s">
        <v>16</v>
      </c>
      <c r="B13" s="6">
        <v>7.8837000000000002</v>
      </c>
    </row>
    <row r="14" spans="1:2" ht="15" thickBot="1" x14ac:dyDescent="0.35">
      <c r="A14" s="5" t="s">
        <v>17</v>
      </c>
      <c r="B14" s="6">
        <v>8.4814000000000007</v>
      </c>
    </row>
    <row r="15" spans="1:2" ht="15" thickBot="1" x14ac:dyDescent="0.35">
      <c r="A15" s="5" t="s">
        <v>18</v>
      </c>
      <c r="B15" s="6">
        <v>8.48</v>
      </c>
    </row>
    <row r="16" spans="1:2" ht="15" thickBot="1" x14ac:dyDescent="0.35">
      <c r="A16" s="5" t="s">
        <v>19</v>
      </c>
      <c r="B16" s="6">
        <v>7.8719999999999999</v>
      </c>
    </row>
    <row r="17" spans="1:2" ht="15" thickBot="1" x14ac:dyDescent="0.35">
      <c r="A17" s="5" t="s">
        <v>20</v>
      </c>
      <c r="B17" s="6">
        <v>8.5107999999999997</v>
      </c>
    </row>
    <row r="18" spans="1:2" ht="15" thickBot="1" x14ac:dyDescent="0.35">
      <c r="A18" s="5" t="s">
        <v>21</v>
      </c>
      <c r="B18" s="6">
        <v>8.5105000000000004</v>
      </c>
    </row>
    <row r="19" spans="1:2" ht="15" thickBot="1" x14ac:dyDescent="0.35">
      <c r="A19" s="5" t="s">
        <v>22</v>
      </c>
      <c r="B19" s="6">
        <v>8.0250000000000004</v>
      </c>
    </row>
    <row r="20" spans="1:2" ht="15" thickBot="1" x14ac:dyDescent="0.35">
      <c r="A20" s="5" t="s">
        <v>23</v>
      </c>
      <c r="B20" s="6">
        <v>8.2757000000000005</v>
      </c>
    </row>
    <row r="21" spans="1:2" ht="15" thickBot="1" x14ac:dyDescent="0.35">
      <c r="A21" s="5" t="s">
        <v>24</v>
      </c>
      <c r="B21" s="6">
        <v>8.3862000000000005</v>
      </c>
    </row>
    <row r="22" spans="1:2" ht="15" thickBot="1" x14ac:dyDescent="0.35">
      <c r="A22" s="5" t="s">
        <v>25</v>
      </c>
      <c r="B22" s="6">
        <v>8.2736999999999998</v>
      </c>
    </row>
    <row r="23" spans="1:2" ht="15" thickBot="1" x14ac:dyDescent="0.35">
      <c r="A23" s="5" t="s">
        <v>26</v>
      </c>
      <c r="B23" s="6">
        <v>8.3840000000000003</v>
      </c>
    </row>
    <row r="24" spans="1:2" ht="15" thickBot="1" x14ac:dyDescent="0.35">
      <c r="A24" s="5" t="s">
        <v>27</v>
      </c>
      <c r="B24" s="6">
        <v>8.3244000000000007</v>
      </c>
    </row>
    <row r="25" spans="1:2" ht="15" thickBot="1" x14ac:dyDescent="0.35">
      <c r="A25" s="5" t="s">
        <v>28</v>
      </c>
      <c r="B25" s="6">
        <v>8.3230000000000004</v>
      </c>
    </row>
    <row r="26" spans="1:2" ht="15" thickBot="1" x14ac:dyDescent="0.35">
      <c r="A26" s="5" t="s">
        <v>29</v>
      </c>
      <c r="B26" s="6">
        <v>8.0820000000000007</v>
      </c>
    </row>
    <row r="27" spans="1:2" ht="15" thickBot="1" x14ac:dyDescent="0.35">
      <c r="A27" s="5" t="s">
        <v>30</v>
      </c>
      <c r="B27" s="6">
        <v>8.0797000000000008</v>
      </c>
    </row>
    <row r="28" spans="1:2" ht="15" thickBot="1" x14ac:dyDescent="0.35">
      <c r="A28" s="5" t="s">
        <v>31</v>
      </c>
      <c r="B28" s="6">
        <v>8.4450000000000003</v>
      </c>
    </row>
    <row r="29" spans="1:2" ht="15" thickBot="1" x14ac:dyDescent="0.35">
      <c r="A29" s="5" t="s">
        <v>32</v>
      </c>
      <c r="B29" s="6">
        <v>8.4437999999999995</v>
      </c>
    </row>
    <row r="30" spans="1:2" ht="15" thickBot="1" x14ac:dyDescent="0.35">
      <c r="A30" s="5" t="s">
        <v>33</v>
      </c>
      <c r="B30" s="6">
        <v>8.3249999999999993</v>
      </c>
    </row>
    <row r="31" spans="1:2" ht="15" thickBot="1" x14ac:dyDescent="0.35">
      <c r="A31" s="5" t="s">
        <v>34</v>
      </c>
      <c r="B31" s="6">
        <v>8.407</v>
      </c>
    </row>
    <row r="32" spans="1:2" ht="15" thickBot="1" x14ac:dyDescent="0.35">
      <c r="A32" s="5" t="s">
        <v>35</v>
      </c>
      <c r="B32" s="6">
        <v>8.4038000000000004</v>
      </c>
    </row>
    <row r="33" spans="1:2" ht="15" thickBot="1" x14ac:dyDescent="0.35">
      <c r="A33" s="5" t="s">
        <v>36</v>
      </c>
      <c r="B33" s="6">
        <v>8.3224</v>
      </c>
    </row>
    <row r="34" spans="1:2" ht="15" thickBot="1" x14ac:dyDescent="0.35">
      <c r="A34" s="5" t="s">
        <v>37</v>
      </c>
      <c r="B34" s="6">
        <v>7.8</v>
      </c>
    </row>
    <row r="35" spans="1:2" ht="15" thickBot="1" x14ac:dyDescent="0.35">
      <c r="A35" s="5" t="s">
        <v>37</v>
      </c>
      <c r="B35" s="6">
        <v>7.8</v>
      </c>
    </row>
    <row r="36" spans="1:2" ht="15" thickBot="1" x14ac:dyDescent="0.35">
      <c r="A36" s="5" t="s">
        <v>38</v>
      </c>
      <c r="B36" s="6">
        <v>7.7945000000000002</v>
      </c>
    </row>
    <row r="37" spans="1:2" ht="15" thickBot="1" x14ac:dyDescent="0.35">
      <c r="A37" s="5" t="s">
        <v>39</v>
      </c>
      <c r="B37" s="6">
        <v>8.0968</v>
      </c>
    </row>
    <row r="38" spans="1:2" ht="15" thickBot="1" x14ac:dyDescent="0.35">
      <c r="A38" s="5" t="s">
        <v>40</v>
      </c>
      <c r="B38" s="6">
        <v>8.0980000000000008</v>
      </c>
    </row>
    <row r="39" spans="1:2" ht="15" thickBot="1" x14ac:dyDescent="0.35">
      <c r="A39" s="5" t="s">
        <v>41</v>
      </c>
      <c r="B39" s="6">
        <v>8.1539999999999999</v>
      </c>
    </row>
    <row r="40" spans="1:2" ht="15" thickBot="1" x14ac:dyDescent="0.35">
      <c r="A40" s="5" t="s">
        <v>42</v>
      </c>
      <c r="B40" s="6">
        <v>8.1527999999999992</v>
      </c>
    </row>
    <row r="41" spans="1:2" ht="15" thickBot="1" x14ac:dyDescent="0.35">
      <c r="A41" s="5" t="s">
        <v>43</v>
      </c>
      <c r="B41" s="6">
        <v>8.3482000000000003</v>
      </c>
    </row>
    <row r="42" spans="1:2" ht="15" thickBot="1" x14ac:dyDescent="0.35">
      <c r="A42" s="5" t="s">
        <v>44</v>
      </c>
      <c r="B42" s="6">
        <v>8.2478999999999996</v>
      </c>
    </row>
    <row r="43" spans="1:2" ht="15" thickBot="1" x14ac:dyDescent="0.35">
      <c r="A43" s="5" t="s">
        <v>45</v>
      </c>
      <c r="B43" s="6">
        <v>8.2468000000000004</v>
      </c>
    </row>
    <row r="44" spans="1:2" ht="15" thickBot="1" x14ac:dyDescent="0.35">
      <c r="A44" s="5" t="s">
        <v>46</v>
      </c>
      <c r="B44" s="6">
        <v>8.3457000000000008</v>
      </c>
    </row>
    <row r="45" spans="1:2" ht="15" thickBot="1" x14ac:dyDescent="0.35">
      <c r="A45" s="5" t="s">
        <v>47</v>
      </c>
      <c r="B45" s="6">
        <v>7.9770000000000003</v>
      </c>
    </row>
    <row r="46" spans="1:2" ht="15" thickBot="1" x14ac:dyDescent="0.35">
      <c r="A46" s="5" t="s">
        <v>48</v>
      </c>
      <c r="B46" s="6">
        <v>7.9749999999999996</v>
      </c>
    </row>
    <row r="47" spans="1:2" ht="15" thickBot="1" x14ac:dyDescent="0.35">
      <c r="A47" s="5" t="s">
        <v>49</v>
      </c>
      <c r="B47" s="6">
        <v>8.1963000000000008</v>
      </c>
    </row>
    <row r="48" spans="1:2" ht="15" thickBot="1" x14ac:dyDescent="0.35">
      <c r="A48" s="5" t="s">
        <v>50</v>
      </c>
      <c r="B48" s="6">
        <v>8.1940000000000008</v>
      </c>
    </row>
    <row r="49" spans="1:2" ht="15" thickBot="1" x14ac:dyDescent="0.35">
      <c r="A49" s="5" t="s">
        <v>51</v>
      </c>
      <c r="B49" s="6">
        <v>7.7727000000000004</v>
      </c>
    </row>
    <row r="50" spans="1:2" ht="15" thickBot="1" x14ac:dyDescent="0.35">
      <c r="A50" s="5" t="s">
        <v>52</v>
      </c>
      <c r="B50" s="6">
        <v>8</v>
      </c>
    </row>
    <row r="51" spans="1:2" ht="15" thickBot="1" x14ac:dyDescent="0.35">
      <c r="A51" s="5" t="s">
        <v>53</v>
      </c>
      <c r="B51" s="6">
        <v>7.7717999999999998</v>
      </c>
    </row>
    <row r="52" spans="1:2" ht="15" thickBot="1" x14ac:dyDescent="0.35">
      <c r="A52" s="5" t="s">
        <v>53</v>
      </c>
      <c r="B52" s="6">
        <v>7.7717999999999998</v>
      </c>
    </row>
    <row r="53" spans="1:2" ht="15" thickBot="1" x14ac:dyDescent="0.35">
      <c r="A53" s="5" t="s">
        <v>54</v>
      </c>
      <c r="B53" s="6">
        <v>7.7618999999999998</v>
      </c>
    </row>
    <row r="54" spans="1:2" ht="15" thickBot="1" x14ac:dyDescent="0.35">
      <c r="A54" s="5" t="s">
        <v>55</v>
      </c>
      <c r="B54" s="6">
        <v>7.7576000000000001</v>
      </c>
    </row>
    <row r="55" spans="1:2" ht="15" thickBot="1" x14ac:dyDescent="0.35">
      <c r="A55" s="5" t="s">
        <v>56</v>
      </c>
      <c r="B55" s="6">
        <v>7.7969999999999997</v>
      </c>
    </row>
    <row r="56" spans="1:2" ht="15" thickBot="1" x14ac:dyDescent="0.35">
      <c r="A56" s="5" t="s">
        <v>57</v>
      </c>
      <c r="B56" s="6">
        <v>7.7960000000000003</v>
      </c>
    </row>
    <row r="57" spans="1:2" ht="15" thickBot="1" x14ac:dyDescent="0.35">
      <c r="A57" s="5" t="s">
        <v>58</v>
      </c>
      <c r="B57" s="6">
        <v>8.3183000000000007</v>
      </c>
    </row>
    <row r="58" spans="1:2" ht="15" thickBot="1" x14ac:dyDescent="0.35">
      <c r="A58" s="5" t="s">
        <v>59</v>
      </c>
      <c r="B58" s="6">
        <v>8.3164999999999996</v>
      </c>
    </row>
    <row r="59" spans="1:2" ht="15" thickBot="1" x14ac:dyDescent="0.35">
      <c r="A59" s="5" t="s">
        <v>60</v>
      </c>
      <c r="B59" s="6">
        <v>7.8959999999999999</v>
      </c>
    </row>
    <row r="60" spans="1:2" ht="15" thickBot="1" x14ac:dyDescent="0.35">
      <c r="A60" s="5" t="s">
        <v>61</v>
      </c>
      <c r="B60" s="6">
        <v>8.2829999999999995</v>
      </c>
    </row>
    <row r="61" spans="1:2" ht="15" thickBot="1" x14ac:dyDescent="0.35">
      <c r="A61" s="5" t="s">
        <v>62</v>
      </c>
      <c r="B61" s="6">
        <v>8.2840000000000007</v>
      </c>
    </row>
    <row r="62" spans="1:2" ht="15" thickBot="1" x14ac:dyDescent="0.35">
      <c r="A62" s="5" t="s">
        <v>63</v>
      </c>
      <c r="B62" s="6">
        <v>7.8959000000000001</v>
      </c>
    </row>
    <row r="63" spans="1:2" ht="15" thickBot="1" x14ac:dyDescent="0.35">
      <c r="A63" s="5" t="s">
        <v>64</v>
      </c>
      <c r="B63" s="6">
        <v>7.9732000000000003</v>
      </c>
    </row>
    <row r="64" spans="1:2" ht="15" thickBot="1" x14ac:dyDescent="0.35">
      <c r="A64" s="5" t="s">
        <v>65</v>
      </c>
      <c r="B64" s="6">
        <v>8.0770999999999997</v>
      </c>
    </row>
    <row r="65" spans="1:2" ht="15" thickBot="1" x14ac:dyDescent="0.35">
      <c r="A65" s="5" t="s">
        <v>66</v>
      </c>
      <c r="B65" s="6">
        <v>7.9720000000000004</v>
      </c>
    </row>
    <row r="66" spans="1:2" ht="15" thickBot="1" x14ac:dyDescent="0.35">
      <c r="A66" s="5" t="s">
        <v>67</v>
      </c>
      <c r="B66" s="6">
        <v>8.077</v>
      </c>
    </row>
    <row r="67" spans="1:2" ht="15" thickBot="1" x14ac:dyDescent="0.35">
      <c r="A67" s="5" t="s">
        <v>68</v>
      </c>
      <c r="B67" s="6">
        <v>7.9866999999999999</v>
      </c>
    </row>
    <row r="68" spans="1:2" ht="15" thickBot="1" x14ac:dyDescent="0.35">
      <c r="A68" s="5" t="s">
        <v>69</v>
      </c>
      <c r="B68" s="6">
        <v>7.9870000000000001</v>
      </c>
    </row>
    <row r="69" spans="1:2" ht="15" thickBot="1" x14ac:dyDescent="0.35">
      <c r="A69" s="5" t="s">
        <v>70</v>
      </c>
      <c r="B69" s="6">
        <v>7.8569000000000004</v>
      </c>
    </row>
    <row r="70" spans="1:2" ht="15" thickBot="1" x14ac:dyDescent="0.35">
      <c r="A70" s="5" t="s">
        <v>71</v>
      </c>
      <c r="B70" s="6">
        <v>7.8559999999999999</v>
      </c>
    </row>
    <row r="71" spans="1:2" ht="15" thickBot="1" x14ac:dyDescent="0.35">
      <c r="A71" s="5" t="s">
        <v>72</v>
      </c>
      <c r="B71" s="6">
        <v>8.1196000000000002</v>
      </c>
    </row>
    <row r="72" spans="1:2" ht="15" thickBot="1" x14ac:dyDescent="0.35">
      <c r="A72" s="5" t="s">
        <v>73</v>
      </c>
      <c r="B72" s="6">
        <v>8.0185999999999993</v>
      </c>
    </row>
    <row r="73" spans="1:2" ht="15" thickBot="1" x14ac:dyDescent="0.35">
      <c r="A73" s="5" t="s">
        <v>74</v>
      </c>
      <c r="B73" s="6">
        <v>8.2316000000000003</v>
      </c>
    </row>
    <row r="74" spans="1:2" ht="15" thickBot="1" x14ac:dyDescent="0.35">
      <c r="A74" s="5" t="s">
        <v>75</v>
      </c>
      <c r="B74" s="6">
        <v>8.0180000000000007</v>
      </c>
    </row>
    <row r="75" spans="1:2" ht="15" thickBot="1" x14ac:dyDescent="0.35">
      <c r="A75" s="5" t="s">
        <v>76</v>
      </c>
      <c r="B75" s="6">
        <v>8.1179000000000006</v>
      </c>
    </row>
    <row r="76" spans="1:2" ht="15" thickBot="1" x14ac:dyDescent="0.35">
      <c r="A76" s="5" t="s">
        <v>77</v>
      </c>
      <c r="B76" s="6">
        <v>8.23</v>
      </c>
    </row>
    <row r="77" spans="1:2" ht="15" thickBot="1" x14ac:dyDescent="0.35">
      <c r="A77" s="5" t="s">
        <v>78</v>
      </c>
      <c r="B77" s="6">
        <v>7.7297000000000002</v>
      </c>
    </row>
    <row r="78" spans="1:2" ht="15" thickBot="1" x14ac:dyDescent="0.35">
      <c r="A78" s="5" t="s">
        <v>79</v>
      </c>
      <c r="B78" s="6">
        <v>7.65</v>
      </c>
    </row>
    <row r="79" spans="1:2" ht="15" thickBot="1" x14ac:dyDescent="0.35">
      <c r="A79" s="5" t="s">
        <v>80</v>
      </c>
      <c r="B79" s="6">
        <v>7.5</v>
      </c>
    </row>
    <row r="80" spans="1:2" ht="15" thickBot="1" x14ac:dyDescent="0.35">
      <c r="A80" s="5" t="s">
        <v>81</v>
      </c>
      <c r="B80" s="6">
        <v>8.1419999999999995</v>
      </c>
    </row>
    <row r="81" spans="1:2" ht="15" thickBot="1" x14ac:dyDescent="0.35">
      <c r="A81" s="5" t="s">
        <v>82</v>
      </c>
      <c r="B81" s="6">
        <v>7.7191000000000001</v>
      </c>
    </row>
    <row r="82" spans="1:2" ht="15" thickBot="1" x14ac:dyDescent="0.35">
      <c r="A82" s="5" t="s">
        <v>83</v>
      </c>
      <c r="B82" s="6">
        <v>8.1401000000000003</v>
      </c>
    </row>
    <row r="83" spans="1:2" ht="15" thickBot="1" x14ac:dyDescent="0.35">
      <c r="A83" s="5" t="s">
        <v>84</v>
      </c>
      <c r="B83" s="6">
        <v>8.1890999999999998</v>
      </c>
    </row>
    <row r="84" spans="1:2" ht="15" thickBot="1" x14ac:dyDescent="0.35">
      <c r="A84" s="5" t="s">
        <v>85</v>
      </c>
      <c r="B84" s="6">
        <v>8.1869999999999994</v>
      </c>
    </row>
    <row r="85" spans="1:2" ht="15" thickBot="1" x14ac:dyDescent="0.35">
      <c r="A85" s="5" t="s">
        <v>86</v>
      </c>
      <c r="B85" s="6">
        <v>7.7309999999999999</v>
      </c>
    </row>
    <row r="86" spans="1:2" ht="15" thickBot="1" x14ac:dyDescent="0.35">
      <c r="A86" s="5" t="s">
        <v>87</v>
      </c>
      <c r="B86" s="6">
        <v>7.7305999999999999</v>
      </c>
    </row>
    <row r="87" spans="1:2" ht="15" thickBot="1" x14ac:dyDescent="0.35">
      <c r="A87" s="5" t="s">
        <v>88</v>
      </c>
      <c r="B87" s="6">
        <v>8.0350999999999999</v>
      </c>
    </row>
    <row r="88" spans="1:2" ht="15" thickBot="1" x14ac:dyDescent="0.35">
      <c r="A88" s="5" t="s">
        <v>89</v>
      </c>
      <c r="B88" s="6">
        <v>7.8521000000000001</v>
      </c>
    </row>
    <row r="89" spans="1:2" ht="15" thickBot="1" x14ac:dyDescent="0.35">
      <c r="A89" s="5" t="s">
        <v>90</v>
      </c>
      <c r="B89" s="6">
        <v>7.8518999999999997</v>
      </c>
    </row>
    <row r="90" spans="1:2" ht="15" thickBot="1" x14ac:dyDescent="0.35">
      <c r="A90" s="5" t="s">
        <v>91</v>
      </c>
      <c r="B90" s="6">
        <v>7.8150000000000004</v>
      </c>
    </row>
    <row r="91" spans="1:2" ht="15" thickBot="1" x14ac:dyDescent="0.35">
      <c r="A91" s="5" t="s">
        <v>92</v>
      </c>
      <c r="B91" s="6">
        <v>7.8148999999999997</v>
      </c>
    </row>
    <row r="92" spans="1:2" ht="15" thickBot="1" x14ac:dyDescent="0.35">
      <c r="A92" s="5" t="s">
        <v>93</v>
      </c>
      <c r="B92" s="6">
        <v>8.1479999999999997</v>
      </c>
    </row>
    <row r="93" spans="1:2" ht="15" thickBot="1" x14ac:dyDescent="0.35">
      <c r="A93" s="5" t="s">
        <v>94</v>
      </c>
      <c r="B93" s="6">
        <v>8.1483000000000008</v>
      </c>
    </row>
    <row r="94" spans="1:2" ht="15" thickBot="1" x14ac:dyDescent="0.35">
      <c r="A94" s="5" t="s">
        <v>95</v>
      </c>
      <c r="B94" s="6">
        <v>7.6666999999999996</v>
      </c>
    </row>
    <row r="95" spans="1:2" ht="15" thickBot="1" x14ac:dyDescent="0.35">
      <c r="A95" s="5" t="s">
        <v>95</v>
      </c>
      <c r="B95" s="6">
        <v>7.6666999999999996</v>
      </c>
    </row>
    <row r="96" spans="1:2" ht="15" thickBot="1" x14ac:dyDescent="0.35">
      <c r="A96" s="5" t="s">
        <v>96</v>
      </c>
      <c r="B96" s="6">
        <v>7.8711000000000002</v>
      </c>
    </row>
    <row r="97" spans="1:2" ht="15" thickBot="1" x14ac:dyDescent="0.35">
      <c r="A97" s="5" t="s">
        <v>97</v>
      </c>
      <c r="B97" s="6">
        <v>7.8700999999999999</v>
      </c>
    </row>
    <row r="98" spans="1:2" ht="15" thickBot="1" x14ac:dyDescent="0.35">
      <c r="A98" s="5" t="s">
        <v>98</v>
      </c>
      <c r="B98" s="6">
        <v>7.6619999999999999</v>
      </c>
    </row>
    <row r="99" spans="1:2" ht="15" thickBot="1" x14ac:dyDescent="0.35">
      <c r="A99" s="5" t="s">
        <v>99</v>
      </c>
      <c r="B99" s="6">
        <v>7.7093999999999996</v>
      </c>
    </row>
    <row r="100" spans="1:2" ht="15" thickBot="1" x14ac:dyDescent="0.35">
      <c r="A100" s="5" t="s">
        <v>100</v>
      </c>
      <c r="B100" s="6">
        <v>7.7080000000000002</v>
      </c>
    </row>
    <row r="101" spans="1:2" ht="15" thickBot="1" x14ac:dyDescent="0.35">
      <c r="A101" s="5" t="s">
        <v>101</v>
      </c>
      <c r="B101" s="6">
        <v>7.8840000000000003</v>
      </c>
    </row>
    <row r="102" spans="1:2" ht="15" thickBot="1" x14ac:dyDescent="0.35">
      <c r="A102" s="5" t="s">
        <v>102</v>
      </c>
      <c r="B102" s="6">
        <v>7.9080000000000004</v>
      </c>
    </row>
    <row r="103" spans="1:2" ht="15" thickBot="1" x14ac:dyDescent="0.35">
      <c r="A103" s="5" t="s">
        <v>103</v>
      </c>
      <c r="B103" s="6">
        <v>7.9074</v>
      </c>
    </row>
    <row r="104" spans="1:2" ht="15" thickBot="1" x14ac:dyDescent="0.35">
      <c r="A104" s="5" t="s">
        <v>104</v>
      </c>
      <c r="B104" s="6">
        <v>7.8818999999999999</v>
      </c>
    </row>
    <row r="105" spans="1:2" ht="15" thickBot="1" x14ac:dyDescent="0.35">
      <c r="A105" s="5" t="s">
        <v>105</v>
      </c>
      <c r="B105" s="6">
        <v>7.9398999999999997</v>
      </c>
    </row>
    <row r="106" spans="1:2" ht="15" thickBot="1" x14ac:dyDescent="0.35">
      <c r="A106" s="5" t="s">
        <v>106</v>
      </c>
      <c r="B106" s="6">
        <v>7.9390999999999998</v>
      </c>
    </row>
    <row r="107" spans="1:2" ht="15" thickBot="1" x14ac:dyDescent="0.35">
      <c r="A107" s="5" t="s">
        <v>107</v>
      </c>
      <c r="B107" s="6">
        <v>8.0444999999999993</v>
      </c>
    </row>
    <row r="108" spans="1:2" ht="15" thickBot="1" x14ac:dyDescent="0.35">
      <c r="A108" s="5" t="s">
        <v>108</v>
      </c>
      <c r="B108" s="6">
        <v>8.0780999999999992</v>
      </c>
    </row>
    <row r="109" spans="1:2" ht="15" thickBot="1" x14ac:dyDescent="0.35">
      <c r="A109" s="5" t="s">
        <v>109</v>
      </c>
      <c r="B109" s="6">
        <v>7.9691000000000001</v>
      </c>
    </row>
    <row r="110" spans="1:2" ht="15" thickBot="1" x14ac:dyDescent="0.35">
      <c r="A110" s="5" t="s">
        <v>110</v>
      </c>
      <c r="B110" s="6">
        <v>8.0145</v>
      </c>
    </row>
    <row r="111" spans="1:2" ht="15" thickBot="1" x14ac:dyDescent="0.35">
      <c r="A111" s="5" t="s">
        <v>111</v>
      </c>
      <c r="B111" s="6">
        <v>7.968</v>
      </c>
    </row>
    <row r="112" spans="1:2" ht="15" thickBot="1" x14ac:dyDescent="0.35">
      <c r="A112" s="5" t="s">
        <v>112</v>
      </c>
      <c r="B112" s="6">
        <v>8.0150000000000006</v>
      </c>
    </row>
    <row r="113" spans="1:2" ht="15" thickBot="1" x14ac:dyDescent="0.35">
      <c r="A113" s="5" t="s">
        <v>113</v>
      </c>
      <c r="B113" s="6">
        <v>8.0429999999999993</v>
      </c>
    </row>
    <row r="114" spans="1:2" ht="15" thickBot="1" x14ac:dyDescent="0.35">
      <c r="A114" s="5" t="s">
        <v>114</v>
      </c>
      <c r="B114" s="6">
        <v>8.077</v>
      </c>
    </row>
    <row r="115" spans="1:2" ht="15" thickBot="1" x14ac:dyDescent="0.35">
      <c r="A115" s="5" t="s">
        <v>115</v>
      </c>
      <c r="B115" s="6">
        <v>8.1059999999999999</v>
      </c>
    </row>
    <row r="116" spans="1:2" ht="15" thickBot="1" x14ac:dyDescent="0.35">
      <c r="A116" s="5" t="s">
        <v>116</v>
      </c>
      <c r="B116" s="6">
        <v>8.1050000000000004</v>
      </c>
    </row>
    <row r="117" spans="1:2" ht="15" thickBot="1" x14ac:dyDescent="0.35">
      <c r="A117" s="5" t="s">
        <v>117</v>
      </c>
      <c r="B117" s="6">
        <v>7.9744999999999999</v>
      </c>
    </row>
    <row r="118" spans="1:2" ht="15" thickBot="1" x14ac:dyDescent="0.35">
      <c r="A118" s="5" t="s">
        <v>118</v>
      </c>
      <c r="B118" s="6">
        <v>7.9749999999999996</v>
      </c>
    </row>
    <row r="119" spans="1:2" ht="15" thickBot="1" x14ac:dyDescent="0.35">
      <c r="A119" s="5" t="s">
        <v>119</v>
      </c>
      <c r="B119" s="6">
        <v>7.7171000000000003</v>
      </c>
    </row>
    <row r="120" spans="1:2" ht="15" thickBot="1" x14ac:dyDescent="0.35">
      <c r="A120" s="5" t="s">
        <v>120</v>
      </c>
      <c r="B120" s="6">
        <v>7.7153</v>
      </c>
    </row>
    <row r="121" spans="1:2" ht="15" thickBot="1" x14ac:dyDescent="0.35">
      <c r="A121" s="5" t="s">
        <v>121</v>
      </c>
      <c r="B121" s="6">
        <v>7.9482999999999997</v>
      </c>
    </row>
    <row r="122" spans="1:2" ht="15" thickBot="1" x14ac:dyDescent="0.35">
      <c r="A122" s="5" t="s">
        <v>122</v>
      </c>
      <c r="B122" s="6">
        <v>7.5613999999999999</v>
      </c>
    </row>
    <row r="123" spans="1:2" ht="15" thickBot="1" x14ac:dyDescent="0.35">
      <c r="A123" s="5" t="s">
        <v>123</v>
      </c>
      <c r="B123" s="6">
        <v>7.3860000000000001</v>
      </c>
    </row>
    <row r="124" spans="1:2" ht="15" thickBot="1" x14ac:dyDescent="0.35">
      <c r="A124" s="5" t="s">
        <v>124</v>
      </c>
      <c r="B124" s="6">
        <v>7.2104999999999997</v>
      </c>
    </row>
    <row r="125" spans="1:2" ht="15" thickBot="1" x14ac:dyDescent="0.35">
      <c r="A125" s="5" t="s">
        <v>125</v>
      </c>
      <c r="B125" s="6">
        <v>7.73</v>
      </c>
    </row>
    <row r="126" spans="1:2" ht="15" thickBot="1" x14ac:dyDescent="0.35">
      <c r="A126" s="5" t="s">
        <v>126</v>
      </c>
      <c r="B126" s="6">
        <v>7.7291999999999996</v>
      </c>
    </row>
    <row r="127" spans="1:2" ht="15" thickBot="1" x14ac:dyDescent="0.35">
      <c r="A127" s="5" t="s">
        <v>127</v>
      </c>
      <c r="B127" s="6">
        <v>7.6092000000000004</v>
      </c>
    </row>
    <row r="128" spans="1:2" ht="15" thickBot="1" x14ac:dyDescent="0.35">
      <c r="A128" s="5" t="s">
        <v>128</v>
      </c>
      <c r="B128" s="6">
        <v>7.6079999999999997</v>
      </c>
    </row>
    <row r="129" spans="1:2" ht="15" thickBot="1" x14ac:dyDescent="0.35">
      <c r="A129" s="5" t="s">
        <v>129</v>
      </c>
      <c r="B129" s="6">
        <v>7.5952000000000002</v>
      </c>
    </row>
    <row r="130" spans="1:2" ht="15" thickBot="1" x14ac:dyDescent="0.35">
      <c r="A130" s="5" t="s">
        <v>130</v>
      </c>
      <c r="B130" s="6">
        <v>7.5938999999999997</v>
      </c>
    </row>
    <row r="131" spans="1:2" ht="15" thickBot="1" x14ac:dyDescent="0.35">
      <c r="A131" s="5" t="s">
        <v>131</v>
      </c>
      <c r="B131" s="6">
        <v>8.25</v>
      </c>
    </row>
    <row r="132" spans="1:2" ht="15" thickBot="1" x14ac:dyDescent="0.35">
      <c r="A132" s="5" t="s">
        <v>132</v>
      </c>
      <c r="B132" s="6">
        <v>7.375</v>
      </c>
    </row>
    <row r="133" spans="1:2" ht="15" thickBot="1" x14ac:dyDescent="0.35">
      <c r="A133" s="5" t="s">
        <v>133</v>
      </c>
      <c r="B133" s="6">
        <v>7.2</v>
      </c>
    </row>
    <row r="134" spans="1:2" ht="15" thickBot="1" x14ac:dyDescent="0.35">
      <c r="A134" s="5" t="s">
        <v>134</v>
      </c>
      <c r="B134" s="6">
        <v>7.75</v>
      </c>
    </row>
    <row r="135" spans="1:2" ht="15" thickBot="1" x14ac:dyDescent="0.35">
      <c r="A135" s="5" t="s">
        <v>135</v>
      </c>
      <c r="B135" s="6">
        <v>7.7087000000000003</v>
      </c>
    </row>
    <row r="136" spans="1:2" ht="15" thickBot="1" x14ac:dyDescent="0.35">
      <c r="A136" s="5" t="s">
        <v>136</v>
      </c>
      <c r="B136" s="6">
        <v>7.7077999999999998</v>
      </c>
    </row>
    <row r="137" spans="1:2" ht="15" thickBot="1" x14ac:dyDescent="0.35">
      <c r="A137" s="5" t="s">
        <v>137</v>
      </c>
      <c r="B137" s="6">
        <v>7.5590000000000002</v>
      </c>
    </row>
    <row r="138" spans="1:2" ht="15" thickBot="1" x14ac:dyDescent="0.35">
      <c r="A138" s="5" t="s">
        <v>138</v>
      </c>
      <c r="B138" s="6">
        <v>7.5582000000000003</v>
      </c>
    </row>
    <row r="139" spans="1:2" ht="15" thickBot="1" x14ac:dyDescent="0.35">
      <c r="A139" s="5" t="s">
        <v>139</v>
      </c>
      <c r="B139" s="6">
        <v>7.7881999999999998</v>
      </c>
    </row>
    <row r="140" spans="1:2" ht="15" thickBot="1" x14ac:dyDescent="0.35">
      <c r="A140" s="5" t="s">
        <v>140</v>
      </c>
      <c r="B140" s="6">
        <v>7.9749999999999996</v>
      </c>
    </row>
    <row r="141" spans="1:2" ht="15" thickBot="1" x14ac:dyDescent="0.35">
      <c r="A141" s="5" t="s">
        <v>141</v>
      </c>
      <c r="B141" s="6">
        <v>7.9724000000000004</v>
      </c>
    </row>
    <row r="142" spans="1:2" ht="15" thickBot="1" x14ac:dyDescent="0.35">
      <c r="A142" s="5" t="s">
        <v>142</v>
      </c>
      <c r="B142" s="6">
        <v>7.7858999999999998</v>
      </c>
    </row>
    <row r="143" spans="1:2" ht="15" thickBot="1" x14ac:dyDescent="0.35">
      <c r="A143" s="5" t="s">
        <v>143</v>
      </c>
      <c r="B143" s="6">
        <v>7.5751999999999997</v>
      </c>
    </row>
    <row r="144" spans="1:2" ht="15" thickBot="1" x14ac:dyDescent="0.35">
      <c r="A144" s="5" t="s">
        <v>143</v>
      </c>
      <c r="B144" s="6">
        <v>7.5751999999999997</v>
      </c>
    </row>
    <row r="145" spans="1:2" ht="15" thickBot="1" x14ac:dyDescent="0.35">
      <c r="A145" s="5" t="s">
        <v>144</v>
      </c>
      <c r="B145" s="6">
        <v>7.7350000000000003</v>
      </c>
    </row>
    <row r="146" spans="1:2" ht="15" thickBot="1" x14ac:dyDescent="0.35">
      <c r="A146" s="5" t="s">
        <v>145</v>
      </c>
      <c r="B146" s="6">
        <v>7.8806000000000003</v>
      </c>
    </row>
    <row r="147" spans="1:2" ht="15" thickBot="1" x14ac:dyDescent="0.35">
      <c r="A147" s="5" t="s">
        <v>146</v>
      </c>
      <c r="B147" s="6">
        <v>7.8800999999999997</v>
      </c>
    </row>
    <row r="148" spans="1:2" ht="15" thickBot="1" x14ac:dyDescent="0.35">
      <c r="A148" s="5" t="s">
        <v>147</v>
      </c>
      <c r="B148" s="6">
        <v>7.7329999999999997</v>
      </c>
    </row>
    <row r="149" spans="1:2" ht="15" thickBot="1" x14ac:dyDescent="0.35">
      <c r="A149" s="5" t="s">
        <v>148</v>
      </c>
      <c r="B149" s="6">
        <v>7.55</v>
      </c>
    </row>
    <row r="150" spans="1:2" ht="15" thickBot="1" x14ac:dyDescent="0.35">
      <c r="A150" s="5" t="s">
        <v>149</v>
      </c>
      <c r="B150" s="6">
        <v>7.5671999999999997</v>
      </c>
    </row>
    <row r="151" spans="1:2" ht="15" thickBot="1" x14ac:dyDescent="0.35">
      <c r="A151" s="5" t="s">
        <v>150</v>
      </c>
      <c r="B151" s="6">
        <v>7.5651999999999999</v>
      </c>
    </row>
    <row r="152" spans="1:2" ht="15" thickBot="1" x14ac:dyDescent="0.35">
      <c r="A152" s="5" t="s">
        <v>150</v>
      </c>
      <c r="B152" s="6">
        <v>7.5651999999999999</v>
      </c>
    </row>
    <row r="153" spans="1:2" ht="15" thickBot="1" x14ac:dyDescent="0.35">
      <c r="A153" s="5" t="s">
        <v>151</v>
      </c>
      <c r="B153" s="6">
        <v>7.7427000000000001</v>
      </c>
    </row>
    <row r="154" spans="1:2" ht="15" thickBot="1" x14ac:dyDescent="0.35">
      <c r="A154" s="5" t="s">
        <v>152</v>
      </c>
      <c r="B154" s="6">
        <v>7.7412999999999998</v>
      </c>
    </row>
    <row r="155" spans="1:2" ht="15" thickBot="1" x14ac:dyDescent="0.35">
      <c r="A155" s="5" t="s">
        <v>153</v>
      </c>
      <c r="B155" s="6">
        <v>7.8342000000000001</v>
      </c>
    </row>
    <row r="156" spans="1:2" ht="15" thickBot="1" x14ac:dyDescent="0.35">
      <c r="A156" s="5" t="s">
        <v>154</v>
      </c>
      <c r="B156" s="6">
        <v>7.8356000000000003</v>
      </c>
    </row>
    <row r="157" spans="1:2" ht="15" thickBot="1" x14ac:dyDescent="0.35">
      <c r="A157" s="5" t="s">
        <v>155</v>
      </c>
      <c r="B157" s="6">
        <v>7.8659999999999997</v>
      </c>
    </row>
    <row r="158" spans="1:2" ht="15" thickBot="1" x14ac:dyDescent="0.35">
      <c r="A158" s="5" t="s">
        <v>156</v>
      </c>
      <c r="B158" s="6">
        <v>7.8654000000000002</v>
      </c>
    </row>
    <row r="159" spans="1:2" ht="15" thickBot="1" x14ac:dyDescent="0.35">
      <c r="A159" s="5" t="s">
        <v>157</v>
      </c>
      <c r="B159" s="6">
        <v>7.8117999999999999</v>
      </c>
    </row>
    <row r="160" spans="1:2" ht="15" thickBot="1" x14ac:dyDescent="0.35">
      <c r="A160" s="5" t="s">
        <v>158</v>
      </c>
      <c r="B160" s="6">
        <v>7.8110999999999997</v>
      </c>
    </row>
    <row r="161" spans="1:2" ht="15" thickBot="1" x14ac:dyDescent="0.35">
      <c r="A161" s="5" t="s">
        <v>159</v>
      </c>
      <c r="B161" s="6">
        <v>7.9078999999999997</v>
      </c>
    </row>
    <row r="162" spans="1:2" ht="15" thickBot="1" x14ac:dyDescent="0.35">
      <c r="A162" s="5" t="s">
        <v>160</v>
      </c>
      <c r="B162" s="6">
        <v>7.907</v>
      </c>
    </row>
    <row r="163" spans="1:2" ht="15" thickBot="1" x14ac:dyDescent="0.35">
      <c r="A163" s="5" t="s">
        <v>161</v>
      </c>
      <c r="B163" s="6">
        <v>7.5465999999999998</v>
      </c>
    </row>
    <row r="164" spans="1:2" ht="15" thickBot="1" x14ac:dyDescent="0.35">
      <c r="A164" s="5" t="s">
        <v>162</v>
      </c>
      <c r="B164" s="6">
        <v>7.8800999999999997</v>
      </c>
    </row>
    <row r="165" spans="1:2" ht="15" thickBot="1" x14ac:dyDescent="0.35">
      <c r="A165" s="5" t="s">
        <v>163</v>
      </c>
      <c r="B165" s="6">
        <v>7.8806000000000003</v>
      </c>
    </row>
    <row r="166" spans="1:2" ht="15" thickBot="1" x14ac:dyDescent="0.35">
      <c r="A166" s="5" t="s">
        <v>164</v>
      </c>
      <c r="B166" s="6">
        <v>7.5449999999999999</v>
      </c>
    </row>
    <row r="167" spans="1:2" ht="15" thickBot="1" x14ac:dyDescent="0.35">
      <c r="A167" s="5" t="s">
        <v>165</v>
      </c>
      <c r="B167" s="6">
        <v>7.7636000000000003</v>
      </c>
    </row>
    <row r="168" spans="1:2" ht="15" thickBot="1" x14ac:dyDescent="0.35">
      <c r="A168" s="5" t="s">
        <v>166</v>
      </c>
      <c r="B168" s="6">
        <v>7.7622</v>
      </c>
    </row>
    <row r="169" spans="1:2" ht="15" thickBot="1" x14ac:dyDescent="0.35">
      <c r="A169" s="5" t="s">
        <v>167</v>
      </c>
      <c r="B169" s="6">
        <v>7.5175000000000001</v>
      </c>
    </row>
    <row r="170" spans="1:2" ht="15" thickBot="1" x14ac:dyDescent="0.35">
      <c r="A170" s="5" t="s">
        <v>168</v>
      </c>
      <c r="B170" s="6">
        <v>7.5155000000000003</v>
      </c>
    </row>
    <row r="171" spans="1:2" ht="15" thickBot="1" x14ac:dyDescent="0.35">
      <c r="A171" s="5" t="s">
        <v>169</v>
      </c>
      <c r="B171" s="6">
        <v>6.94</v>
      </c>
    </row>
    <row r="172" spans="1:2" ht="15" thickBot="1" x14ac:dyDescent="0.35">
      <c r="A172" s="5" t="s">
        <v>170</v>
      </c>
      <c r="B172" s="6">
        <v>7.5359999999999996</v>
      </c>
    </row>
    <row r="173" spans="1:2" ht="15" thickBot="1" x14ac:dyDescent="0.35">
      <c r="A173" s="5" t="s">
        <v>171</v>
      </c>
      <c r="B173" s="6">
        <v>7.5350000000000001</v>
      </c>
    </row>
    <row r="174" spans="1:2" ht="15" thickBot="1" x14ac:dyDescent="0.35">
      <c r="A174" s="5" t="s">
        <v>172</v>
      </c>
      <c r="B174" s="6">
        <v>8</v>
      </c>
    </row>
    <row r="175" spans="1:2" ht="15" thickBot="1" x14ac:dyDescent="0.35">
      <c r="A175" s="5" t="s">
        <v>173</v>
      </c>
      <c r="B175" s="6">
        <v>7.4286000000000003</v>
      </c>
    </row>
    <row r="176" spans="1:2" ht="15" thickBot="1" x14ac:dyDescent="0.35">
      <c r="A176" s="5" t="s">
        <v>174</v>
      </c>
      <c r="B176" s="6">
        <v>7.8235000000000001</v>
      </c>
    </row>
    <row r="177" spans="1:2" ht="15" thickBot="1" x14ac:dyDescent="0.35">
      <c r="A177" s="5" t="s">
        <v>175</v>
      </c>
      <c r="B177" s="6">
        <v>7.3810000000000002</v>
      </c>
    </row>
    <row r="178" spans="1:2" ht="15" thickBot="1" x14ac:dyDescent="0.35">
      <c r="A178" s="5" t="s">
        <v>176</v>
      </c>
      <c r="B178" s="6">
        <v>7.5940000000000003</v>
      </c>
    </row>
    <row r="179" spans="1:2" ht="15" thickBot="1" x14ac:dyDescent="0.35">
      <c r="A179" s="5" t="s">
        <v>177</v>
      </c>
      <c r="B179" s="6">
        <v>7.5930999999999997</v>
      </c>
    </row>
    <row r="180" spans="1:2" ht="15" thickBot="1" x14ac:dyDescent="0.35">
      <c r="A180" s="5" t="s">
        <v>178</v>
      </c>
      <c r="B180" s="6">
        <v>7.5484999999999998</v>
      </c>
    </row>
    <row r="181" spans="1:2" ht="15" thickBot="1" x14ac:dyDescent="0.35">
      <c r="A181" s="5" t="s">
        <v>179</v>
      </c>
      <c r="B181" s="6">
        <v>7.55</v>
      </c>
    </row>
    <row r="182" spans="1:2" ht="15" thickBot="1" x14ac:dyDescent="0.35">
      <c r="A182" s="5" t="s">
        <v>180</v>
      </c>
      <c r="B182" s="6">
        <v>7.8472</v>
      </c>
    </row>
    <row r="183" spans="1:2" ht="15" thickBot="1" x14ac:dyDescent="0.35">
      <c r="A183" s="5" t="s">
        <v>181</v>
      </c>
      <c r="B183" s="6">
        <v>7.8479000000000001</v>
      </c>
    </row>
    <row r="184" spans="1:2" ht="15" thickBot="1" x14ac:dyDescent="0.35">
      <c r="A184" s="5" t="s">
        <v>182</v>
      </c>
      <c r="B184" s="6">
        <v>7.4729999999999999</v>
      </c>
    </row>
    <row r="185" spans="1:2" ht="15" thickBot="1" x14ac:dyDescent="0.35">
      <c r="A185" s="5" t="s">
        <v>182</v>
      </c>
      <c r="B185" s="6">
        <v>7.4729999999999999</v>
      </c>
    </row>
    <row r="186" spans="1:2" ht="15" thickBot="1" x14ac:dyDescent="0.35">
      <c r="A186" s="5" t="s">
        <v>183</v>
      </c>
      <c r="B186" s="6">
        <v>7.9259000000000004</v>
      </c>
    </row>
    <row r="187" spans="1:2" ht="15" thickBot="1" x14ac:dyDescent="0.35">
      <c r="A187" s="5" t="s">
        <v>184</v>
      </c>
      <c r="B187" s="6">
        <v>7.7548000000000004</v>
      </c>
    </row>
    <row r="188" spans="1:2" ht="15" thickBot="1" x14ac:dyDescent="0.35">
      <c r="A188" s="5" t="s">
        <v>185</v>
      </c>
      <c r="B188" s="6">
        <v>7.7523999999999997</v>
      </c>
    </row>
    <row r="189" spans="1:2" ht="15" thickBot="1" x14ac:dyDescent="0.35">
      <c r="A189" s="5" t="s">
        <v>186</v>
      </c>
      <c r="B189" s="6">
        <v>7.3819999999999997</v>
      </c>
    </row>
    <row r="190" spans="1:2" ht="15" thickBot="1" x14ac:dyDescent="0.35">
      <c r="A190" s="5" t="s">
        <v>187</v>
      </c>
      <c r="B190" s="6">
        <v>7.6632999999999996</v>
      </c>
    </row>
    <row r="191" spans="1:2" ht="15" thickBot="1" x14ac:dyDescent="0.35">
      <c r="A191" s="5" t="s">
        <v>188</v>
      </c>
      <c r="B191" s="6">
        <v>7.6632999999999996</v>
      </c>
    </row>
    <row r="192" spans="1:2" ht="15" thickBot="1" x14ac:dyDescent="0.35">
      <c r="A192" s="5" t="s">
        <v>189</v>
      </c>
      <c r="B192" s="6">
        <v>7.4680999999999997</v>
      </c>
    </row>
    <row r="193" spans="1:2" ht="15" thickBot="1" x14ac:dyDescent="0.35">
      <c r="A193" s="5" t="s">
        <v>189</v>
      </c>
      <c r="B193" s="6">
        <v>7.4680999999999997</v>
      </c>
    </row>
    <row r="194" spans="1:2" ht="15" thickBot="1" x14ac:dyDescent="0.35">
      <c r="A194" s="5" t="s">
        <v>190</v>
      </c>
      <c r="B194" s="6">
        <v>7.3810000000000002</v>
      </c>
    </row>
    <row r="195" spans="1:2" ht="15" thickBot="1" x14ac:dyDescent="0.35">
      <c r="A195" s="5" t="s">
        <v>191</v>
      </c>
      <c r="B195" s="6">
        <v>7.5555000000000003</v>
      </c>
    </row>
    <row r="196" spans="1:2" ht="15" thickBot="1" x14ac:dyDescent="0.35">
      <c r="A196" s="5" t="s">
        <v>192</v>
      </c>
      <c r="B196" s="6">
        <v>7.5536000000000003</v>
      </c>
    </row>
    <row r="197" spans="1:2" ht="15" thickBot="1" x14ac:dyDescent="0.35">
      <c r="A197" s="5" t="s">
        <v>193</v>
      </c>
      <c r="B197" s="6">
        <v>7.8</v>
      </c>
    </row>
    <row r="198" spans="1:2" ht="15" thickBot="1" x14ac:dyDescent="0.35">
      <c r="A198" s="5" t="s">
        <v>194</v>
      </c>
      <c r="B198" s="6">
        <v>7.7110000000000003</v>
      </c>
    </row>
    <row r="199" spans="1:2" ht="15" thickBot="1" x14ac:dyDescent="0.35">
      <c r="A199" s="5" t="s">
        <v>195</v>
      </c>
      <c r="B199" s="6">
        <v>7.7096999999999998</v>
      </c>
    </row>
    <row r="200" spans="1:2" ht="15" thickBot="1" x14ac:dyDescent="0.35">
      <c r="A200" s="5" t="s">
        <v>196</v>
      </c>
      <c r="B200" s="6">
        <v>7.56</v>
      </c>
    </row>
    <row r="201" spans="1:2" ht="15" thickBot="1" x14ac:dyDescent="0.35">
      <c r="A201" s="5" t="s">
        <v>197</v>
      </c>
      <c r="B201" s="6">
        <v>7.5566000000000004</v>
      </c>
    </row>
    <row r="202" spans="1:2" ht="15" thickBot="1" x14ac:dyDescent="0.35">
      <c r="A202" s="5" t="s">
        <v>198</v>
      </c>
      <c r="B202" s="6">
        <v>7.6849999999999996</v>
      </c>
    </row>
    <row r="203" spans="1:2" ht="15" thickBot="1" x14ac:dyDescent="0.35">
      <c r="A203" s="5" t="s">
        <v>199</v>
      </c>
      <c r="B203" s="6">
        <v>7.6824000000000003</v>
      </c>
    </row>
    <row r="204" spans="1:2" ht="15" thickBot="1" x14ac:dyDescent="0.35">
      <c r="A204" s="5" t="s">
        <v>200</v>
      </c>
      <c r="B204" s="6">
        <v>7.6553000000000004</v>
      </c>
    </row>
    <row r="205" spans="1:2" ht="15" thickBot="1" x14ac:dyDescent="0.35">
      <c r="A205" s="5" t="s">
        <v>201</v>
      </c>
      <c r="B205" s="6">
        <v>7.8461999999999996</v>
      </c>
    </row>
    <row r="206" spans="1:2" ht="15" thickBot="1" x14ac:dyDescent="0.35">
      <c r="A206" s="5" t="s">
        <v>202</v>
      </c>
      <c r="B206" s="6">
        <v>7.6529999999999996</v>
      </c>
    </row>
    <row r="207" spans="1:2" ht="15" thickBot="1" x14ac:dyDescent="0.35">
      <c r="A207" s="5" t="s">
        <v>203</v>
      </c>
      <c r="B207" s="6">
        <v>7.59</v>
      </c>
    </row>
    <row r="208" spans="1:2" ht="15" thickBot="1" x14ac:dyDescent="0.35">
      <c r="A208" s="5" t="s">
        <v>204</v>
      </c>
      <c r="B208" s="6">
        <v>7.4303999999999997</v>
      </c>
    </row>
    <row r="209" spans="1:2" ht="15" thickBot="1" x14ac:dyDescent="0.35">
      <c r="A209" s="5" t="s">
        <v>205</v>
      </c>
      <c r="B209" s="6">
        <v>7.4292999999999996</v>
      </c>
    </row>
    <row r="210" spans="1:2" ht="15" thickBot="1" x14ac:dyDescent="0.35">
      <c r="A210" s="5" t="s">
        <v>205</v>
      </c>
      <c r="B210" s="6">
        <v>7.4292999999999996</v>
      </c>
    </row>
    <row r="211" spans="1:2" ht="15" thickBot="1" x14ac:dyDescent="0.35">
      <c r="A211" s="5" t="s">
        <v>206</v>
      </c>
      <c r="B211" s="6">
        <v>7.5876999999999999</v>
      </c>
    </row>
    <row r="212" spans="1:2" ht="15" thickBot="1" x14ac:dyDescent="0.35">
      <c r="A212" s="5" t="s">
        <v>207</v>
      </c>
      <c r="B212" s="6">
        <v>7.6130000000000004</v>
      </c>
    </row>
    <row r="213" spans="1:2" ht="15" thickBot="1" x14ac:dyDescent="0.35">
      <c r="A213" s="5" t="s">
        <v>208</v>
      </c>
      <c r="B213" s="6">
        <v>7.6139000000000001</v>
      </c>
    </row>
    <row r="214" spans="1:2" ht="15" thickBot="1" x14ac:dyDescent="0.35">
      <c r="A214" s="5" t="s">
        <v>209</v>
      </c>
      <c r="B214" s="6">
        <v>7.5650000000000004</v>
      </c>
    </row>
    <row r="215" spans="1:2" ht="15" thickBot="1" x14ac:dyDescent="0.35">
      <c r="A215" s="5" t="s">
        <v>210</v>
      </c>
      <c r="B215" s="6">
        <v>7.4211</v>
      </c>
    </row>
    <row r="216" spans="1:2" ht="15" thickBot="1" x14ac:dyDescent="0.35">
      <c r="A216" s="5" t="s">
        <v>210</v>
      </c>
      <c r="B216" s="6">
        <v>7.4211</v>
      </c>
    </row>
    <row r="217" spans="1:2" ht="15" thickBot="1" x14ac:dyDescent="0.35">
      <c r="A217" s="5" t="s">
        <v>211</v>
      </c>
      <c r="B217" s="6">
        <v>7.5629999999999997</v>
      </c>
    </row>
    <row r="218" spans="1:2" ht="15" thickBot="1" x14ac:dyDescent="0.35">
      <c r="A218" s="5" t="s">
        <v>212</v>
      </c>
      <c r="B218" s="6">
        <v>7.76</v>
      </c>
    </row>
    <row r="219" spans="1:2" ht="15" thickBot="1" x14ac:dyDescent="0.35">
      <c r="A219" s="5" t="s">
        <v>213</v>
      </c>
      <c r="B219" s="6">
        <v>7.36</v>
      </c>
    </row>
    <row r="220" spans="1:2" ht="15" thickBot="1" x14ac:dyDescent="0.35">
      <c r="A220" s="5" t="s">
        <v>214</v>
      </c>
      <c r="B220" s="6">
        <v>7.41</v>
      </c>
    </row>
    <row r="221" spans="1:2" ht="15" thickBot="1" x14ac:dyDescent="0.35">
      <c r="A221" s="5" t="s">
        <v>215</v>
      </c>
      <c r="B221" s="6">
        <v>7.67</v>
      </c>
    </row>
    <row r="222" spans="1:2" ht="15" thickBot="1" x14ac:dyDescent="0.35">
      <c r="A222" s="5" t="s">
        <v>216</v>
      </c>
      <c r="B222" s="6">
        <v>7.3418000000000001</v>
      </c>
    </row>
    <row r="223" spans="1:2" ht="15" thickBot="1" x14ac:dyDescent="0.35">
      <c r="A223" s="5" t="s">
        <v>217</v>
      </c>
      <c r="B223" s="6">
        <v>7.3396999999999997</v>
      </c>
    </row>
    <row r="224" spans="1:2" ht="15" thickBot="1" x14ac:dyDescent="0.35">
      <c r="A224" s="5" t="s">
        <v>218</v>
      </c>
      <c r="B224" s="6">
        <v>7.39</v>
      </c>
    </row>
    <row r="225" spans="1:2" ht="15" thickBot="1" x14ac:dyDescent="0.35">
      <c r="A225" s="5" t="s">
        <v>219</v>
      </c>
      <c r="B225" s="6">
        <v>7.7419000000000002</v>
      </c>
    </row>
    <row r="226" spans="1:2" ht="15" thickBot="1" x14ac:dyDescent="0.35">
      <c r="A226" s="5" t="s">
        <v>219</v>
      </c>
      <c r="B226" s="6">
        <v>7.7419000000000002</v>
      </c>
    </row>
    <row r="227" spans="1:2" ht="15" thickBot="1" x14ac:dyDescent="0.35">
      <c r="A227" s="5" t="s">
        <v>220</v>
      </c>
      <c r="B227" s="6">
        <v>7.3876999999999997</v>
      </c>
    </row>
    <row r="228" spans="1:2" ht="15" thickBot="1" x14ac:dyDescent="0.35">
      <c r="A228" s="5" t="s">
        <v>221</v>
      </c>
      <c r="B228" s="6">
        <v>7.7049000000000003</v>
      </c>
    </row>
    <row r="229" spans="1:2" ht="15" thickBot="1" x14ac:dyDescent="0.35">
      <c r="A229" s="5" t="s">
        <v>221</v>
      </c>
      <c r="B229" s="6">
        <v>7.7049000000000003</v>
      </c>
    </row>
    <row r="230" spans="1:2" ht="15" thickBot="1" x14ac:dyDescent="0.35">
      <c r="A230" s="5" t="s">
        <v>222</v>
      </c>
      <c r="B230" s="6">
        <v>7.2069999999999999</v>
      </c>
    </row>
    <row r="231" spans="1:2" ht="15" thickBot="1" x14ac:dyDescent="0.35">
      <c r="A231" s="5" t="s">
        <v>223</v>
      </c>
      <c r="B231" s="6">
        <v>7.2062999999999997</v>
      </c>
    </row>
    <row r="232" spans="1:2" ht="15" thickBot="1" x14ac:dyDescent="0.35">
      <c r="A232" s="5" t="s">
        <v>224</v>
      </c>
      <c r="B232" s="6">
        <v>7.5477999999999996</v>
      </c>
    </row>
    <row r="233" spans="1:2" ht="15" thickBot="1" x14ac:dyDescent="0.35">
      <c r="A233" s="5" t="s">
        <v>225</v>
      </c>
      <c r="B233" s="6">
        <v>7.4630000000000001</v>
      </c>
    </row>
    <row r="234" spans="1:2" ht="15" thickBot="1" x14ac:dyDescent="0.35">
      <c r="A234" s="5" t="s">
        <v>226</v>
      </c>
      <c r="B234" s="6">
        <v>7.548</v>
      </c>
    </row>
    <row r="235" spans="1:2" ht="15" thickBot="1" x14ac:dyDescent="0.35">
      <c r="A235" s="5" t="s">
        <v>227</v>
      </c>
      <c r="B235" s="6">
        <v>7.4625000000000004</v>
      </c>
    </row>
    <row r="236" spans="1:2" ht="15" thickBot="1" x14ac:dyDescent="0.35">
      <c r="A236" s="5" t="s">
        <v>228</v>
      </c>
      <c r="B236" s="6">
        <v>7.3768000000000002</v>
      </c>
    </row>
    <row r="237" spans="1:2" ht="15" thickBot="1" x14ac:dyDescent="0.35">
      <c r="A237" s="5" t="s">
        <v>229</v>
      </c>
      <c r="B237" s="6">
        <v>7.8</v>
      </c>
    </row>
    <row r="238" spans="1:2" ht="15" thickBot="1" x14ac:dyDescent="0.35">
      <c r="A238" s="5" t="s">
        <v>230</v>
      </c>
      <c r="B238" s="6">
        <v>7.7667000000000002</v>
      </c>
    </row>
    <row r="239" spans="1:2" ht="15" thickBot="1" x14ac:dyDescent="0.35">
      <c r="A239" s="5" t="s">
        <v>231</v>
      </c>
      <c r="B239" s="6">
        <v>7.7332999999999998</v>
      </c>
    </row>
    <row r="240" spans="1:2" ht="15" thickBot="1" x14ac:dyDescent="0.35">
      <c r="A240" s="5" t="s">
        <v>232</v>
      </c>
      <c r="B240" s="6">
        <v>7.7</v>
      </c>
    </row>
    <row r="241" spans="1:2" ht="15" thickBot="1" x14ac:dyDescent="0.35">
      <c r="A241" s="5" t="s">
        <v>233</v>
      </c>
      <c r="B241" s="6">
        <v>7.6666999999999996</v>
      </c>
    </row>
    <row r="242" spans="1:2" ht="15" thickBot="1" x14ac:dyDescent="0.35">
      <c r="A242" s="5" t="s">
        <v>234</v>
      </c>
      <c r="B242" s="6">
        <v>7</v>
      </c>
    </row>
    <row r="243" spans="1:2" ht="15" thickBot="1" x14ac:dyDescent="0.35">
      <c r="A243" s="5" t="s">
        <v>235</v>
      </c>
      <c r="B243" s="6">
        <v>7.375</v>
      </c>
    </row>
    <row r="244" spans="1:2" ht="15" thickBot="1" x14ac:dyDescent="0.35">
      <c r="A244" s="5" t="s">
        <v>235</v>
      </c>
      <c r="B244" s="6">
        <v>7.375</v>
      </c>
    </row>
    <row r="245" spans="1:2" ht="15" thickBot="1" x14ac:dyDescent="0.35">
      <c r="A245" s="5" t="s">
        <v>236</v>
      </c>
      <c r="B245" s="6">
        <v>7.1680000000000001</v>
      </c>
    </row>
    <row r="246" spans="1:2" ht="15" thickBot="1" x14ac:dyDescent="0.35">
      <c r="A246" s="5" t="s">
        <v>237</v>
      </c>
      <c r="B246" s="6">
        <v>7.718</v>
      </c>
    </row>
    <row r="247" spans="1:2" ht="15" thickBot="1" x14ac:dyDescent="0.35">
      <c r="A247" s="5" t="s">
        <v>238</v>
      </c>
      <c r="B247" s="6">
        <v>7.8018000000000001</v>
      </c>
    </row>
    <row r="248" spans="1:2" ht="15" thickBot="1" x14ac:dyDescent="0.35">
      <c r="A248" s="5" t="s">
        <v>239</v>
      </c>
      <c r="B248" s="6">
        <v>7.7173999999999996</v>
      </c>
    </row>
    <row r="249" spans="1:2" ht="15" thickBot="1" x14ac:dyDescent="0.35">
      <c r="A249" s="5" t="s">
        <v>240</v>
      </c>
      <c r="B249" s="6">
        <v>7.1654</v>
      </c>
    </row>
    <row r="250" spans="1:2" ht="15" thickBot="1" x14ac:dyDescent="0.35">
      <c r="A250" s="5" t="s">
        <v>241</v>
      </c>
      <c r="B250" s="6">
        <v>7.7988</v>
      </c>
    </row>
    <row r="251" spans="1:2" ht="15" thickBot="1" x14ac:dyDescent="0.35">
      <c r="A251" s="5" t="s">
        <v>242</v>
      </c>
      <c r="B251" s="6">
        <v>7.3380000000000001</v>
      </c>
    </row>
    <row r="252" spans="1:2" ht="15" thickBot="1" x14ac:dyDescent="0.35">
      <c r="A252" s="5" t="s">
        <v>243</v>
      </c>
      <c r="B252" s="6">
        <v>7.3369999999999997</v>
      </c>
    </row>
    <row r="253" spans="1:2" ht="15" thickBot="1" x14ac:dyDescent="0.35">
      <c r="A253" s="5" t="s">
        <v>244</v>
      </c>
      <c r="B253" s="6">
        <v>7.4745999999999997</v>
      </c>
    </row>
    <row r="254" spans="1:2" ht="15" thickBot="1" x14ac:dyDescent="0.35">
      <c r="A254" s="5" t="s">
        <v>245</v>
      </c>
      <c r="B254" s="6">
        <v>7.8090000000000002</v>
      </c>
    </row>
    <row r="255" spans="1:2" ht="15" thickBot="1" x14ac:dyDescent="0.35">
      <c r="A255" s="5" t="s">
        <v>246</v>
      </c>
      <c r="B255" s="6">
        <v>7.5229999999999997</v>
      </c>
    </row>
    <row r="256" spans="1:2" ht="15" thickBot="1" x14ac:dyDescent="0.35">
      <c r="A256" s="5" t="s">
        <v>247</v>
      </c>
      <c r="B256" s="6">
        <v>7.32</v>
      </c>
    </row>
    <row r="257" spans="1:2" ht="15" thickBot="1" x14ac:dyDescent="0.35">
      <c r="A257" s="5" t="s">
        <v>248</v>
      </c>
      <c r="B257" s="6">
        <v>7.3070000000000004</v>
      </c>
    </row>
    <row r="258" spans="1:2" ht="15" thickBot="1" x14ac:dyDescent="0.35">
      <c r="A258" s="5" t="s">
        <v>249</v>
      </c>
      <c r="B258" s="6">
        <v>7.6660000000000004</v>
      </c>
    </row>
    <row r="259" spans="1:2" ht="15" thickBot="1" x14ac:dyDescent="0.35">
      <c r="A259" s="5" t="s">
        <v>250</v>
      </c>
      <c r="B259" s="6">
        <v>7.3055000000000003</v>
      </c>
    </row>
    <row r="260" spans="1:2" ht="15" thickBot="1" x14ac:dyDescent="0.35">
      <c r="A260" s="5" t="s">
        <v>251</v>
      </c>
      <c r="B260" s="6">
        <v>7.6208</v>
      </c>
    </row>
    <row r="261" spans="1:2" ht="15" thickBot="1" x14ac:dyDescent="0.35">
      <c r="A261" s="5" t="s">
        <v>252</v>
      </c>
      <c r="B261" s="6">
        <v>7.6189999999999998</v>
      </c>
    </row>
    <row r="262" spans="1:2" ht="15" thickBot="1" x14ac:dyDescent="0.35">
      <c r="A262" s="5" t="s">
        <v>253</v>
      </c>
      <c r="B262" s="6">
        <v>7.5651999999999999</v>
      </c>
    </row>
    <row r="263" spans="1:2" ht="15" thickBot="1" x14ac:dyDescent="0.35">
      <c r="A263" s="5" t="s">
        <v>254</v>
      </c>
      <c r="B263" s="6">
        <v>7.3289999999999997</v>
      </c>
    </row>
    <row r="264" spans="1:2" ht="15" thickBot="1" x14ac:dyDescent="0.35">
      <c r="A264" s="5" t="s">
        <v>255</v>
      </c>
      <c r="B264" s="6">
        <v>7.3301999999999996</v>
      </c>
    </row>
    <row r="265" spans="1:2" ht="15" thickBot="1" x14ac:dyDescent="0.35">
      <c r="A265" s="5" t="s">
        <v>256</v>
      </c>
      <c r="B265" s="6">
        <v>7.2</v>
      </c>
    </row>
    <row r="266" spans="1:2" ht="15" thickBot="1" x14ac:dyDescent="0.35">
      <c r="A266" s="5" t="s">
        <v>257</v>
      </c>
      <c r="B266" s="6">
        <v>7.4443999999999999</v>
      </c>
    </row>
    <row r="267" spans="1:2" ht="15" thickBot="1" x14ac:dyDescent="0.35">
      <c r="A267" s="5" t="s">
        <v>258</v>
      </c>
      <c r="B267" s="6">
        <v>7.4443000000000001</v>
      </c>
    </row>
    <row r="268" spans="1:2" ht="15" thickBot="1" x14ac:dyDescent="0.35">
      <c r="A268" s="5" t="s">
        <v>259</v>
      </c>
      <c r="B268" s="6">
        <v>7.3611000000000004</v>
      </c>
    </row>
    <row r="269" spans="1:2" ht="15" thickBot="1" x14ac:dyDescent="0.35">
      <c r="A269" s="5" t="s">
        <v>260</v>
      </c>
      <c r="B269" s="6">
        <v>7.3356000000000003</v>
      </c>
    </row>
    <row r="270" spans="1:2" ht="15" thickBot="1" x14ac:dyDescent="0.35">
      <c r="A270" s="5" t="s">
        <v>261</v>
      </c>
      <c r="B270" s="6">
        <v>7.3360000000000003</v>
      </c>
    </row>
    <row r="271" spans="1:2" ht="15" thickBot="1" x14ac:dyDescent="0.35">
      <c r="A271" s="5" t="s">
        <v>262</v>
      </c>
      <c r="B271" s="6">
        <v>7.359</v>
      </c>
    </row>
    <row r="272" spans="1:2" ht="15" thickBot="1" x14ac:dyDescent="0.35">
      <c r="A272" s="5" t="s">
        <v>263</v>
      </c>
      <c r="B272" s="6">
        <v>7.6289999999999996</v>
      </c>
    </row>
    <row r="273" spans="1:2" ht="15" thickBot="1" x14ac:dyDescent="0.35">
      <c r="A273" s="5" t="s">
        <v>264</v>
      </c>
      <c r="B273" s="6">
        <v>7.3940000000000001</v>
      </c>
    </row>
    <row r="274" spans="1:2" ht="15" thickBot="1" x14ac:dyDescent="0.35">
      <c r="A274" s="5" t="s">
        <v>265</v>
      </c>
      <c r="B274" s="6">
        <v>7.3920000000000003</v>
      </c>
    </row>
    <row r="275" spans="1:2" ht="15" thickBot="1" x14ac:dyDescent="0.35">
      <c r="A275" s="5" t="s">
        <v>266</v>
      </c>
      <c r="B275" s="6">
        <v>7.3076999999999996</v>
      </c>
    </row>
    <row r="276" spans="1:2" ht="15" thickBot="1" x14ac:dyDescent="0.35">
      <c r="A276" s="5" t="s">
        <v>266</v>
      </c>
      <c r="B276" s="6">
        <v>7.3076999999999996</v>
      </c>
    </row>
    <row r="277" spans="1:2" ht="15" thickBot="1" x14ac:dyDescent="0.35">
      <c r="A277" s="5" t="s">
        <v>267</v>
      </c>
      <c r="B277" s="6">
        <v>7.1368999999999998</v>
      </c>
    </row>
    <row r="278" spans="1:2" ht="15" thickBot="1" x14ac:dyDescent="0.35">
      <c r="A278" s="5" t="s">
        <v>268</v>
      </c>
      <c r="B278" s="6">
        <v>7.1379999999999999</v>
      </c>
    </row>
    <row r="279" spans="1:2" ht="15" thickBot="1" x14ac:dyDescent="0.35">
      <c r="A279" s="5" t="s">
        <v>269</v>
      </c>
      <c r="B279" s="6">
        <v>7.3</v>
      </c>
    </row>
    <row r="280" spans="1:2" ht="15" thickBot="1" x14ac:dyDescent="0.35">
      <c r="A280" s="5" t="s">
        <v>270</v>
      </c>
      <c r="B280" s="6">
        <v>7.4020000000000001</v>
      </c>
    </row>
    <row r="281" spans="1:2" ht="15" thickBot="1" x14ac:dyDescent="0.35">
      <c r="A281" s="5" t="s">
        <v>271</v>
      </c>
      <c r="B281" s="6">
        <v>7.84</v>
      </c>
    </row>
    <row r="282" spans="1:2" ht="15" thickBot="1" x14ac:dyDescent="0.35">
      <c r="A282" s="5" t="s">
        <v>272</v>
      </c>
      <c r="B282" s="6">
        <v>7.3994</v>
      </c>
    </row>
    <row r="283" spans="1:2" ht="15" thickBot="1" x14ac:dyDescent="0.35">
      <c r="A283" s="5" t="s">
        <v>273</v>
      </c>
      <c r="B283" s="6">
        <v>7.3033000000000001</v>
      </c>
    </row>
    <row r="284" spans="1:2" ht="15" thickBot="1" x14ac:dyDescent="0.35">
      <c r="A284" s="5" t="s">
        <v>274</v>
      </c>
      <c r="B284" s="6">
        <v>7.3540000000000001</v>
      </c>
    </row>
    <row r="285" spans="1:2" ht="15" thickBot="1" x14ac:dyDescent="0.35">
      <c r="A285" s="5" t="s">
        <v>275</v>
      </c>
      <c r="B285" s="6">
        <v>7.1860999999999997</v>
      </c>
    </row>
    <row r="286" spans="1:2" ht="15" thickBot="1" x14ac:dyDescent="0.35">
      <c r="A286" s="5" t="s">
        <v>276</v>
      </c>
      <c r="B286" s="6">
        <v>7.3545999999999996</v>
      </c>
    </row>
    <row r="287" spans="1:2" ht="15" thickBot="1" x14ac:dyDescent="0.35">
      <c r="A287" s="5" t="s">
        <v>277</v>
      </c>
      <c r="B287" s="6">
        <v>7.1849999999999996</v>
      </c>
    </row>
    <row r="288" spans="1:2" ht="15" thickBot="1" x14ac:dyDescent="0.35">
      <c r="A288" s="5" t="s">
        <v>278</v>
      </c>
      <c r="B288" s="6">
        <v>7.4545000000000003</v>
      </c>
    </row>
    <row r="289" spans="1:2" ht="15" thickBot="1" x14ac:dyDescent="0.35">
      <c r="A289" s="5" t="s">
        <v>279</v>
      </c>
      <c r="B289" s="6">
        <v>7.2857000000000003</v>
      </c>
    </row>
    <row r="290" spans="1:2" ht="15" thickBot="1" x14ac:dyDescent="0.35">
      <c r="A290" s="5" t="s">
        <v>280</v>
      </c>
      <c r="B290" s="6">
        <v>7.2839999999999998</v>
      </c>
    </row>
    <row r="291" spans="1:2" ht="15" thickBot="1" x14ac:dyDescent="0.35">
      <c r="A291" s="5" t="s">
        <v>281</v>
      </c>
      <c r="B291" s="6">
        <v>6.9837999999999996</v>
      </c>
    </row>
    <row r="292" spans="1:2" ht="15" thickBot="1" x14ac:dyDescent="0.35">
      <c r="A292" s="5" t="s">
        <v>282</v>
      </c>
      <c r="B292" s="6">
        <v>6.9820000000000002</v>
      </c>
    </row>
    <row r="293" spans="1:2" ht="15" thickBot="1" x14ac:dyDescent="0.35">
      <c r="A293" s="5" t="s">
        <v>283</v>
      </c>
      <c r="B293" s="6">
        <v>7.0121000000000002</v>
      </c>
    </row>
    <row r="294" spans="1:2" ht="15" thickBot="1" x14ac:dyDescent="0.35">
      <c r="A294" s="5" t="s">
        <v>284</v>
      </c>
      <c r="B294" s="6">
        <v>7.01</v>
      </c>
    </row>
    <row r="295" spans="1:2" ht="15" thickBot="1" x14ac:dyDescent="0.35">
      <c r="A295" s="5" t="s">
        <v>285</v>
      </c>
      <c r="B295" s="6">
        <v>7.2683</v>
      </c>
    </row>
    <row r="296" spans="1:2" ht="15" thickBot="1" x14ac:dyDescent="0.35">
      <c r="A296" s="5" t="s">
        <v>286</v>
      </c>
      <c r="B296" s="6">
        <v>7.2328000000000001</v>
      </c>
    </row>
    <row r="297" spans="1:2" ht="15" thickBot="1" x14ac:dyDescent="0.35">
      <c r="A297" s="5" t="s">
        <v>287</v>
      </c>
      <c r="B297" s="6">
        <v>7.1120000000000001</v>
      </c>
    </row>
    <row r="298" spans="1:2" ht="15" thickBot="1" x14ac:dyDescent="0.35">
      <c r="A298" s="5" t="s">
        <v>288</v>
      </c>
      <c r="B298" s="6">
        <v>7.23</v>
      </c>
    </row>
    <row r="299" spans="1:2" ht="15" thickBot="1" x14ac:dyDescent="0.35">
      <c r="A299" s="5" t="s">
        <v>289</v>
      </c>
      <c r="B299" s="6">
        <v>7.1109999999999998</v>
      </c>
    </row>
    <row r="300" spans="1:2" ht="15" thickBot="1" x14ac:dyDescent="0.35">
      <c r="A300" s="5" t="s">
        <v>290</v>
      </c>
      <c r="B300" s="6">
        <v>7.1243999999999996</v>
      </c>
    </row>
    <row r="301" spans="1:2" ht="15" thickBot="1" x14ac:dyDescent="0.35">
      <c r="A301" s="5" t="s">
        <v>291</v>
      </c>
      <c r="B301" s="6">
        <v>7.3179999999999996</v>
      </c>
    </row>
    <row r="302" spans="1:2" ht="15" thickBot="1" x14ac:dyDescent="0.35">
      <c r="A302" s="5" t="s">
        <v>292</v>
      </c>
      <c r="B302" s="6">
        <v>7.1230000000000002</v>
      </c>
    </row>
    <row r="303" spans="1:2" ht="15" thickBot="1" x14ac:dyDescent="0.35">
      <c r="A303" s="5" t="s">
        <v>293</v>
      </c>
      <c r="B303" s="6">
        <v>7.24</v>
      </c>
    </row>
    <row r="304" spans="1:2" ht="15" thickBot="1" x14ac:dyDescent="0.35">
      <c r="A304" s="5" t="s">
        <v>294</v>
      </c>
      <c r="B304" s="6">
        <v>7.3173000000000004</v>
      </c>
    </row>
    <row r="305" spans="1:2" ht="15" thickBot="1" x14ac:dyDescent="0.35">
      <c r="A305" s="5" t="s">
        <v>295</v>
      </c>
      <c r="B305" s="6">
        <v>6.9058999999999999</v>
      </c>
    </row>
    <row r="306" spans="1:2" ht="15" thickBot="1" x14ac:dyDescent="0.35">
      <c r="A306" s="5" t="s">
        <v>296</v>
      </c>
      <c r="B306" s="6">
        <v>6.9039999999999999</v>
      </c>
    </row>
    <row r="307" spans="1:2" ht="15" thickBot="1" x14ac:dyDescent="0.35">
      <c r="A307" s="5" t="s">
        <v>297</v>
      </c>
      <c r="B307" s="6">
        <v>7.1071</v>
      </c>
    </row>
    <row r="308" spans="1:2" ht="15" thickBot="1" x14ac:dyDescent="0.35">
      <c r="A308" s="5" t="s">
        <v>298</v>
      </c>
      <c r="B308" s="6">
        <v>7.1070000000000002</v>
      </c>
    </row>
    <row r="309" spans="1:2" ht="15" thickBot="1" x14ac:dyDescent="0.35">
      <c r="A309" s="5" t="s">
        <v>299</v>
      </c>
      <c r="B309" s="6">
        <v>7.0170000000000003</v>
      </c>
    </row>
    <row r="310" spans="1:2" ht="15" thickBot="1" x14ac:dyDescent="0.35">
      <c r="A310" s="5" t="s">
        <v>300</v>
      </c>
      <c r="B310" s="6">
        <v>7.0162000000000004</v>
      </c>
    </row>
    <row r="311" spans="1:2" ht="15" thickBot="1" x14ac:dyDescent="0.35">
      <c r="A311" s="5" t="s">
        <v>301</v>
      </c>
      <c r="B311" s="6">
        <v>6.9645999999999999</v>
      </c>
    </row>
    <row r="312" spans="1:2" ht="15" thickBot="1" x14ac:dyDescent="0.35">
      <c r="A312" s="5" t="s">
        <v>302</v>
      </c>
      <c r="B312" s="6">
        <v>7.3685999999999998</v>
      </c>
    </row>
    <row r="313" spans="1:2" ht="15" thickBot="1" x14ac:dyDescent="0.35">
      <c r="A313" s="5" t="s">
        <v>303</v>
      </c>
      <c r="B313" s="6">
        <v>6.9630000000000001</v>
      </c>
    </row>
    <row r="314" spans="1:2" ht="15" thickBot="1" x14ac:dyDescent="0.35">
      <c r="A314" s="5" t="s">
        <v>304</v>
      </c>
      <c r="B314" s="6">
        <v>7.3680000000000003</v>
      </c>
    </row>
    <row r="315" spans="1:2" ht="15" thickBot="1" x14ac:dyDescent="0.35">
      <c r="A315" s="5" t="s">
        <v>305</v>
      </c>
      <c r="B315" s="6">
        <v>7.532</v>
      </c>
    </row>
    <row r="316" spans="1:2" ht="15" thickBot="1" x14ac:dyDescent="0.35">
      <c r="A316" s="5" t="s">
        <v>306</v>
      </c>
      <c r="B316" s="6">
        <v>7.5293000000000001</v>
      </c>
    </row>
    <row r="317" spans="1:2" ht="15" thickBot="1" x14ac:dyDescent="0.35">
      <c r="A317" s="5" t="s">
        <v>307</v>
      </c>
      <c r="B317" s="6">
        <v>7.609</v>
      </c>
    </row>
    <row r="318" spans="1:2" ht="15" thickBot="1" x14ac:dyDescent="0.35">
      <c r="A318" s="5" t="s">
        <v>308</v>
      </c>
      <c r="B318" s="6">
        <v>7.6067</v>
      </c>
    </row>
    <row r="319" spans="1:2" ht="15" thickBot="1" x14ac:dyDescent="0.35">
      <c r="A319" s="5" t="s">
        <v>309</v>
      </c>
      <c r="B319" s="6">
        <v>7.4497</v>
      </c>
    </row>
    <row r="320" spans="1:2" ht="15" thickBot="1" x14ac:dyDescent="0.35">
      <c r="A320" s="5" t="s">
        <v>310</v>
      </c>
      <c r="B320" s="6">
        <v>7.4476000000000004</v>
      </c>
    </row>
    <row r="321" spans="1:2" ht="15" thickBot="1" x14ac:dyDescent="0.35">
      <c r="A321" s="5" t="s">
        <v>311</v>
      </c>
      <c r="B321" s="6">
        <v>7.0871000000000004</v>
      </c>
    </row>
    <row r="322" spans="1:2" ht="15" thickBot="1" x14ac:dyDescent="0.35">
      <c r="A322" s="5" t="s">
        <v>312</v>
      </c>
      <c r="B322" s="6">
        <v>7.0858999999999996</v>
      </c>
    </row>
    <row r="323" spans="1:2" ht="15" thickBot="1" x14ac:dyDescent="0.35">
      <c r="A323" s="5" t="s">
        <v>313</v>
      </c>
      <c r="B323" s="6">
        <v>7.2</v>
      </c>
    </row>
    <row r="324" spans="1:2" ht="15" thickBot="1" x14ac:dyDescent="0.35">
      <c r="A324" s="5" t="s">
        <v>314</v>
      </c>
      <c r="B324" s="6">
        <v>6.8307000000000002</v>
      </c>
    </row>
    <row r="325" spans="1:2" ht="15" thickBot="1" x14ac:dyDescent="0.35">
      <c r="A325" s="5" t="s">
        <v>315</v>
      </c>
      <c r="B325" s="6">
        <v>6.9390999999999998</v>
      </c>
    </row>
    <row r="326" spans="1:2" ht="15" thickBot="1" x14ac:dyDescent="0.35">
      <c r="A326" s="5" t="s">
        <v>316</v>
      </c>
      <c r="B326" s="6">
        <v>7.1139000000000001</v>
      </c>
    </row>
    <row r="327" spans="1:2" ht="15" thickBot="1" x14ac:dyDescent="0.35">
      <c r="A327" s="5" t="s">
        <v>317</v>
      </c>
      <c r="B327" s="6">
        <v>6.83</v>
      </c>
    </row>
    <row r="328" spans="1:2" ht="15" thickBot="1" x14ac:dyDescent="0.35">
      <c r="A328" s="5" t="s">
        <v>318</v>
      </c>
      <c r="B328" s="6">
        <v>7.1134000000000004</v>
      </c>
    </row>
    <row r="329" spans="1:2" ht="15" thickBot="1" x14ac:dyDescent="0.35">
      <c r="A329" s="5" t="s">
        <v>319</v>
      </c>
      <c r="B329" s="6">
        <v>7.0911</v>
      </c>
    </row>
    <row r="330" spans="1:2" ht="15" thickBot="1" x14ac:dyDescent="0.35">
      <c r="A330" s="5" t="s">
        <v>320</v>
      </c>
      <c r="B330" s="6">
        <v>7.0907</v>
      </c>
    </row>
    <row r="331" spans="1:2" ht="15" thickBot="1" x14ac:dyDescent="0.35">
      <c r="A331" s="5" t="s">
        <v>321</v>
      </c>
      <c r="B331" s="6">
        <v>6.9356999999999998</v>
      </c>
    </row>
    <row r="332" spans="1:2" ht="15" thickBot="1" x14ac:dyDescent="0.35">
      <c r="A332" s="5" t="s">
        <v>322</v>
      </c>
      <c r="B332" s="6">
        <v>6.8369</v>
      </c>
    </row>
    <row r="333" spans="1:2" ht="15" thickBot="1" x14ac:dyDescent="0.35">
      <c r="A333" s="5" t="s">
        <v>323</v>
      </c>
      <c r="B333" s="6">
        <v>6.835</v>
      </c>
    </row>
    <row r="334" spans="1:2" ht="15" thickBot="1" x14ac:dyDescent="0.35">
      <c r="A334" s="5" t="s">
        <v>324</v>
      </c>
      <c r="B334" s="6">
        <v>7.1360000000000001</v>
      </c>
    </row>
    <row r="335" spans="1:2" ht="15" thickBot="1" x14ac:dyDescent="0.35">
      <c r="A335" s="5" t="s">
        <v>325</v>
      </c>
      <c r="B335" s="6">
        <v>7.1131000000000002</v>
      </c>
    </row>
    <row r="336" spans="1:2" ht="15" thickBot="1" x14ac:dyDescent="0.35">
      <c r="A336" s="5" t="s">
        <v>326</v>
      </c>
      <c r="B336" s="6">
        <v>7.1123000000000003</v>
      </c>
    </row>
    <row r="337" spans="1:2" ht="15" thickBot="1" x14ac:dyDescent="0.35">
      <c r="A337" s="5" t="s">
        <v>327</v>
      </c>
      <c r="B337" s="6">
        <v>7.1325000000000003</v>
      </c>
    </row>
    <row r="338" spans="1:2" ht="15" thickBot="1" x14ac:dyDescent="0.35">
      <c r="A338" s="5" t="s">
        <v>328</v>
      </c>
      <c r="B338" s="6">
        <v>7.1429</v>
      </c>
    </row>
    <row r="339" spans="1:2" ht="15" thickBot="1" x14ac:dyDescent="0.35">
      <c r="A339" s="5" t="s">
        <v>329</v>
      </c>
      <c r="B339" s="6">
        <v>7.1420000000000003</v>
      </c>
    </row>
    <row r="340" spans="1:2" ht="15" thickBot="1" x14ac:dyDescent="0.35">
      <c r="A340" s="5" t="s">
        <v>330</v>
      </c>
      <c r="B340" s="6">
        <v>7.1424000000000003</v>
      </c>
    </row>
    <row r="341" spans="1:2" ht="15" thickBot="1" x14ac:dyDescent="0.35">
      <c r="A341" s="5" t="s">
        <v>331</v>
      </c>
      <c r="B341" s="6">
        <v>7.048</v>
      </c>
    </row>
    <row r="342" spans="1:2" ht="15" thickBot="1" x14ac:dyDescent="0.35">
      <c r="A342" s="5" t="s">
        <v>332</v>
      </c>
      <c r="B342" s="6">
        <v>7.0477999999999996</v>
      </c>
    </row>
    <row r="343" spans="1:2" ht="15" thickBot="1" x14ac:dyDescent="0.35">
      <c r="A343" s="5" t="s">
        <v>333</v>
      </c>
      <c r="B343" s="6">
        <v>7.0833000000000004</v>
      </c>
    </row>
    <row r="344" spans="1:2" ht="15" thickBot="1" x14ac:dyDescent="0.35">
      <c r="A344" s="5" t="s">
        <v>334</v>
      </c>
      <c r="B344" s="6">
        <v>6.9025999999999996</v>
      </c>
    </row>
    <row r="345" spans="1:2" ht="15" thickBot="1" x14ac:dyDescent="0.35">
      <c r="A345" s="5" t="s">
        <v>335</v>
      </c>
      <c r="B345" s="6">
        <v>6.7282999999999999</v>
      </c>
    </row>
    <row r="346" spans="1:2" ht="15" thickBot="1" x14ac:dyDescent="0.35">
      <c r="A346" s="5" t="s">
        <v>336</v>
      </c>
      <c r="B346" s="6">
        <v>6.9010999999999996</v>
      </c>
    </row>
    <row r="347" spans="1:2" ht="15" thickBot="1" x14ac:dyDescent="0.35">
      <c r="A347" s="5" t="s">
        <v>337</v>
      </c>
      <c r="B347" s="6">
        <v>6.7255000000000003</v>
      </c>
    </row>
    <row r="348" spans="1:2" ht="15" thickBot="1" x14ac:dyDescent="0.35">
      <c r="A348" s="5" t="s">
        <v>338</v>
      </c>
      <c r="B348" s="6">
        <v>7.0526</v>
      </c>
    </row>
    <row r="349" spans="1:2" ht="15" thickBot="1" x14ac:dyDescent="0.35">
      <c r="A349" s="5" t="s">
        <v>339</v>
      </c>
      <c r="B349" s="6">
        <v>6.7210000000000001</v>
      </c>
    </row>
    <row r="350" spans="1:2" ht="15" thickBot="1" x14ac:dyDescent="0.35">
      <c r="A350" s="5" t="s">
        <v>340</v>
      </c>
      <c r="B350" s="6">
        <v>6.7213000000000003</v>
      </c>
    </row>
    <row r="351" spans="1:2" ht="15" thickBot="1" x14ac:dyDescent="0.35">
      <c r="A351" s="5" t="s">
        <v>341</v>
      </c>
      <c r="B351" s="6">
        <v>7.1069000000000004</v>
      </c>
    </row>
    <row r="352" spans="1:2" ht="15" thickBot="1" x14ac:dyDescent="0.35">
      <c r="A352" s="5" t="s">
        <v>342</v>
      </c>
      <c r="B352" s="6">
        <v>7.1055000000000001</v>
      </c>
    </row>
    <row r="353" spans="1:2" ht="15" thickBot="1" x14ac:dyDescent="0.35">
      <c r="A353" s="5" t="s">
        <v>343</v>
      </c>
      <c r="B353" s="6">
        <v>7.2766000000000002</v>
      </c>
    </row>
    <row r="354" spans="1:2" ht="15" thickBot="1" x14ac:dyDescent="0.35">
      <c r="A354" s="5" t="s">
        <v>344</v>
      </c>
      <c r="B354" s="6">
        <v>7.0213000000000001</v>
      </c>
    </row>
    <row r="355" spans="1:2" ht="15" thickBot="1" x14ac:dyDescent="0.35">
      <c r="A355" s="5" t="s">
        <v>345</v>
      </c>
      <c r="B355" s="6">
        <v>6.7770000000000001</v>
      </c>
    </row>
    <row r="356" spans="1:2" ht="15" thickBot="1" x14ac:dyDescent="0.35">
      <c r="A356" s="5" t="s">
        <v>346</v>
      </c>
      <c r="B356" s="6">
        <v>6.7769000000000004</v>
      </c>
    </row>
    <row r="357" spans="1:2" ht="15" thickBot="1" x14ac:dyDescent="0.35">
      <c r="A357" s="5" t="s">
        <v>347</v>
      </c>
      <c r="B357" s="6">
        <v>6.9892000000000003</v>
      </c>
    </row>
    <row r="358" spans="1:2" ht="15" thickBot="1" x14ac:dyDescent="0.35">
      <c r="A358" s="5" t="s">
        <v>348</v>
      </c>
      <c r="B358" s="6">
        <v>7.1176000000000004</v>
      </c>
    </row>
    <row r="359" spans="1:2" ht="15" thickBot="1" x14ac:dyDescent="0.35">
      <c r="A359" s="5" t="s">
        <v>349</v>
      </c>
      <c r="B359" s="6">
        <v>6.6462000000000003</v>
      </c>
    </row>
    <row r="360" spans="1:2" ht="15" thickBot="1" x14ac:dyDescent="0.35">
      <c r="A360" s="5" t="s">
        <v>350</v>
      </c>
      <c r="B360" s="6">
        <v>6.6440000000000001</v>
      </c>
    </row>
    <row r="361" spans="1:2" ht="15" thickBot="1" x14ac:dyDescent="0.35">
      <c r="A361" s="5" t="s">
        <v>351</v>
      </c>
      <c r="B361" s="6">
        <v>6.9565000000000001</v>
      </c>
    </row>
    <row r="362" spans="1:2" ht="15" thickBot="1" x14ac:dyDescent="0.35">
      <c r="A362" s="5" t="s">
        <v>352</v>
      </c>
      <c r="B362" s="6">
        <v>6.8552999999999997</v>
      </c>
    </row>
    <row r="363" spans="1:2" ht="15" thickBot="1" x14ac:dyDescent="0.35">
      <c r="A363" s="5" t="s">
        <v>353</v>
      </c>
      <c r="B363" s="6">
        <v>6.8540999999999999</v>
      </c>
    </row>
    <row r="364" spans="1:2" ht="15" thickBot="1" x14ac:dyDescent="0.35">
      <c r="A364" s="5" t="s">
        <v>354</v>
      </c>
      <c r="B364" s="6">
        <v>7.1016000000000004</v>
      </c>
    </row>
    <row r="365" spans="1:2" ht="15" thickBot="1" x14ac:dyDescent="0.35">
      <c r="A365" s="5" t="s">
        <v>355</v>
      </c>
      <c r="B365" s="6">
        <v>7.1013000000000002</v>
      </c>
    </row>
    <row r="366" spans="1:2" ht="15" thickBot="1" x14ac:dyDescent="0.35">
      <c r="A366" s="5" t="s">
        <v>356</v>
      </c>
      <c r="B366" s="6">
        <v>6.5697000000000001</v>
      </c>
    </row>
    <row r="367" spans="1:2" ht="15" thickBot="1" x14ac:dyDescent="0.35">
      <c r="A367" s="5" t="s">
        <v>357</v>
      </c>
      <c r="B367" s="6">
        <v>6.9230999999999998</v>
      </c>
    </row>
    <row r="368" spans="1:2" ht="15" thickBot="1" x14ac:dyDescent="0.35">
      <c r="A368" s="5" t="s">
        <v>358</v>
      </c>
      <c r="B368" s="6">
        <v>6.5674000000000001</v>
      </c>
    </row>
    <row r="369" spans="1:2" ht="15" thickBot="1" x14ac:dyDescent="0.35">
      <c r="A369" s="5" t="s">
        <v>359</v>
      </c>
      <c r="B369" s="6">
        <v>6.8098000000000001</v>
      </c>
    </row>
    <row r="370" spans="1:2" ht="15" thickBot="1" x14ac:dyDescent="0.35">
      <c r="A370" s="5" t="s">
        <v>360</v>
      </c>
      <c r="B370" s="6">
        <v>6.81</v>
      </c>
    </row>
    <row r="371" spans="1:2" ht="15" thickBot="1" x14ac:dyDescent="0.35">
      <c r="A371" s="5" t="s">
        <v>361</v>
      </c>
      <c r="B371" s="6">
        <v>6.6529999999999996</v>
      </c>
    </row>
    <row r="372" spans="1:2" ht="15" thickBot="1" x14ac:dyDescent="0.35">
      <c r="A372" s="5" t="s">
        <v>362</v>
      </c>
      <c r="B372" s="6">
        <v>6.85</v>
      </c>
    </row>
    <row r="373" spans="1:2" ht="15" thickBot="1" x14ac:dyDescent="0.35">
      <c r="A373" s="5" t="s">
        <v>363</v>
      </c>
      <c r="B373" s="6">
        <v>6.8493000000000004</v>
      </c>
    </row>
    <row r="374" spans="1:2" ht="15" thickBot="1" x14ac:dyDescent="0.35">
      <c r="A374" s="5" t="s">
        <v>364</v>
      </c>
      <c r="B374" s="6">
        <v>6.6519000000000004</v>
      </c>
    </row>
    <row r="375" spans="1:2" ht="15" thickBot="1" x14ac:dyDescent="0.35">
      <c r="A375" s="5" t="s">
        <v>365</v>
      </c>
      <c r="B375" s="6">
        <v>7.2130000000000001</v>
      </c>
    </row>
    <row r="376" spans="1:2" ht="15" thickBot="1" x14ac:dyDescent="0.35">
      <c r="A376" s="5" t="s">
        <v>366</v>
      </c>
      <c r="B376" s="6">
        <v>7.3333000000000004</v>
      </c>
    </row>
    <row r="377" spans="1:2" ht="15" thickBot="1" x14ac:dyDescent="0.35">
      <c r="A377" s="5" t="s">
        <v>367</v>
      </c>
      <c r="B377" s="6">
        <v>6.8888999999999996</v>
      </c>
    </row>
    <row r="378" spans="1:2" ht="15" thickBot="1" x14ac:dyDescent="0.35">
      <c r="A378" s="5" t="s">
        <v>368</v>
      </c>
      <c r="B378" s="6">
        <v>7.2107999999999999</v>
      </c>
    </row>
    <row r="379" spans="1:2" ht="15" thickBot="1" x14ac:dyDescent="0.35">
      <c r="A379" s="5" t="s">
        <v>369</v>
      </c>
      <c r="B379" s="6">
        <v>7.1189</v>
      </c>
    </row>
    <row r="380" spans="1:2" ht="15" thickBot="1" x14ac:dyDescent="0.35">
      <c r="A380" s="5" t="s">
        <v>370</v>
      </c>
      <c r="B380" s="6">
        <v>7.1185</v>
      </c>
    </row>
    <row r="381" spans="1:2" ht="15" thickBot="1" x14ac:dyDescent="0.35">
      <c r="A381" s="5" t="s">
        <v>371</v>
      </c>
      <c r="B381" s="6">
        <v>6.8434999999999997</v>
      </c>
    </row>
    <row r="382" spans="1:2" ht="15" thickBot="1" x14ac:dyDescent="0.35">
      <c r="A382" s="5" t="s">
        <v>372</v>
      </c>
      <c r="B382" s="6">
        <v>6.7169999999999996</v>
      </c>
    </row>
    <row r="383" spans="1:2" ht="15" thickBot="1" x14ac:dyDescent="0.35">
      <c r="A383" s="5" t="s">
        <v>373</v>
      </c>
      <c r="B383" s="6">
        <v>6.8419999999999996</v>
      </c>
    </row>
    <row r="384" spans="1:2" ht="15" thickBot="1" x14ac:dyDescent="0.35">
      <c r="A384" s="5" t="s">
        <v>374</v>
      </c>
      <c r="B384" s="6">
        <v>6.8559999999999999</v>
      </c>
    </row>
    <row r="385" spans="1:2" ht="15" thickBot="1" x14ac:dyDescent="0.35">
      <c r="A385" s="5" t="s">
        <v>375</v>
      </c>
      <c r="B385" s="6">
        <v>6.8544</v>
      </c>
    </row>
    <row r="386" spans="1:2" ht="15" thickBot="1" x14ac:dyDescent="0.35">
      <c r="A386" s="5" t="s">
        <v>376</v>
      </c>
      <c r="B386" s="6">
        <v>6.7167000000000003</v>
      </c>
    </row>
    <row r="387" spans="1:2" ht="15" thickBot="1" x14ac:dyDescent="0.35">
      <c r="A387" s="5" t="s">
        <v>377</v>
      </c>
      <c r="B387" s="6">
        <v>6.8539000000000003</v>
      </c>
    </row>
    <row r="388" spans="1:2" ht="15" thickBot="1" x14ac:dyDescent="0.35">
      <c r="A388" s="5" t="s">
        <v>378</v>
      </c>
      <c r="B388" s="6">
        <v>7.0618999999999996</v>
      </c>
    </row>
    <row r="389" spans="1:2" ht="15" thickBot="1" x14ac:dyDescent="0.35">
      <c r="A389" s="5" t="s">
        <v>379</v>
      </c>
      <c r="B389" s="6">
        <v>7.2712000000000003</v>
      </c>
    </row>
    <row r="390" spans="1:2" ht="15" thickBot="1" x14ac:dyDescent="0.35">
      <c r="A390" s="5" t="s">
        <v>380</v>
      </c>
      <c r="B390" s="6">
        <v>7.2709999999999999</v>
      </c>
    </row>
    <row r="391" spans="1:2" ht="15" thickBot="1" x14ac:dyDescent="0.35">
      <c r="A391" s="5" t="s">
        <v>381</v>
      </c>
      <c r="B391" s="6">
        <v>6.8380000000000001</v>
      </c>
    </row>
    <row r="392" spans="1:2" ht="15" thickBot="1" x14ac:dyDescent="0.35">
      <c r="A392" s="5" t="s">
        <v>382</v>
      </c>
      <c r="B392" s="6">
        <v>6.8362999999999996</v>
      </c>
    </row>
    <row r="393" spans="1:2" ht="15" thickBot="1" x14ac:dyDescent="0.35">
      <c r="A393" s="5" t="s">
        <v>383</v>
      </c>
      <c r="B393" s="6">
        <v>6.4957000000000003</v>
      </c>
    </row>
    <row r="394" spans="1:2" ht="15" thickBot="1" x14ac:dyDescent="0.35">
      <c r="A394" s="5" t="s">
        <v>384</v>
      </c>
      <c r="B394" s="6">
        <v>6.4930000000000003</v>
      </c>
    </row>
    <row r="395" spans="1:2" ht="15" thickBot="1" x14ac:dyDescent="0.35">
      <c r="A395" s="5" t="s">
        <v>385</v>
      </c>
      <c r="B395" s="6">
        <v>7.0385</v>
      </c>
    </row>
    <row r="396" spans="1:2" ht="15" thickBot="1" x14ac:dyDescent="0.35">
      <c r="A396" s="5" t="s">
        <v>386</v>
      </c>
      <c r="B396" s="6">
        <v>6.8262999999999998</v>
      </c>
    </row>
    <row r="397" spans="1:2" ht="15" thickBot="1" x14ac:dyDescent="0.35">
      <c r="A397" s="5" t="s">
        <v>387</v>
      </c>
      <c r="B397" s="6">
        <v>6.5868000000000002</v>
      </c>
    </row>
    <row r="398" spans="1:2" ht="15" thickBot="1" x14ac:dyDescent="0.35">
      <c r="A398" s="5" t="s">
        <v>388</v>
      </c>
      <c r="B398" s="6">
        <v>6.585</v>
      </c>
    </row>
    <row r="399" spans="1:2" ht="15" thickBot="1" x14ac:dyDescent="0.35">
      <c r="A399" s="5" t="s">
        <v>389</v>
      </c>
      <c r="B399" s="6">
        <v>6.8250000000000002</v>
      </c>
    </row>
    <row r="400" spans="1:2" ht="15" thickBot="1" x14ac:dyDescent="0.35">
      <c r="A400" s="5" t="s">
        <v>390</v>
      </c>
      <c r="B400" s="6">
        <v>6.8327999999999998</v>
      </c>
    </row>
    <row r="401" spans="1:2" ht="15" thickBot="1" x14ac:dyDescent="0.35">
      <c r="A401" s="5" t="s">
        <v>391</v>
      </c>
      <c r="B401" s="6">
        <v>6.8333000000000004</v>
      </c>
    </row>
    <row r="402" spans="1:2" ht="15" thickBot="1" x14ac:dyDescent="0.35">
      <c r="A402" s="5" t="s">
        <v>392</v>
      </c>
      <c r="B402" s="6">
        <v>7.032</v>
      </c>
    </row>
    <row r="403" spans="1:2" ht="15" thickBot="1" x14ac:dyDescent="0.35">
      <c r="A403" s="5" t="s">
        <v>393</v>
      </c>
      <c r="B403" s="6">
        <v>7.0307000000000004</v>
      </c>
    </row>
    <row r="404" spans="1:2" ht="15" thickBot="1" x14ac:dyDescent="0.35">
      <c r="A404" s="5" t="s">
        <v>393</v>
      </c>
      <c r="B404" s="6">
        <v>7.0307000000000004</v>
      </c>
    </row>
    <row r="405" spans="1:2" ht="15" thickBot="1" x14ac:dyDescent="0.35">
      <c r="A405" s="5" t="s">
        <v>394</v>
      </c>
      <c r="B405" s="6">
        <v>6.8411999999999997</v>
      </c>
    </row>
    <row r="406" spans="1:2" ht="15" thickBot="1" x14ac:dyDescent="0.35">
      <c r="A406" s="5" t="s">
        <v>395</v>
      </c>
      <c r="B406" s="6">
        <v>6.6669</v>
      </c>
    </row>
    <row r="407" spans="1:2" ht="15" thickBot="1" x14ac:dyDescent="0.35">
      <c r="A407" s="5" t="s">
        <v>396</v>
      </c>
      <c r="B407" s="6">
        <v>7.3952999999999998</v>
      </c>
    </row>
    <row r="408" spans="1:2" ht="15" thickBot="1" x14ac:dyDescent="0.35">
      <c r="A408" s="5" t="s">
        <v>397</v>
      </c>
      <c r="B408" s="6">
        <v>6.556</v>
      </c>
    </row>
    <row r="409" spans="1:2" ht="15" thickBot="1" x14ac:dyDescent="0.35">
      <c r="A409" s="5" t="s">
        <v>398</v>
      </c>
      <c r="B409" s="6">
        <v>6.6660000000000004</v>
      </c>
    </row>
    <row r="410" spans="1:2" ht="15" thickBot="1" x14ac:dyDescent="0.35">
      <c r="A410" s="5" t="s">
        <v>399</v>
      </c>
      <c r="B410" s="6">
        <v>6.8390000000000004</v>
      </c>
    </row>
    <row r="411" spans="1:2" ht="15" thickBot="1" x14ac:dyDescent="0.35">
      <c r="A411" s="5" t="s">
        <v>400</v>
      </c>
      <c r="B411" s="6">
        <v>6.5559000000000003</v>
      </c>
    </row>
    <row r="412" spans="1:2" ht="15" thickBot="1" x14ac:dyDescent="0.35">
      <c r="A412" s="5" t="s">
        <v>401</v>
      </c>
      <c r="B412" s="6">
        <v>7.3780000000000001</v>
      </c>
    </row>
    <row r="413" spans="1:2" ht="15" thickBot="1" x14ac:dyDescent="0.35">
      <c r="A413" s="5" t="s">
        <v>402</v>
      </c>
      <c r="B413" s="6">
        <v>7.3765000000000001</v>
      </c>
    </row>
    <row r="414" spans="1:2" ht="15" thickBot="1" x14ac:dyDescent="0.35">
      <c r="A414" s="5" t="s">
        <v>403</v>
      </c>
      <c r="B414" s="6">
        <v>6.5224000000000002</v>
      </c>
    </row>
    <row r="415" spans="1:2" ht="15" thickBot="1" x14ac:dyDescent="0.35">
      <c r="A415" s="5" t="s">
        <v>404</v>
      </c>
      <c r="B415" s="6">
        <v>6.5229999999999997</v>
      </c>
    </row>
    <row r="416" spans="1:2" ht="15" thickBot="1" x14ac:dyDescent="0.35">
      <c r="A416" s="5" t="s">
        <v>405</v>
      </c>
      <c r="B416" s="6">
        <v>7.298</v>
      </c>
    </row>
    <row r="417" spans="1:2" ht="15" thickBot="1" x14ac:dyDescent="0.35">
      <c r="A417" s="5" t="s">
        <v>406</v>
      </c>
      <c r="B417" s="6">
        <v>7.2960000000000003</v>
      </c>
    </row>
    <row r="418" spans="1:2" ht="15" thickBot="1" x14ac:dyDescent="0.35">
      <c r="A418" s="5" t="s">
        <v>407</v>
      </c>
      <c r="B418" s="6">
        <v>6.4649999999999999</v>
      </c>
    </row>
    <row r="419" spans="1:2" ht="15" thickBot="1" x14ac:dyDescent="0.35">
      <c r="A419" s="5" t="s">
        <v>408</v>
      </c>
      <c r="B419" s="6">
        <v>6.8890000000000002</v>
      </c>
    </row>
    <row r="420" spans="1:2" ht="15" thickBot="1" x14ac:dyDescent="0.35">
      <c r="A420" s="5" t="s">
        <v>409</v>
      </c>
      <c r="B420" s="6">
        <v>6.6449999999999996</v>
      </c>
    </row>
    <row r="421" spans="1:2" ht="15" thickBot="1" x14ac:dyDescent="0.35">
      <c r="A421" s="5" t="s">
        <v>410</v>
      </c>
      <c r="B421" s="6">
        <v>6.4653999999999998</v>
      </c>
    </row>
    <row r="422" spans="1:2" ht="15" thickBot="1" x14ac:dyDescent="0.35">
      <c r="A422" s="5" t="s">
        <v>411</v>
      </c>
      <c r="B422" s="6">
        <v>6.6429999999999998</v>
      </c>
    </row>
    <row r="423" spans="1:2" ht="15" thickBot="1" x14ac:dyDescent="0.35">
      <c r="A423" s="5" t="s">
        <v>412</v>
      </c>
      <c r="B423" s="6">
        <v>6.8875000000000002</v>
      </c>
    </row>
    <row r="424" spans="1:2" ht="15" thickBot="1" x14ac:dyDescent="0.35">
      <c r="A424" s="5" t="s">
        <v>413</v>
      </c>
      <c r="B424" s="6">
        <v>6.6558000000000002</v>
      </c>
    </row>
    <row r="425" spans="1:2" ht="15" thickBot="1" x14ac:dyDescent="0.35">
      <c r="A425" s="5" t="s">
        <v>414</v>
      </c>
      <c r="B425" s="6">
        <v>6.6539999999999999</v>
      </c>
    </row>
    <row r="426" spans="1:2" ht="15" thickBot="1" x14ac:dyDescent="0.35">
      <c r="A426" s="5" t="s">
        <v>415</v>
      </c>
      <c r="B426" s="6">
        <v>7</v>
      </c>
    </row>
    <row r="427" spans="1:2" ht="15" thickBot="1" x14ac:dyDescent="0.35">
      <c r="A427" s="5" t="s">
        <v>416</v>
      </c>
      <c r="B427" s="6">
        <v>6.6218000000000004</v>
      </c>
    </row>
    <row r="428" spans="1:2" ht="15" thickBot="1" x14ac:dyDescent="0.35">
      <c r="A428" s="5" t="s">
        <v>417</v>
      </c>
      <c r="B428" s="6">
        <v>6.6219999999999999</v>
      </c>
    </row>
    <row r="429" spans="1:2" ht="15" thickBot="1" x14ac:dyDescent="0.35">
      <c r="A429" s="5" t="s">
        <v>418</v>
      </c>
      <c r="B429" s="6">
        <v>6.4656000000000002</v>
      </c>
    </row>
    <row r="430" spans="1:2" ht="15" thickBot="1" x14ac:dyDescent="0.35">
      <c r="A430" s="5" t="s">
        <v>419</v>
      </c>
      <c r="B430" s="6">
        <v>6.4645000000000001</v>
      </c>
    </row>
    <row r="431" spans="1:2" ht="15" thickBot="1" x14ac:dyDescent="0.35">
      <c r="A431" s="5" t="s">
        <v>420</v>
      </c>
      <c r="B431" s="6">
        <v>6.516</v>
      </c>
    </row>
    <row r="432" spans="1:2" ht="15" thickBot="1" x14ac:dyDescent="0.35">
      <c r="A432" s="5" t="s">
        <v>421</v>
      </c>
      <c r="B432" s="6">
        <v>6.5137</v>
      </c>
    </row>
    <row r="433" spans="1:2" ht="15" thickBot="1" x14ac:dyDescent="0.35">
      <c r="A433" s="5" t="s">
        <v>422</v>
      </c>
      <c r="B433" s="6">
        <v>6.6093999999999999</v>
      </c>
    </row>
    <row r="434" spans="1:2" ht="15" thickBot="1" x14ac:dyDescent="0.35">
      <c r="A434" s="5" t="s">
        <v>423</v>
      </c>
      <c r="B434" s="6">
        <v>6.609</v>
      </c>
    </row>
    <row r="435" spans="1:2" ht="15" thickBot="1" x14ac:dyDescent="0.35">
      <c r="A435" s="5" t="s">
        <v>424</v>
      </c>
      <c r="B435" s="6">
        <v>6.9622999999999999</v>
      </c>
    </row>
    <row r="436" spans="1:2" ht="15" thickBot="1" x14ac:dyDescent="0.35">
      <c r="A436" s="5" t="s">
        <v>425</v>
      </c>
      <c r="B436" s="6">
        <v>6.4558</v>
      </c>
    </row>
    <row r="437" spans="1:2" ht="15" thickBot="1" x14ac:dyDescent="0.35">
      <c r="A437" s="5" t="s">
        <v>426</v>
      </c>
      <c r="B437" s="6">
        <v>6.6044</v>
      </c>
    </row>
    <row r="438" spans="1:2" ht="15" thickBot="1" x14ac:dyDescent="0.35">
      <c r="A438" s="5" t="s">
        <v>427</v>
      </c>
      <c r="B438" s="6">
        <v>6.6028000000000002</v>
      </c>
    </row>
    <row r="439" spans="1:2" ht="15" thickBot="1" x14ac:dyDescent="0.35">
      <c r="A439" s="5" t="s">
        <v>428</v>
      </c>
      <c r="B439" s="6">
        <v>6.556</v>
      </c>
    </row>
    <row r="440" spans="1:2" ht="15" thickBot="1" x14ac:dyDescent="0.35">
      <c r="A440" s="5" t="s">
        <v>429</v>
      </c>
      <c r="B440" s="6">
        <v>6.9013999999999998</v>
      </c>
    </row>
    <row r="441" spans="1:2" ht="15" thickBot="1" x14ac:dyDescent="0.35">
      <c r="A441" s="5" t="s">
        <v>430</v>
      </c>
      <c r="B441" s="6">
        <v>6.4530000000000003</v>
      </c>
    </row>
    <row r="442" spans="1:2" ht="15" thickBot="1" x14ac:dyDescent="0.35">
      <c r="A442" s="5" t="s">
        <v>431</v>
      </c>
      <c r="B442" s="6">
        <v>6.5549999999999997</v>
      </c>
    </row>
    <row r="443" spans="1:2" ht="15" thickBot="1" x14ac:dyDescent="0.35">
      <c r="A443" s="5" t="s">
        <v>432</v>
      </c>
      <c r="B443" s="6">
        <v>6.9009999999999998</v>
      </c>
    </row>
    <row r="444" spans="1:2" ht="15" thickBot="1" x14ac:dyDescent="0.35">
      <c r="A444" s="5" t="s">
        <v>433</v>
      </c>
      <c r="B444" s="6">
        <v>6.6012000000000004</v>
      </c>
    </row>
    <row r="445" spans="1:2" ht="15" thickBot="1" x14ac:dyDescent="0.35">
      <c r="A445" s="5" t="s">
        <v>434</v>
      </c>
      <c r="B445" s="6">
        <v>6.5990000000000002</v>
      </c>
    </row>
    <row r="446" spans="1:2" ht="15" thickBot="1" x14ac:dyDescent="0.35">
      <c r="A446" s="5" t="s">
        <v>435</v>
      </c>
      <c r="B446" s="6">
        <v>6.94</v>
      </c>
    </row>
    <row r="447" spans="1:2" ht="15" thickBot="1" x14ac:dyDescent="0.35">
      <c r="A447" s="5" t="s">
        <v>436</v>
      </c>
      <c r="B447" s="6">
        <v>6.3940000000000001</v>
      </c>
    </row>
    <row r="448" spans="1:2" ht="15" thickBot="1" x14ac:dyDescent="0.35">
      <c r="A448" s="5" t="s">
        <v>437</v>
      </c>
      <c r="B448" s="6">
        <v>6.3940000000000001</v>
      </c>
    </row>
    <row r="449" spans="1:2" ht="15" thickBot="1" x14ac:dyDescent="0.35">
      <c r="A449" s="5" t="s">
        <v>438</v>
      </c>
      <c r="B449" s="6">
        <v>6.9375</v>
      </c>
    </row>
    <row r="450" spans="1:2" ht="15" thickBot="1" x14ac:dyDescent="0.35">
      <c r="A450" s="5" t="s">
        <v>439</v>
      </c>
      <c r="B450" s="6">
        <v>6.4626000000000001</v>
      </c>
    </row>
    <row r="451" spans="1:2" ht="15" thickBot="1" x14ac:dyDescent="0.35">
      <c r="A451" s="5" t="s">
        <v>440</v>
      </c>
      <c r="B451" s="6">
        <v>6.4595000000000002</v>
      </c>
    </row>
    <row r="452" spans="1:2" ht="15" thickBot="1" x14ac:dyDescent="0.35">
      <c r="A452" s="5" t="s">
        <v>441</v>
      </c>
      <c r="B452" s="6">
        <v>6.6490999999999998</v>
      </c>
    </row>
    <row r="453" spans="1:2" ht="15" thickBot="1" x14ac:dyDescent="0.35">
      <c r="A453" s="5" t="s">
        <v>442</v>
      </c>
      <c r="B453" s="6">
        <v>6.6483999999999996</v>
      </c>
    </row>
    <row r="454" spans="1:2" ht="15" thickBot="1" x14ac:dyDescent="0.35">
      <c r="A454" s="5" t="s">
        <v>443</v>
      </c>
      <c r="B454" s="6">
        <v>6.3559999999999999</v>
      </c>
    </row>
    <row r="455" spans="1:2" ht="15" thickBot="1" x14ac:dyDescent="0.35">
      <c r="A455" s="5" t="s">
        <v>444</v>
      </c>
      <c r="B455" s="6">
        <v>6.585</v>
      </c>
    </row>
    <row r="456" spans="1:2" ht="15" thickBot="1" x14ac:dyDescent="0.35">
      <c r="A456" s="5" t="s">
        <v>445</v>
      </c>
      <c r="B456" s="6">
        <v>6.3543000000000003</v>
      </c>
    </row>
    <row r="457" spans="1:2" ht="15" thickBot="1" x14ac:dyDescent="0.35">
      <c r="A457" s="5" t="s">
        <v>446</v>
      </c>
      <c r="B457" s="6">
        <v>6.5834999999999999</v>
      </c>
    </row>
    <row r="458" spans="1:2" ht="15" thickBot="1" x14ac:dyDescent="0.35">
      <c r="A458" s="5" t="s">
        <v>447</v>
      </c>
      <c r="B458" s="6">
        <v>6.9375999999999998</v>
      </c>
    </row>
    <row r="459" spans="1:2" ht="15" thickBot="1" x14ac:dyDescent="0.35">
      <c r="A459" s="5" t="s">
        <v>448</v>
      </c>
      <c r="B459" s="6">
        <v>6.9381000000000004</v>
      </c>
    </row>
    <row r="460" spans="1:2" ht="15" thickBot="1" x14ac:dyDescent="0.35">
      <c r="A460" s="5" t="s">
        <v>449</v>
      </c>
      <c r="B460" s="6">
        <v>7.0904999999999996</v>
      </c>
    </row>
    <row r="461" spans="1:2" ht="15" thickBot="1" x14ac:dyDescent="0.35">
      <c r="A461" s="5" t="s">
        <v>450</v>
      </c>
      <c r="B461" s="6">
        <v>6.5618999999999996</v>
      </c>
    </row>
    <row r="462" spans="1:2" ht="15" thickBot="1" x14ac:dyDescent="0.35">
      <c r="A462" s="5" t="s">
        <v>451</v>
      </c>
      <c r="B462" s="6">
        <v>6.56</v>
      </c>
    </row>
    <row r="463" spans="1:2" ht="15" thickBot="1" x14ac:dyDescent="0.35">
      <c r="A463" s="5" t="s">
        <v>452</v>
      </c>
      <c r="B463" s="6">
        <v>7.09</v>
      </c>
    </row>
    <row r="464" spans="1:2" ht="15" thickBot="1" x14ac:dyDescent="0.35">
      <c r="A464" s="5" t="s">
        <v>453</v>
      </c>
      <c r="B464" s="6">
        <v>7.0046999999999997</v>
      </c>
    </row>
    <row r="465" spans="1:2" ht="15" thickBot="1" x14ac:dyDescent="0.35">
      <c r="A465" s="5" t="s">
        <v>454</v>
      </c>
      <c r="B465" s="6">
        <v>7.0039999999999996</v>
      </c>
    </row>
    <row r="466" spans="1:2" ht="15" thickBot="1" x14ac:dyDescent="0.35">
      <c r="A466" s="5" t="s">
        <v>455</v>
      </c>
      <c r="B466" s="6">
        <v>6.3372999999999999</v>
      </c>
    </row>
    <row r="467" spans="1:2" ht="15" thickBot="1" x14ac:dyDescent="0.35">
      <c r="A467" s="5" t="s">
        <v>456</v>
      </c>
      <c r="B467" s="6">
        <v>6.3371000000000004</v>
      </c>
    </row>
    <row r="468" spans="1:2" ht="15" thickBot="1" x14ac:dyDescent="0.35">
      <c r="A468" s="5" t="s">
        <v>457</v>
      </c>
      <c r="B468" s="6">
        <v>6.8888999999999996</v>
      </c>
    </row>
    <row r="469" spans="1:2" ht="15" thickBot="1" x14ac:dyDescent="0.35">
      <c r="A469" s="5" t="s">
        <v>458</v>
      </c>
      <c r="B469" s="6">
        <v>6.4039000000000001</v>
      </c>
    </row>
    <row r="470" spans="1:2" ht="15" thickBot="1" x14ac:dyDescent="0.35">
      <c r="A470" s="5" t="s">
        <v>459</v>
      </c>
      <c r="B470" s="6">
        <v>6.4029999999999996</v>
      </c>
    </row>
    <row r="471" spans="1:2" ht="15" thickBot="1" x14ac:dyDescent="0.35">
      <c r="A471" s="5" t="s">
        <v>460</v>
      </c>
      <c r="B471" s="6">
        <v>6.4050000000000002</v>
      </c>
    </row>
    <row r="472" spans="1:2" ht="15" thickBot="1" x14ac:dyDescent="0.35">
      <c r="A472" s="5" t="s">
        <v>461</v>
      </c>
      <c r="B472" s="6">
        <v>6.4034000000000004</v>
      </c>
    </row>
    <row r="473" spans="1:2" ht="15" thickBot="1" x14ac:dyDescent="0.35">
      <c r="A473" s="5" t="s">
        <v>462</v>
      </c>
      <c r="B473" s="6">
        <v>6.2862999999999998</v>
      </c>
    </row>
    <row r="474" spans="1:2" ht="15" thickBot="1" x14ac:dyDescent="0.35">
      <c r="A474" s="5" t="s">
        <v>463</v>
      </c>
      <c r="B474" s="6">
        <v>6.2861000000000002</v>
      </c>
    </row>
    <row r="475" spans="1:2" ht="15" thickBot="1" x14ac:dyDescent="0.35">
      <c r="A475" s="5" t="s">
        <v>464</v>
      </c>
      <c r="B475" s="6">
        <v>6.3836000000000004</v>
      </c>
    </row>
    <row r="476" spans="1:2" ht="15" thickBot="1" x14ac:dyDescent="0.35">
      <c r="A476" s="5" t="s">
        <v>465</v>
      </c>
      <c r="B476" s="6">
        <v>6.3795999999999999</v>
      </c>
    </row>
    <row r="477" spans="1:2" ht="15" thickBot="1" x14ac:dyDescent="0.35">
      <c r="A477" s="5" t="s">
        <v>466</v>
      </c>
      <c r="B477" s="6">
        <v>6.6623999999999999</v>
      </c>
    </row>
    <row r="478" spans="1:2" ht="15" thickBot="1" x14ac:dyDescent="0.35">
      <c r="A478" s="5" t="s">
        <v>467</v>
      </c>
      <c r="B478" s="6">
        <v>6.6630000000000003</v>
      </c>
    </row>
    <row r="479" spans="1:2" ht="15" thickBot="1" x14ac:dyDescent="0.35">
      <c r="A479" s="5" t="s">
        <v>468</v>
      </c>
      <c r="B479" s="6">
        <v>6.4173999999999998</v>
      </c>
    </row>
    <row r="480" spans="1:2" ht="15" thickBot="1" x14ac:dyDescent="0.35">
      <c r="A480" s="5" t="s">
        <v>469</v>
      </c>
      <c r="B480" s="6">
        <v>6.4175000000000004</v>
      </c>
    </row>
    <row r="481" spans="1:2" ht="15" thickBot="1" x14ac:dyDescent="0.35">
      <c r="A481" s="5" t="s">
        <v>470</v>
      </c>
      <c r="B481" s="6">
        <v>6.5189000000000004</v>
      </c>
    </row>
    <row r="482" spans="1:2" ht="15" thickBot="1" x14ac:dyDescent="0.35">
      <c r="A482" s="5" t="s">
        <v>471</v>
      </c>
      <c r="B482" s="6">
        <v>6.2123999999999997</v>
      </c>
    </row>
    <row r="483" spans="1:2" ht="15" thickBot="1" x14ac:dyDescent="0.35">
      <c r="A483" s="5" t="s">
        <v>472</v>
      </c>
      <c r="B483" s="6">
        <v>6.516</v>
      </c>
    </row>
    <row r="484" spans="1:2" ht="15" thickBot="1" x14ac:dyDescent="0.35">
      <c r="A484" s="5" t="s">
        <v>473</v>
      </c>
      <c r="B484" s="6">
        <v>7.1790000000000003</v>
      </c>
    </row>
    <row r="485" spans="1:2" ht="15" thickBot="1" x14ac:dyDescent="0.35">
      <c r="A485" s="5" t="s">
        <v>474</v>
      </c>
      <c r="B485" s="6">
        <v>6.2102000000000004</v>
      </c>
    </row>
    <row r="486" spans="1:2" ht="15" thickBot="1" x14ac:dyDescent="0.35">
      <c r="A486" s="5" t="s">
        <v>475</v>
      </c>
      <c r="B486" s="6">
        <v>7.1753</v>
      </c>
    </row>
    <row r="487" spans="1:2" ht="15" thickBot="1" x14ac:dyDescent="0.35">
      <c r="A487" s="5" t="s">
        <v>476</v>
      </c>
      <c r="B487" s="6">
        <v>6.2232000000000003</v>
      </c>
    </row>
    <row r="488" spans="1:2" ht="15" thickBot="1" x14ac:dyDescent="0.35">
      <c r="A488" s="5" t="s">
        <v>477</v>
      </c>
      <c r="B488" s="6">
        <v>6.2226999999999997</v>
      </c>
    </row>
    <row r="489" spans="1:2" ht="15" thickBot="1" x14ac:dyDescent="0.35">
      <c r="A489" s="5" t="s">
        <v>478</v>
      </c>
      <c r="B489" s="6">
        <v>6.3719999999999999</v>
      </c>
    </row>
    <row r="490" spans="1:2" ht="15" thickBot="1" x14ac:dyDescent="0.35">
      <c r="A490" s="5" t="s">
        <v>479</v>
      </c>
      <c r="B490" s="6">
        <v>6.3719000000000001</v>
      </c>
    </row>
    <row r="491" spans="1:2" ht="15" thickBot="1" x14ac:dyDescent="0.35">
      <c r="A491" s="5" t="s">
        <v>480</v>
      </c>
      <c r="B491" s="6">
        <v>6.3539000000000003</v>
      </c>
    </row>
    <row r="492" spans="1:2" ht="15" thickBot="1" x14ac:dyDescent="0.35">
      <c r="A492" s="5" t="s">
        <v>481</v>
      </c>
      <c r="B492" s="6">
        <v>6.3529999999999998</v>
      </c>
    </row>
    <row r="493" spans="1:2" ht="15" thickBot="1" x14ac:dyDescent="0.35">
      <c r="A493" s="5" t="s">
        <v>482</v>
      </c>
      <c r="B493" s="6">
        <v>6.3609999999999998</v>
      </c>
    </row>
    <row r="494" spans="1:2" ht="15" thickBot="1" x14ac:dyDescent="0.35">
      <c r="A494" s="5" t="s">
        <v>483</v>
      </c>
      <c r="B494" s="6">
        <v>6.3609999999999998</v>
      </c>
    </row>
    <row r="495" spans="1:2" ht="15" thickBot="1" x14ac:dyDescent="0.35">
      <c r="A495" s="5" t="s">
        <v>484</v>
      </c>
      <c r="B495" s="6">
        <v>6.2622999999999998</v>
      </c>
    </row>
    <row r="496" spans="1:2" ht="15" thickBot="1" x14ac:dyDescent="0.35">
      <c r="A496" s="5" t="s">
        <v>485</v>
      </c>
      <c r="B496" s="6">
        <v>6.2619999999999996</v>
      </c>
    </row>
    <row r="497" spans="1:2" ht="15" thickBot="1" x14ac:dyDescent="0.35">
      <c r="A497" s="5" t="s">
        <v>486</v>
      </c>
      <c r="B497" s="6">
        <v>7.0750000000000002</v>
      </c>
    </row>
    <row r="498" spans="1:2" ht="15" thickBot="1" x14ac:dyDescent="0.35">
      <c r="A498" s="5" t="s">
        <v>487</v>
      </c>
      <c r="B498" s="6">
        <v>7.0735000000000001</v>
      </c>
    </row>
    <row r="499" spans="1:2" ht="15" thickBot="1" x14ac:dyDescent="0.35">
      <c r="A499" s="5" t="s">
        <v>488</v>
      </c>
      <c r="B499" s="6">
        <v>6.8220000000000001</v>
      </c>
    </row>
    <row r="500" spans="1:2" ht="15" thickBot="1" x14ac:dyDescent="0.35">
      <c r="A500" s="5" t="s">
        <v>489</v>
      </c>
      <c r="B500" s="6">
        <v>6.8182</v>
      </c>
    </row>
    <row r="501" spans="1:2" ht="15" thickBot="1" x14ac:dyDescent="0.35">
      <c r="A501" s="5" t="s">
        <v>490</v>
      </c>
      <c r="B501" s="6">
        <v>6.1387</v>
      </c>
    </row>
    <row r="502" spans="1:2" ht="15" thickBot="1" x14ac:dyDescent="0.35">
      <c r="A502" s="5" t="s">
        <v>491</v>
      </c>
      <c r="B502" s="6">
        <v>6.14</v>
      </c>
    </row>
    <row r="503" spans="1:2" ht="15" thickBot="1" x14ac:dyDescent="0.35">
      <c r="A503" s="5" t="s">
        <v>492</v>
      </c>
      <c r="B503" s="6">
        <v>6.2195</v>
      </c>
    </row>
    <row r="504" spans="1:2" ht="15" thickBot="1" x14ac:dyDescent="0.35">
      <c r="A504" s="5" t="s">
        <v>493</v>
      </c>
      <c r="B504" s="6">
        <v>6.2198000000000002</v>
      </c>
    </row>
    <row r="505" spans="1:2" ht="15" thickBot="1" x14ac:dyDescent="0.35">
      <c r="A505" s="5" t="s">
        <v>494</v>
      </c>
      <c r="B505" s="6">
        <v>6.6760000000000002</v>
      </c>
    </row>
    <row r="506" spans="1:2" ht="15" thickBot="1" x14ac:dyDescent="0.35">
      <c r="A506" s="5" t="s">
        <v>495</v>
      </c>
      <c r="B506" s="6">
        <v>6.6745999999999999</v>
      </c>
    </row>
    <row r="507" spans="1:2" ht="15" thickBot="1" x14ac:dyDescent="0.35">
      <c r="A507" s="5" t="s">
        <v>496</v>
      </c>
      <c r="B507" s="6">
        <v>6.141</v>
      </c>
    </row>
    <row r="508" spans="1:2" ht="15" thickBot="1" x14ac:dyDescent="0.35">
      <c r="A508" s="5" t="s">
        <v>497</v>
      </c>
      <c r="B508" s="6">
        <v>6.1395999999999997</v>
      </c>
    </row>
    <row r="509" spans="1:2" ht="15" thickBot="1" x14ac:dyDescent="0.35">
      <c r="A509" s="5" t="s">
        <v>498</v>
      </c>
      <c r="B509" s="6">
        <v>6.5030000000000001</v>
      </c>
    </row>
    <row r="510" spans="1:2" ht="15" thickBot="1" x14ac:dyDescent="0.35">
      <c r="A510" s="5" t="s">
        <v>499</v>
      </c>
      <c r="B510" s="6">
        <v>6.5011000000000001</v>
      </c>
    </row>
    <row r="511" spans="1:2" ht="15" thickBot="1" x14ac:dyDescent="0.35">
      <c r="A511" s="5" t="s">
        <v>500</v>
      </c>
      <c r="B511" s="6">
        <v>6.298</v>
      </c>
    </row>
    <row r="512" spans="1:2" ht="15" thickBot="1" x14ac:dyDescent="0.35">
      <c r="A512" s="5" t="s">
        <v>501</v>
      </c>
      <c r="B512" s="6">
        <v>6.2962999999999996</v>
      </c>
    </row>
    <row r="513" spans="1:2" ht="15" thickBot="1" x14ac:dyDescent="0.35">
      <c r="A513" s="5" t="s">
        <v>502</v>
      </c>
      <c r="B513" s="6">
        <v>6.1689999999999996</v>
      </c>
    </row>
    <row r="514" spans="1:2" ht="15" thickBot="1" x14ac:dyDescent="0.35">
      <c r="A514" s="5" t="s">
        <v>503</v>
      </c>
      <c r="B514" s="6">
        <v>6.1680000000000001</v>
      </c>
    </row>
    <row r="515" spans="1:2" ht="15" thickBot="1" x14ac:dyDescent="0.35">
      <c r="A515" s="5" t="s">
        <v>504</v>
      </c>
      <c r="B515" s="6">
        <v>6.056</v>
      </c>
    </row>
    <row r="516" spans="1:2" ht="15" thickBot="1" x14ac:dyDescent="0.35">
      <c r="A516" s="5" t="s">
        <v>505</v>
      </c>
      <c r="B516" s="6">
        <v>6.0538999999999996</v>
      </c>
    </row>
    <row r="517" spans="1:2" ht="15" thickBot="1" x14ac:dyDescent="0.35">
      <c r="A517" s="5" t="s">
        <v>506</v>
      </c>
      <c r="B517" s="6">
        <v>6.6997</v>
      </c>
    </row>
    <row r="518" spans="1:2" ht="15" thickBot="1" x14ac:dyDescent="0.35">
      <c r="A518" s="5" t="s">
        <v>507</v>
      </c>
      <c r="B518" s="6">
        <v>6.7003000000000004</v>
      </c>
    </row>
    <row r="519" spans="1:2" ht="15" thickBot="1" x14ac:dyDescent="0.35">
      <c r="A519" s="5" t="s">
        <v>508</v>
      </c>
      <c r="B519" s="6">
        <v>6.3772000000000002</v>
      </c>
    </row>
    <row r="520" spans="1:2" ht="15" thickBot="1" x14ac:dyDescent="0.35">
      <c r="A520" s="5" t="s">
        <v>509</v>
      </c>
      <c r="B520" s="6">
        <v>6.3769999999999998</v>
      </c>
    </row>
    <row r="521" spans="1:2" ht="15" thickBot="1" x14ac:dyDescent="0.35">
      <c r="A521" s="5" t="s">
        <v>510</v>
      </c>
      <c r="B521" s="6">
        <v>6.75</v>
      </c>
    </row>
    <row r="522" spans="1:2" ht="15" thickBot="1" x14ac:dyDescent="0.35">
      <c r="A522" s="5" t="s">
        <v>511</v>
      </c>
      <c r="B522" s="6">
        <v>6.1401000000000003</v>
      </c>
    </row>
    <row r="523" spans="1:2" ht="15" thickBot="1" x14ac:dyDescent="0.35">
      <c r="A523" s="5" t="s">
        <v>512</v>
      </c>
      <c r="B523" s="6">
        <v>6.7539999999999996</v>
      </c>
    </row>
    <row r="524" spans="1:2" ht="15" thickBot="1" x14ac:dyDescent="0.35">
      <c r="A524" s="5" t="s">
        <v>513</v>
      </c>
      <c r="B524" s="6">
        <v>6.1379999999999999</v>
      </c>
    </row>
    <row r="525" spans="1:2" ht="15" thickBot="1" x14ac:dyDescent="0.35">
      <c r="A525" s="5" t="s">
        <v>514</v>
      </c>
      <c r="B525" s="6">
        <v>6.7539999999999996</v>
      </c>
    </row>
    <row r="526" spans="1:2" ht="15" thickBot="1" x14ac:dyDescent="0.35">
      <c r="A526" s="5" t="s">
        <v>515</v>
      </c>
      <c r="B526" s="6">
        <v>6.1310000000000002</v>
      </c>
    </row>
    <row r="527" spans="1:2" ht="15" thickBot="1" x14ac:dyDescent="0.35">
      <c r="A527" s="5" t="s">
        <v>516</v>
      </c>
      <c r="B527" s="6">
        <v>6.0571000000000002</v>
      </c>
    </row>
    <row r="528" spans="1:2" ht="15" thickBot="1" x14ac:dyDescent="0.35">
      <c r="A528" s="5" t="s">
        <v>517</v>
      </c>
      <c r="B528" s="6">
        <v>6.0560999999999998</v>
      </c>
    </row>
    <row r="529" spans="1:2" ht="15" thickBot="1" x14ac:dyDescent="0.35">
      <c r="A529" s="5" t="s">
        <v>518</v>
      </c>
      <c r="B529" s="6">
        <v>6.1295999999999999</v>
      </c>
    </row>
    <row r="530" spans="1:2" ht="15" thickBot="1" x14ac:dyDescent="0.35">
      <c r="A530" s="5" t="s">
        <v>519</v>
      </c>
      <c r="B530" s="6">
        <v>6.1260000000000003</v>
      </c>
    </row>
    <row r="531" spans="1:2" ht="15" thickBot="1" x14ac:dyDescent="0.35">
      <c r="A531" s="5" t="s">
        <v>520</v>
      </c>
      <c r="B531" s="6">
        <v>6.1260000000000003</v>
      </c>
    </row>
    <row r="532" spans="1:2" ht="15" thickBot="1" x14ac:dyDescent="0.35">
      <c r="A532" s="5" t="s">
        <v>521</v>
      </c>
      <c r="B532" s="6">
        <v>6.5156000000000001</v>
      </c>
    </row>
    <row r="533" spans="1:2" ht="15" thickBot="1" x14ac:dyDescent="0.35">
      <c r="A533" s="5" t="s">
        <v>522</v>
      </c>
      <c r="B533" s="6">
        <v>6.1211000000000002</v>
      </c>
    </row>
    <row r="534" spans="1:2" ht="15" thickBot="1" x14ac:dyDescent="0.35">
      <c r="A534" s="5" t="s">
        <v>523</v>
      </c>
      <c r="B534" s="6">
        <v>6.5149999999999997</v>
      </c>
    </row>
    <row r="535" spans="1:2" ht="15" thickBot="1" x14ac:dyDescent="0.35">
      <c r="A535" s="5" t="s">
        <v>524</v>
      </c>
      <c r="B535" s="6">
        <v>6.1180000000000003</v>
      </c>
    </row>
    <row r="536" spans="1:2" ht="15" thickBot="1" x14ac:dyDescent="0.35">
      <c r="A536" s="5" t="s">
        <v>525</v>
      </c>
      <c r="B536" s="6">
        <v>6.8108000000000004</v>
      </c>
    </row>
    <row r="537" spans="1:2" ht="15" thickBot="1" x14ac:dyDescent="0.35">
      <c r="A537" s="5" t="s">
        <v>526</v>
      </c>
      <c r="B537" s="6">
        <v>6.8105000000000002</v>
      </c>
    </row>
    <row r="538" spans="1:2" ht="15" thickBot="1" x14ac:dyDescent="0.35">
      <c r="A538" s="5" t="s">
        <v>527</v>
      </c>
      <c r="B538" s="6">
        <v>6.0250000000000004</v>
      </c>
    </row>
    <row r="539" spans="1:2" ht="15" thickBot="1" x14ac:dyDescent="0.35">
      <c r="A539" s="5" t="s">
        <v>528</v>
      </c>
      <c r="B539" s="6">
        <v>6.0236000000000001</v>
      </c>
    </row>
    <row r="540" spans="1:2" ht="15" thickBot="1" x14ac:dyDescent="0.35">
      <c r="A540" s="5" t="s">
        <v>529</v>
      </c>
      <c r="B540" s="6">
        <v>6.9832999999999998</v>
      </c>
    </row>
    <row r="541" spans="1:2" ht="15" thickBot="1" x14ac:dyDescent="0.35">
      <c r="A541" s="5" t="s">
        <v>530</v>
      </c>
      <c r="B541" s="6">
        <v>5.9569999999999999</v>
      </c>
    </row>
    <row r="542" spans="1:2" ht="15" thickBot="1" x14ac:dyDescent="0.35">
      <c r="A542" s="5" t="s">
        <v>531</v>
      </c>
      <c r="B542" s="6">
        <v>6.9829999999999997</v>
      </c>
    </row>
    <row r="543" spans="1:2" ht="15" thickBot="1" x14ac:dyDescent="0.35">
      <c r="A543" s="5" t="s">
        <v>532</v>
      </c>
      <c r="B543" s="6">
        <v>5.9555999999999996</v>
      </c>
    </row>
    <row r="544" spans="1:2" ht="15" thickBot="1" x14ac:dyDescent="0.35">
      <c r="A544" s="5" t="s">
        <v>533</v>
      </c>
      <c r="B544" s="6">
        <v>5.99</v>
      </c>
    </row>
    <row r="545" spans="1:2" ht="15" thickBot="1" x14ac:dyDescent="0.35">
      <c r="A545" s="5" t="s">
        <v>534</v>
      </c>
      <c r="B545" s="6">
        <v>5.9878</v>
      </c>
    </row>
    <row r="546" spans="1:2" ht="15" thickBot="1" x14ac:dyDescent="0.35">
      <c r="A546" s="5" t="s">
        <v>535</v>
      </c>
      <c r="B546" s="6">
        <v>6.84</v>
      </c>
    </row>
    <row r="547" spans="1:2" ht="15" thickBot="1" x14ac:dyDescent="0.35">
      <c r="A547" s="5" t="s">
        <v>536</v>
      </c>
      <c r="B547" s="6">
        <v>6.8395000000000001</v>
      </c>
    </row>
    <row r="548" spans="1:2" ht="15" thickBot="1" x14ac:dyDescent="0.35">
      <c r="A548" s="5" t="s">
        <v>537</v>
      </c>
      <c r="B548" s="6">
        <v>6.6841999999999997</v>
      </c>
    </row>
    <row r="549" spans="1:2" ht="15" thickBot="1" x14ac:dyDescent="0.35">
      <c r="A549" s="5" t="s">
        <v>538</v>
      </c>
      <c r="B549" s="6">
        <v>6.8971</v>
      </c>
    </row>
    <row r="550" spans="1:2" ht="15" thickBot="1" x14ac:dyDescent="0.35">
      <c r="A550" s="5" t="s">
        <v>539</v>
      </c>
      <c r="B550" s="6">
        <v>5.8979999999999997</v>
      </c>
    </row>
    <row r="551" spans="1:2" ht="15" thickBot="1" x14ac:dyDescent="0.35">
      <c r="A551" s="5" t="s">
        <v>540</v>
      </c>
      <c r="B551" s="6">
        <v>5.8967000000000001</v>
      </c>
    </row>
    <row r="552" spans="1:2" ht="15" thickBot="1" x14ac:dyDescent="0.35">
      <c r="A552" s="5" t="s">
        <v>541</v>
      </c>
      <c r="B552" s="6">
        <v>6.8948</v>
      </c>
    </row>
    <row r="553" spans="1:2" ht="15" thickBot="1" x14ac:dyDescent="0.35">
      <c r="A553" s="5" t="s">
        <v>542</v>
      </c>
      <c r="B553" s="6">
        <v>6.3390000000000004</v>
      </c>
    </row>
    <row r="554" spans="1:2" ht="15" thickBot="1" x14ac:dyDescent="0.35">
      <c r="A554" s="5" t="s">
        <v>543</v>
      </c>
      <c r="B554" s="6">
        <v>6.3407</v>
      </c>
    </row>
    <row r="555" spans="1:2" ht="15" thickBot="1" x14ac:dyDescent="0.35">
      <c r="A555" s="5" t="s">
        <v>544</v>
      </c>
      <c r="B555" s="6">
        <v>6.2373000000000003</v>
      </c>
    </row>
    <row r="556" spans="1:2" ht="15" thickBot="1" x14ac:dyDescent="0.35">
      <c r="A556" s="5" t="s">
        <v>545</v>
      </c>
      <c r="B556" s="6">
        <v>6.2350000000000003</v>
      </c>
    </row>
    <row r="557" spans="1:2" ht="15" thickBot="1" x14ac:dyDescent="0.35">
      <c r="A557" s="5" t="s">
        <v>546</v>
      </c>
      <c r="B557" s="6">
        <v>5.9489999999999998</v>
      </c>
    </row>
    <row r="558" spans="1:2" ht="15" thickBot="1" x14ac:dyDescent="0.35">
      <c r="A558" s="5" t="s">
        <v>547</v>
      </c>
      <c r="B558" s="6">
        <v>5.9471999999999996</v>
      </c>
    </row>
    <row r="559" spans="1:2" ht="15" thickBot="1" x14ac:dyDescent="0.35">
      <c r="A559" s="5" t="s">
        <v>548</v>
      </c>
      <c r="B559" s="6">
        <v>6.5095000000000001</v>
      </c>
    </row>
    <row r="560" spans="1:2" ht="15" thickBot="1" x14ac:dyDescent="0.35">
      <c r="A560" s="5" t="s">
        <v>549</v>
      </c>
      <c r="B560" s="6">
        <v>6.5091000000000001</v>
      </c>
    </row>
    <row r="561" spans="1:2" ht="15" thickBot="1" x14ac:dyDescent="0.35">
      <c r="A561" s="5" t="s">
        <v>550</v>
      </c>
      <c r="B561" s="6">
        <v>5.8750999999999998</v>
      </c>
    </row>
    <row r="562" spans="1:2" ht="15" thickBot="1" x14ac:dyDescent="0.35">
      <c r="A562" s="5" t="s">
        <v>551</v>
      </c>
      <c r="B562" s="6">
        <v>5.8760000000000003</v>
      </c>
    </row>
    <row r="563" spans="1:2" ht="15" thickBot="1" x14ac:dyDescent="0.35">
      <c r="A563" s="5" t="s">
        <v>552</v>
      </c>
      <c r="B563" s="6">
        <v>6.6207000000000003</v>
      </c>
    </row>
    <row r="564" spans="1:2" ht="15" thickBot="1" x14ac:dyDescent="0.35">
      <c r="A564" s="5" t="s">
        <v>553</v>
      </c>
      <c r="B564" s="6">
        <v>5.8482000000000003</v>
      </c>
    </row>
    <row r="565" spans="1:2" ht="15" thickBot="1" x14ac:dyDescent="0.35">
      <c r="A565" s="5" t="s">
        <v>554</v>
      </c>
      <c r="B565" s="6">
        <v>5.8452000000000002</v>
      </c>
    </row>
    <row r="566" spans="1:2" ht="15" thickBot="1" x14ac:dyDescent="0.35">
      <c r="A566" s="5" t="s">
        <v>555</v>
      </c>
      <c r="B566" s="6">
        <v>5.9020000000000001</v>
      </c>
    </row>
    <row r="567" spans="1:2" ht="15" thickBot="1" x14ac:dyDescent="0.35">
      <c r="A567" s="5" t="s">
        <v>556</v>
      </c>
      <c r="B567" s="6">
        <v>5.9019000000000004</v>
      </c>
    </row>
    <row r="568" spans="1:2" ht="15" thickBot="1" x14ac:dyDescent="0.35">
      <c r="A568" s="5" t="s">
        <v>557</v>
      </c>
      <c r="B568" s="6">
        <v>5.9020000000000001</v>
      </c>
    </row>
    <row r="569" spans="1:2" ht="15" thickBot="1" x14ac:dyDescent="0.35">
      <c r="A569" s="5" t="s">
        <v>558</v>
      </c>
      <c r="B569" s="6">
        <v>5.9006999999999996</v>
      </c>
    </row>
    <row r="570" spans="1:2" ht="15" thickBot="1" x14ac:dyDescent="0.35">
      <c r="A570" s="5" t="s">
        <v>559</v>
      </c>
      <c r="B570" s="6">
        <v>5.8236999999999997</v>
      </c>
    </row>
    <row r="571" spans="1:2" ht="15" thickBot="1" x14ac:dyDescent="0.35">
      <c r="A571" s="5" t="s">
        <v>560</v>
      </c>
      <c r="B571" s="6">
        <v>5.8220000000000001</v>
      </c>
    </row>
    <row r="572" spans="1:2" ht="15" thickBot="1" x14ac:dyDescent="0.35">
      <c r="A572" s="5" t="s">
        <v>561</v>
      </c>
      <c r="B572" s="6">
        <v>6.6120000000000001</v>
      </c>
    </row>
    <row r="573" spans="1:2" ht="15" thickBot="1" x14ac:dyDescent="0.35">
      <c r="A573" s="5" t="s">
        <v>562</v>
      </c>
      <c r="B573" s="6">
        <v>5.8049999999999997</v>
      </c>
    </row>
    <row r="574" spans="1:2" ht="15" thickBot="1" x14ac:dyDescent="0.35">
      <c r="A574" s="5" t="s">
        <v>563</v>
      </c>
      <c r="B574" s="6">
        <v>5.8028000000000004</v>
      </c>
    </row>
    <row r="575" spans="1:2" ht="15" thickBot="1" x14ac:dyDescent="0.35">
      <c r="A575" s="5" t="s">
        <v>564</v>
      </c>
      <c r="B575" s="6">
        <v>6.5415000000000001</v>
      </c>
    </row>
    <row r="576" spans="1:2" ht="15" thickBot="1" x14ac:dyDescent="0.35">
      <c r="A576" s="5" t="s">
        <v>565</v>
      </c>
      <c r="B576" s="6">
        <v>6.5407999999999999</v>
      </c>
    </row>
    <row r="577" spans="1:2" ht="15" thickBot="1" x14ac:dyDescent="0.35">
      <c r="A577" s="5" t="s">
        <v>566</v>
      </c>
      <c r="B577" s="6">
        <v>5.7770000000000001</v>
      </c>
    </row>
    <row r="578" spans="1:2" ht="15" thickBot="1" x14ac:dyDescent="0.35">
      <c r="A578" s="5" t="s">
        <v>567</v>
      </c>
      <c r="B578" s="6">
        <v>5.7755000000000001</v>
      </c>
    </row>
    <row r="579" spans="1:2" ht="15" thickBot="1" x14ac:dyDescent="0.35">
      <c r="A579" s="5" t="s">
        <v>568</v>
      </c>
      <c r="B579" s="6">
        <v>6.3117999999999999</v>
      </c>
    </row>
    <row r="580" spans="1:2" ht="15" thickBot="1" x14ac:dyDescent="0.35">
      <c r="A580" s="5" t="s">
        <v>569</v>
      </c>
      <c r="B580" s="6">
        <v>6.3129999999999997</v>
      </c>
    </row>
    <row r="581" spans="1:2" ht="15" thickBot="1" x14ac:dyDescent="0.35">
      <c r="A581" s="5" t="s">
        <v>570</v>
      </c>
      <c r="B581" s="6">
        <v>5.7397</v>
      </c>
    </row>
    <row r="582" spans="1:2" ht="15" thickBot="1" x14ac:dyDescent="0.35">
      <c r="A582" s="5" t="s">
        <v>571</v>
      </c>
      <c r="B582" s="6">
        <v>5.7393999999999998</v>
      </c>
    </row>
    <row r="583" spans="1:2" ht="15" thickBot="1" x14ac:dyDescent="0.35">
      <c r="A583" s="5" t="s">
        <v>572</v>
      </c>
      <c r="B583" s="6">
        <v>6.5593000000000004</v>
      </c>
    </row>
    <row r="584" spans="1:2" ht="15" thickBot="1" x14ac:dyDescent="0.35">
      <c r="A584" s="5" t="s">
        <v>573</v>
      </c>
      <c r="B584" s="6">
        <v>5.7508999999999997</v>
      </c>
    </row>
    <row r="585" spans="1:2" ht="15" thickBot="1" x14ac:dyDescent="0.35">
      <c r="A585" s="5" t="s">
        <v>574</v>
      </c>
      <c r="B585" s="6">
        <v>5.7023000000000001</v>
      </c>
    </row>
    <row r="586" spans="1:2" ht="15" thickBot="1" x14ac:dyDescent="0.35">
      <c r="A586" s="5" t="s">
        <v>575</v>
      </c>
      <c r="B586" s="6">
        <v>5.7502000000000004</v>
      </c>
    </row>
    <row r="587" spans="1:2" ht="15" thickBot="1" x14ac:dyDescent="0.35">
      <c r="A587" s="5" t="s">
        <v>576</v>
      </c>
      <c r="B587" s="6">
        <v>5.7013999999999996</v>
      </c>
    </row>
    <row r="588" spans="1:2" ht="15" thickBot="1" x14ac:dyDescent="0.35">
      <c r="A588" s="5" t="s">
        <v>577</v>
      </c>
      <c r="B588" s="6">
        <v>5.6737000000000002</v>
      </c>
    </row>
    <row r="589" spans="1:2" ht="15" thickBot="1" x14ac:dyDescent="0.35">
      <c r="A589" s="5" t="s">
        <v>578</v>
      </c>
      <c r="B589" s="6">
        <v>5.6745999999999999</v>
      </c>
    </row>
    <row r="590" spans="1:2" ht="15" thickBot="1" x14ac:dyDescent="0.35">
      <c r="A590" s="5" t="s">
        <v>579</v>
      </c>
      <c r="B590" s="6">
        <v>6.5404999999999998</v>
      </c>
    </row>
    <row r="591" spans="1:2" ht="15" thickBot="1" x14ac:dyDescent="0.35">
      <c r="A591" s="5" t="s">
        <v>580</v>
      </c>
      <c r="B591" s="6">
        <v>6.5399000000000003</v>
      </c>
    </row>
    <row r="592" spans="1:2" ht="15" thickBot="1" x14ac:dyDescent="0.35">
      <c r="A592" s="5" t="s">
        <v>581</v>
      </c>
      <c r="B592" s="6">
        <v>6.1672000000000002</v>
      </c>
    </row>
    <row r="593" spans="1:2" ht="15" thickBot="1" x14ac:dyDescent="0.35">
      <c r="A593" s="5" t="s">
        <v>582</v>
      </c>
      <c r="B593" s="6">
        <v>6.1665999999999999</v>
      </c>
    </row>
    <row r="594" spans="1:2" ht="15" thickBot="1" x14ac:dyDescent="0.35">
      <c r="A594" s="5" t="s">
        <v>583</v>
      </c>
      <c r="B594" s="6">
        <v>6.5069999999999997</v>
      </c>
    </row>
    <row r="595" spans="1:2" ht="15" thickBot="1" x14ac:dyDescent="0.35">
      <c r="A595" s="5" t="s">
        <v>583</v>
      </c>
      <c r="B595" s="6">
        <v>6.5069999999999997</v>
      </c>
    </row>
    <row r="596" spans="1:2" ht="15" thickBot="1" x14ac:dyDescent="0.35">
      <c r="A596" s="5" t="s">
        <v>584</v>
      </c>
      <c r="B596" s="6">
        <v>6.5</v>
      </c>
    </row>
    <row r="597" spans="1:2" ht="15" thickBot="1" x14ac:dyDescent="0.35">
      <c r="A597" s="5" t="s">
        <v>585</v>
      </c>
      <c r="B597" s="6">
        <v>6.2986000000000004</v>
      </c>
    </row>
    <row r="598" spans="1:2" ht="15" thickBot="1" x14ac:dyDescent="0.35">
      <c r="A598" s="5" t="s">
        <v>586</v>
      </c>
      <c r="B598" s="6">
        <v>6.5650000000000004</v>
      </c>
    </row>
    <row r="599" spans="1:2" ht="15" thickBot="1" x14ac:dyDescent="0.35">
      <c r="A599" s="5" t="s">
        <v>587</v>
      </c>
      <c r="B599" s="6">
        <v>6.2962999999999996</v>
      </c>
    </row>
    <row r="600" spans="1:2" ht="15" thickBot="1" x14ac:dyDescent="0.35">
      <c r="A600" s="5" t="s">
        <v>588</v>
      </c>
      <c r="B600" s="6">
        <v>6.5621</v>
      </c>
    </row>
    <row r="601" spans="1:2" ht="15" thickBot="1" x14ac:dyDescent="0.35">
      <c r="A601" s="5" t="s">
        <v>589</v>
      </c>
      <c r="B601" s="6">
        <v>6.6609999999999996</v>
      </c>
    </row>
    <row r="602" spans="1:2" ht="15" thickBot="1" x14ac:dyDescent="0.35">
      <c r="A602" s="5" t="s">
        <v>590</v>
      </c>
      <c r="B602" s="6">
        <v>6.6597999999999997</v>
      </c>
    </row>
    <row r="603" spans="1:2" ht="15" thickBot="1" x14ac:dyDescent="0.35">
      <c r="A603" s="5" t="s">
        <v>591</v>
      </c>
      <c r="B603" s="6">
        <v>6.4539</v>
      </c>
    </row>
    <row r="604" spans="1:2" ht="15" thickBot="1" x14ac:dyDescent="0.35">
      <c r="A604" s="5" t="s">
        <v>592</v>
      </c>
      <c r="B604" s="6">
        <v>6.4425999999999997</v>
      </c>
    </row>
    <row r="605" spans="1:2" ht="15" thickBot="1" x14ac:dyDescent="0.35">
      <c r="A605" s="5" t="s">
        <v>593</v>
      </c>
      <c r="B605" s="6">
        <v>6.5624000000000002</v>
      </c>
    </row>
    <row r="606" spans="1:2" ht="15" thickBot="1" x14ac:dyDescent="0.35">
      <c r="A606" s="5" t="s">
        <v>594</v>
      </c>
      <c r="B606" s="6">
        <v>6.5625</v>
      </c>
    </row>
    <row r="607" spans="1:2" ht="15" thickBot="1" x14ac:dyDescent="0.35">
      <c r="A607" s="5" t="s">
        <v>595</v>
      </c>
      <c r="B607" s="6">
        <v>6.3019999999999996</v>
      </c>
    </row>
    <row r="608" spans="1:2" ht="15" thickBot="1" x14ac:dyDescent="0.35">
      <c r="A608" s="5" t="s">
        <v>596</v>
      </c>
      <c r="B608" s="6">
        <v>6.2991000000000001</v>
      </c>
    </row>
    <row r="609" spans="1:2" ht="15" thickBot="1" x14ac:dyDescent="0.35">
      <c r="A609" s="5" t="s">
        <v>597</v>
      </c>
      <c r="B609" s="6">
        <v>6.1228999999999996</v>
      </c>
    </row>
    <row r="610" spans="1:2" ht="15" thickBot="1" x14ac:dyDescent="0.35">
      <c r="A610" s="5" t="s">
        <v>598</v>
      </c>
      <c r="B610" s="6">
        <v>6.1222000000000003</v>
      </c>
    </row>
    <row r="611" spans="1:2" ht="15" thickBot="1" x14ac:dyDescent="0.35">
      <c r="A611" s="5" t="s">
        <v>599</v>
      </c>
      <c r="B611" s="6">
        <v>6.016</v>
      </c>
    </row>
    <row r="612" spans="1:2" ht="15" thickBot="1" x14ac:dyDescent="0.35">
      <c r="A612" s="5" t="s">
        <v>600</v>
      </c>
      <c r="B612" s="6">
        <v>6.0144000000000002</v>
      </c>
    </row>
    <row r="613" spans="1:2" ht="15" thickBot="1" x14ac:dyDescent="0.35">
      <c r="A613" s="5" t="s">
        <v>601</v>
      </c>
      <c r="B613" s="6">
        <v>6.3871000000000002</v>
      </c>
    </row>
    <row r="614" spans="1:2" ht="15" thickBot="1" x14ac:dyDescent="0.35">
      <c r="A614" s="5" t="s">
        <v>602</v>
      </c>
      <c r="B614" s="6">
        <v>6.3125999999999998</v>
      </c>
    </row>
    <row r="615" spans="1:2" ht="15" thickBot="1" x14ac:dyDescent="0.35">
      <c r="A615" s="5" t="s">
        <v>603</v>
      </c>
      <c r="B615" s="6">
        <v>6.3127000000000004</v>
      </c>
    </row>
    <row r="616" spans="1:2" ht="15" thickBot="1" x14ac:dyDescent="0.35">
      <c r="A616" s="5" t="s">
        <v>604</v>
      </c>
      <c r="B616" s="6">
        <v>6.3390000000000004</v>
      </c>
    </row>
    <row r="617" spans="1:2" ht="15" thickBot="1" x14ac:dyDescent="0.35">
      <c r="A617" s="5" t="s">
        <v>605</v>
      </c>
      <c r="B617" s="6">
        <v>6.3369999999999997</v>
      </c>
    </row>
    <row r="618" spans="1:2" ht="15" thickBot="1" x14ac:dyDescent="0.35">
      <c r="A618" s="5" t="s">
        <v>606</v>
      </c>
      <c r="B618" s="6">
        <v>6.0940000000000003</v>
      </c>
    </row>
    <row r="619" spans="1:2" ht="15" thickBot="1" x14ac:dyDescent="0.35">
      <c r="A619" s="5" t="s">
        <v>607</v>
      </c>
      <c r="B619" s="6">
        <v>6.3333000000000004</v>
      </c>
    </row>
    <row r="620" spans="1:2" ht="15" thickBot="1" x14ac:dyDescent="0.35">
      <c r="A620" s="5" t="s">
        <v>608</v>
      </c>
      <c r="B620" s="6">
        <v>6.0926</v>
      </c>
    </row>
    <row r="621" spans="1:2" ht="15" thickBot="1" x14ac:dyDescent="0.35">
      <c r="A621" s="5" t="s">
        <v>609</v>
      </c>
      <c r="B621" s="6">
        <v>6.2812000000000001</v>
      </c>
    </row>
    <row r="622" spans="1:2" ht="15" thickBot="1" x14ac:dyDescent="0.35">
      <c r="A622" s="5" t="s">
        <v>610</v>
      </c>
      <c r="B622" s="6">
        <v>5.9470000000000001</v>
      </c>
    </row>
    <row r="623" spans="1:2" ht="15" thickBot="1" x14ac:dyDescent="0.35">
      <c r="A623" s="5" t="s">
        <v>611</v>
      </c>
      <c r="B623" s="6">
        <v>5.9440999999999997</v>
      </c>
    </row>
    <row r="624" spans="1:2" ht="15" thickBot="1" x14ac:dyDescent="0.35">
      <c r="A624" s="5" t="s">
        <v>612</v>
      </c>
      <c r="B624" s="6">
        <v>6.3228999999999997</v>
      </c>
    </row>
    <row r="625" spans="1:2" ht="15" thickBot="1" x14ac:dyDescent="0.35">
      <c r="A625" s="5" t="s">
        <v>613</v>
      </c>
      <c r="B625" s="6">
        <v>6.3227000000000002</v>
      </c>
    </row>
    <row r="626" spans="1:2" ht="15" thickBot="1" x14ac:dyDescent="0.35">
      <c r="A626" s="5" t="s">
        <v>614</v>
      </c>
      <c r="B626" s="6">
        <v>6.4010999999999996</v>
      </c>
    </row>
    <row r="627" spans="1:2" ht="15" thickBot="1" x14ac:dyDescent="0.35">
      <c r="A627" s="5" t="s">
        <v>615</v>
      </c>
      <c r="B627" s="6">
        <v>6.4009999999999998</v>
      </c>
    </row>
    <row r="628" spans="1:2" ht="15" thickBot="1" x14ac:dyDescent="0.35">
      <c r="A628" s="5" t="s">
        <v>616</v>
      </c>
      <c r="B628" s="6">
        <v>6.0431999999999997</v>
      </c>
    </row>
    <row r="629" spans="1:2" ht="15" thickBot="1" x14ac:dyDescent="0.35">
      <c r="A629" s="5" t="s">
        <v>617</v>
      </c>
      <c r="B629" s="6">
        <v>6.0419999999999998</v>
      </c>
    </row>
    <row r="630" spans="1:2" ht="15" thickBot="1" x14ac:dyDescent="0.35">
      <c r="A630" s="5" t="s">
        <v>618</v>
      </c>
      <c r="B630" s="6">
        <v>6.2308000000000003</v>
      </c>
    </row>
    <row r="631" spans="1:2" ht="15" thickBot="1" x14ac:dyDescent="0.35">
      <c r="A631" s="5" t="s">
        <v>618</v>
      </c>
      <c r="B631" s="6">
        <v>6.2308000000000003</v>
      </c>
    </row>
    <row r="632" spans="1:2" ht="15" thickBot="1" x14ac:dyDescent="0.35">
      <c r="A632" s="5" t="s">
        <v>619</v>
      </c>
      <c r="B632" s="6">
        <v>5.931</v>
      </c>
    </row>
    <row r="633" spans="1:2" ht="15" thickBot="1" x14ac:dyDescent="0.35">
      <c r="A633" s="5" t="s">
        <v>620</v>
      </c>
      <c r="B633" s="6">
        <v>5.9287000000000001</v>
      </c>
    </row>
    <row r="634" spans="1:2" ht="15" thickBot="1" x14ac:dyDescent="0.35">
      <c r="A634" s="5" t="s">
        <v>621</v>
      </c>
      <c r="B634" s="6">
        <v>6.3113000000000001</v>
      </c>
    </row>
    <row r="635" spans="1:2" ht="15" thickBot="1" x14ac:dyDescent="0.35">
      <c r="A635" s="5" t="s">
        <v>622</v>
      </c>
      <c r="B635" s="6">
        <v>6.3109999999999999</v>
      </c>
    </row>
    <row r="636" spans="1:2" ht="15" thickBot="1" x14ac:dyDescent="0.35">
      <c r="A636" s="5" t="s">
        <v>623</v>
      </c>
      <c r="B636" s="6">
        <v>6.056</v>
      </c>
    </row>
    <row r="637" spans="1:2" ht="15" thickBot="1" x14ac:dyDescent="0.35">
      <c r="A637" s="5" t="s">
        <v>624</v>
      </c>
      <c r="B637" s="6">
        <v>6.0541</v>
      </c>
    </row>
    <row r="638" spans="1:2" ht="15" thickBot="1" x14ac:dyDescent="0.35">
      <c r="A638" s="5" t="s">
        <v>625</v>
      </c>
      <c r="B638" s="6">
        <v>6.1818</v>
      </c>
    </row>
    <row r="639" spans="1:2" ht="15" thickBot="1" x14ac:dyDescent="0.35">
      <c r="A639" s="5" t="s">
        <v>626</v>
      </c>
      <c r="B639" s="6">
        <v>6.0861000000000001</v>
      </c>
    </row>
    <row r="640" spans="1:2" ht="15" thickBot="1" x14ac:dyDescent="0.35">
      <c r="A640" s="5" t="s">
        <v>627</v>
      </c>
      <c r="B640" s="6">
        <v>6.085</v>
      </c>
    </row>
    <row r="641" spans="1:2" ht="15" thickBot="1" x14ac:dyDescent="0.35">
      <c r="A641" s="5" t="s">
        <v>628</v>
      </c>
      <c r="B641" s="6">
        <v>5.91</v>
      </c>
    </row>
    <row r="642" spans="1:2" ht="15" thickBot="1" x14ac:dyDescent="0.35">
      <c r="A642" s="5" t="s">
        <v>629</v>
      </c>
      <c r="B642" s="6">
        <v>5.9081000000000001</v>
      </c>
    </row>
    <row r="643" spans="1:2" ht="15" thickBot="1" x14ac:dyDescent="0.35">
      <c r="A643" s="5" t="s">
        <v>630</v>
      </c>
      <c r="B643" s="6">
        <v>6.1342999999999996</v>
      </c>
    </row>
    <row r="644" spans="1:2" ht="15" thickBot="1" x14ac:dyDescent="0.35">
      <c r="A644" s="5" t="s">
        <v>631</v>
      </c>
      <c r="B644" s="6">
        <v>6.1040000000000001</v>
      </c>
    </row>
    <row r="645" spans="1:2" ht="15" thickBot="1" x14ac:dyDescent="0.35">
      <c r="A645" s="5" t="s">
        <v>632</v>
      </c>
      <c r="B645" s="6">
        <v>6.1032000000000002</v>
      </c>
    </row>
    <row r="646" spans="1:2" ht="15" thickBot="1" x14ac:dyDescent="0.35">
      <c r="A646" s="5" t="s">
        <v>633</v>
      </c>
      <c r="B646" s="6">
        <v>6.1111000000000004</v>
      </c>
    </row>
    <row r="647" spans="1:2" ht="15" thickBot="1" x14ac:dyDescent="0.35">
      <c r="A647" s="5" t="s">
        <v>634</v>
      </c>
      <c r="B647" s="6">
        <v>6.0881999999999996</v>
      </c>
    </row>
    <row r="648" spans="1:2" ht="15" thickBot="1" x14ac:dyDescent="0.35">
      <c r="A648" s="5" t="s">
        <v>635</v>
      </c>
      <c r="B648" s="6">
        <v>6.0434999999999999</v>
      </c>
    </row>
    <row r="649" spans="1:2" ht="15" thickBot="1" x14ac:dyDescent="0.35">
      <c r="A649" s="5" t="s">
        <v>636</v>
      </c>
      <c r="B649" s="6">
        <v>6.0579999999999998</v>
      </c>
    </row>
    <row r="650" spans="1:2" ht="15" thickBot="1" x14ac:dyDescent="0.35">
      <c r="A650" s="5" t="s">
        <v>637</v>
      </c>
      <c r="B650" s="6">
        <v>6.0559000000000003</v>
      </c>
    </row>
    <row r="651" spans="1:2" ht="15" thickBot="1" x14ac:dyDescent="0.35">
      <c r="A651" s="5" t="s">
        <v>638</v>
      </c>
      <c r="B651" s="6">
        <v>6</v>
      </c>
    </row>
    <row r="652" spans="1:2" ht="15" thickBot="1" x14ac:dyDescent="0.35">
      <c r="A652" s="5" t="s">
        <v>639</v>
      </c>
      <c r="B652" s="6">
        <v>5.8141999999999996</v>
      </c>
    </row>
    <row r="653" spans="1:2" ht="15" thickBot="1" x14ac:dyDescent="0.35">
      <c r="A653" s="5" t="s">
        <v>640</v>
      </c>
      <c r="B653" s="6">
        <v>5.72</v>
      </c>
    </row>
    <row r="654" spans="1:2" ht="15" thickBot="1" x14ac:dyDescent="0.35">
      <c r="A654" s="5" t="s">
        <v>641</v>
      </c>
      <c r="B654" s="6">
        <v>5.7192999999999996</v>
      </c>
    </row>
    <row r="655" spans="1:2" ht="15" thickBot="1" x14ac:dyDescent="0.35">
      <c r="A655" s="5" t="s">
        <v>642</v>
      </c>
      <c r="B655" s="6">
        <v>6.0743999999999998</v>
      </c>
    </row>
    <row r="656" spans="1:2" ht="15" thickBot="1" x14ac:dyDescent="0.35">
      <c r="A656" s="5" t="s">
        <v>643</v>
      </c>
      <c r="B656" s="6">
        <v>5.81</v>
      </c>
    </row>
    <row r="657" spans="1:2" ht="15" thickBot="1" x14ac:dyDescent="0.35">
      <c r="A657" s="5" t="s">
        <v>644</v>
      </c>
      <c r="B657" s="6">
        <v>6.0731000000000002</v>
      </c>
    </row>
    <row r="658" spans="1:2" ht="15" thickBot="1" x14ac:dyDescent="0.35">
      <c r="A658" s="5" t="s">
        <v>645</v>
      </c>
      <c r="B658" s="6">
        <v>5.8640999999999996</v>
      </c>
    </row>
    <row r="659" spans="1:2" ht="15" thickBot="1" x14ac:dyDescent="0.35">
      <c r="A659" s="5" t="s">
        <v>646</v>
      </c>
      <c r="B659" s="6">
        <v>5.8632</v>
      </c>
    </row>
    <row r="660" spans="1:2" ht="15" thickBot="1" x14ac:dyDescent="0.35">
      <c r="A660" s="5" t="s">
        <v>647</v>
      </c>
      <c r="B660" s="6">
        <v>5.8052000000000001</v>
      </c>
    </row>
    <row r="661" spans="1:2" ht="15" thickBot="1" x14ac:dyDescent="0.35">
      <c r="A661" s="5" t="s">
        <v>648</v>
      </c>
      <c r="B661" s="6">
        <v>5.8037999999999998</v>
      </c>
    </row>
    <row r="662" spans="1:2" ht="15" thickBot="1" x14ac:dyDescent="0.35">
      <c r="A662" s="5" t="s">
        <v>649</v>
      </c>
      <c r="B662" s="6">
        <v>5.6849999999999996</v>
      </c>
    </row>
    <row r="663" spans="1:2" ht="15" thickBot="1" x14ac:dyDescent="0.35">
      <c r="A663" s="5" t="s">
        <v>650</v>
      </c>
      <c r="B663" s="6">
        <v>5.6847000000000003</v>
      </c>
    </row>
    <row r="664" spans="1:2" ht="15" thickBot="1" x14ac:dyDescent="0.35">
      <c r="A664" s="5" t="s">
        <v>651</v>
      </c>
      <c r="B664" s="6">
        <v>5.8449999999999998</v>
      </c>
    </row>
    <row r="665" spans="1:2" ht="15" thickBot="1" x14ac:dyDescent="0.35">
      <c r="A665" s="5" t="s">
        <v>652</v>
      </c>
      <c r="B665" s="6">
        <v>5.8456999999999999</v>
      </c>
    </row>
    <row r="666" spans="1:2" ht="15" thickBot="1" x14ac:dyDescent="0.35">
      <c r="A666" s="5" t="s">
        <v>653</v>
      </c>
      <c r="B666" s="6">
        <v>5.8630000000000004</v>
      </c>
    </row>
    <row r="667" spans="1:2" ht="15" thickBot="1" x14ac:dyDescent="0.35">
      <c r="A667" s="5" t="s">
        <v>654</v>
      </c>
      <c r="B667" s="6">
        <v>5.8601999999999999</v>
      </c>
    </row>
    <row r="668" spans="1:2" ht="15" thickBot="1" x14ac:dyDescent="0.35">
      <c r="A668" s="5" t="s">
        <v>655</v>
      </c>
      <c r="B668" s="6">
        <v>5.6239999999999997</v>
      </c>
    </row>
    <row r="669" spans="1:2" ht="15" thickBot="1" x14ac:dyDescent="0.35">
      <c r="A669" s="5" t="s">
        <v>656</v>
      </c>
      <c r="B669" s="6">
        <v>5.6219999999999999</v>
      </c>
    </row>
    <row r="670" spans="1:2" ht="15" thickBot="1" x14ac:dyDescent="0.35">
      <c r="A670" s="5" t="s">
        <v>657</v>
      </c>
      <c r="B670" s="6">
        <v>5.633</v>
      </c>
    </row>
    <row r="671" spans="1:2" ht="15" thickBot="1" x14ac:dyDescent="0.35">
      <c r="A671" s="5" t="s">
        <v>658</v>
      </c>
      <c r="B671" s="6">
        <v>5.6295999999999999</v>
      </c>
    </row>
    <row r="672" spans="1:2" ht="15" thickBot="1" x14ac:dyDescent="0.35">
      <c r="A672" s="5" t="s">
        <v>659</v>
      </c>
      <c r="B672" s="6">
        <v>5.6082999999999998</v>
      </c>
    </row>
    <row r="673" spans="1:2" ht="15" thickBot="1" x14ac:dyDescent="0.35">
      <c r="A673" s="5" t="s">
        <v>660</v>
      </c>
      <c r="B673" s="6">
        <v>5.6075999999999997</v>
      </c>
    </row>
    <row r="674" spans="1:2" ht="15" thickBot="1" x14ac:dyDescent="0.35">
      <c r="A674" s="4"/>
      <c r="B674" s="4"/>
    </row>
    <row r="675" spans="1:2" ht="15" thickBot="1" x14ac:dyDescent="0.35">
      <c r="A675" s="4"/>
      <c r="B675" s="4"/>
    </row>
    <row r="676" spans="1:2" ht="15" thickBot="1" x14ac:dyDescent="0.35">
      <c r="A676" s="4"/>
      <c r="B676" s="4"/>
    </row>
    <row r="677" spans="1:2" ht="15" thickBot="1" x14ac:dyDescent="0.35">
      <c r="A677" s="4"/>
      <c r="B677" s="4"/>
    </row>
    <row r="678" spans="1:2" ht="15" thickBot="1" x14ac:dyDescent="0.35">
      <c r="A678" s="4"/>
      <c r="B678" s="4"/>
    </row>
    <row r="679" spans="1:2" ht="15" thickBot="1" x14ac:dyDescent="0.35">
      <c r="A679" s="4"/>
      <c r="B679" s="4"/>
    </row>
    <row r="680" spans="1:2" ht="15" thickBot="1" x14ac:dyDescent="0.35">
      <c r="A680" s="4"/>
      <c r="B680" s="4"/>
    </row>
    <row r="681" spans="1:2" ht="15" thickBot="1" x14ac:dyDescent="0.35">
      <c r="A681" s="4"/>
      <c r="B681" s="4"/>
    </row>
    <row r="682" spans="1:2" ht="15" thickBot="1" x14ac:dyDescent="0.35">
      <c r="A682" s="4"/>
      <c r="B682" s="4"/>
    </row>
    <row r="683" spans="1:2" ht="15" thickBot="1" x14ac:dyDescent="0.35">
      <c r="A683" s="4"/>
      <c r="B683" s="4"/>
    </row>
    <row r="684" spans="1:2" ht="15" thickBot="1" x14ac:dyDescent="0.35">
      <c r="A684" s="4"/>
      <c r="B684" s="4"/>
    </row>
    <row r="685" spans="1:2" ht="15" thickBot="1" x14ac:dyDescent="0.35">
      <c r="A685" s="4"/>
      <c r="B685" s="4"/>
    </row>
    <row r="686" spans="1:2" ht="15" thickBot="1" x14ac:dyDescent="0.35">
      <c r="A686" s="4"/>
      <c r="B686" s="4"/>
    </row>
    <row r="687" spans="1:2" ht="15" thickBot="1" x14ac:dyDescent="0.35">
      <c r="A687" s="4"/>
      <c r="B687" s="4"/>
    </row>
    <row r="688" spans="1:2" ht="15" thickBot="1" x14ac:dyDescent="0.35">
      <c r="A688" s="4"/>
      <c r="B688" s="4"/>
    </row>
    <row r="689" spans="1:2" ht="15" thickBot="1" x14ac:dyDescent="0.35">
      <c r="A689" s="4"/>
      <c r="B689" s="4"/>
    </row>
    <row r="690" spans="1:2" ht="15" thickBot="1" x14ac:dyDescent="0.35">
      <c r="A690" s="4"/>
      <c r="B690" s="4"/>
    </row>
    <row r="691" spans="1:2" ht="15" thickBot="1" x14ac:dyDescent="0.35">
      <c r="A691" s="4"/>
      <c r="B691" s="4"/>
    </row>
    <row r="692" spans="1:2" ht="15" thickBot="1" x14ac:dyDescent="0.35">
      <c r="A692" s="4"/>
      <c r="B692" s="4"/>
    </row>
    <row r="693" spans="1:2" ht="15" thickBot="1" x14ac:dyDescent="0.35">
      <c r="A693" s="4"/>
      <c r="B693" s="4"/>
    </row>
    <row r="694" spans="1:2" ht="15" thickBot="1" x14ac:dyDescent="0.35">
      <c r="A694" s="4"/>
      <c r="B694" s="4"/>
    </row>
    <row r="695" spans="1:2" ht="15" thickBot="1" x14ac:dyDescent="0.35">
      <c r="A695" s="4"/>
      <c r="B695" s="4"/>
    </row>
    <row r="696" spans="1:2" ht="15" thickBot="1" x14ac:dyDescent="0.35">
      <c r="A696" s="4"/>
      <c r="B696" s="4"/>
    </row>
    <row r="697" spans="1:2" ht="15" thickBot="1" x14ac:dyDescent="0.35">
      <c r="A697" s="4"/>
      <c r="B697" s="4"/>
    </row>
    <row r="698" spans="1:2" ht="15" thickBot="1" x14ac:dyDescent="0.35">
      <c r="A698" s="4"/>
      <c r="B698" s="4"/>
    </row>
    <row r="699" spans="1:2" ht="15" thickBot="1" x14ac:dyDescent="0.35">
      <c r="A699" s="4"/>
      <c r="B699" s="4"/>
    </row>
    <row r="700" spans="1:2" ht="15" thickBot="1" x14ac:dyDescent="0.35">
      <c r="A700" s="4"/>
      <c r="B700" s="4"/>
    </row>
    <row r="701" spans="1:2" ht="15" thickBot="1" x14ac:dyDescent="0.35">
      <c r="A701" s="4"/>
      <c r="B701" s="4"/>
    </row>
    <row r="702" spans="1:2" ht="15" thickBot="1" x14ac:dyDescent="0.35">
      <c r="A702" s="4"/>
      <c r="B702" s="4"/>
    </row>
    <row r="703" spans="1:2" ht="15" thickBot="1" x14ac:dyDescent="0.35">
      <c r="A703" s="4"/>
      <c r="B703" s="4"/>
    </row>
    <row r="704" spans="1:2" ht="15" thickBot="1" x14ac:dyDescent="0.35">
      <c r="A704" s="4"/>
      <c r="B704" s="4"/>
    </row>
    <row r="705" spans="1:2" ht="15" thickBot="1" x14ac:dyDescent="0.35">
      <c r="A705" s="4"/>
      <c r="B705" s="4"/>
    </row>
    <row r="706" spans="1:2" ht="15" thickBot="1" x14ac:dyDescent="0.35">
      <c r="A706" s="4"/>
      <c r="B706" s="4"/>
    </row>
    <row r="707" spans="1:2" ht="15" thickBot="1" x14ac:dyDescent="0.35">
      <c r="A707" s="4"/>
      <c r="B707" s="4"/>
    </row>
    <row r="708" spans="1:2" ht="15" thickBot="1" x14ac:dyDescent="0.35">
      <c r="A708" s="4"/>
      <c r="B708" s="4"/>
    </row>
    <row r="709" spans="1:2" ht="15" thickBot="1" x14ac:dyDescent="0.35">
      <c r="A709" s="4"/>
      <c r="B709" s="4"/>
    </row>
    <row r="710" spans="1:2" ht="15" thickBot="1" x14ac:dyDescent="0.35">
      <c r="A710" s="4"/>
      <c r="B710" s="4"/>
    </row>
    <row r="711" spans="1:2" ht="15" thickBot="1" x14ac:dyDescent="0.35">
      <c r="A711" s="4"/>
      <c r="B711" s="4"/>
    </row>
    <row r="712" spans="1:2" ht="15" thickBot="1" x14ac:dyDescent="0.35">
      <c r="A712" s="4"/>
      <c r="B712" s="4"/>
    </row>
    <row r="713" spans="1:2" ht="15" thickBot="1" x14ac:dyDescent="0.35">
      <c r="A713" s="4"/>
      <c r="B713" s="4"/>
    </row>
    <row r="714" spans="1:2" ht="15" thickBot="1" x14ac:dyDescent="0.35">
      <c r="A714" s="4"/>
      <c r="B714" s="4"/>
    </row>
    <row r="715" spans="1:2" ht="15" thickBot="1" x14ac:dyDescent="0.35">
      <c r="A715" s="4"/>
      <c r="B715" s="4"/>
    </row>
    <row r="716" spans="1:2" ht="15" thickBot="1" x14ac:dyDescent="0.35">
      <c r="A716" s="4"/>
      <c r="B716" s="4"/>
    </row>
    <row r="717" spans="1:2" ht="15" thickBot="1" x14ac:dyDescent="0.35">
      <c r="A717" s="4"/>
      <c r="B717" s="4"/>
    </row>
    <row r="718" spans="1:2" ht="15" thickBot="1" x14ac:dyDescent="0.35">
      <c r="A718" s="4"/>
      <c r="B718" s="4"/>
    </row>
    <row r="719" spans="1:2" ht="15" thickBot="1" x14ac:dyDescent="0.35">
      <c r="A719" s="4"/>
      <c r="B719" s="4"/>
    </row>
    <row r="720" spans="1:2" ht="15" thickBot="1" x14ac:dyDescent="0.35">
      <c r="A720" s="4"/>
      <c r="B720" s="4"/>
    </row>
    <row r="721" spans="1:2" ht="15" thickBot="1" x14ac:dyDescent="0.35">
      <c r="A721" s="4"/>
      <c r="B721" s="4"/>
    </row>
    <row r="722" spans="1:2" ht="15" thickBot="1" x14ac:dyDescent="0.35">
      <c r="A722" s="4"/>
      <c r="B722" s="4"/>
    </row>
    <row r="723" spans="1:2" ht="15" thickBot="1" x14ac:dyDescent="0.35">
      <c r="A723" s="4"/>
      <c r="B723" s="4"/>
    </row>
    <row r="724" spans="1:2" ht="15" thickBot="1" x14ac:dyDescent="0.35">
      <c r="A724" s="4"/>
      <c r="B724" s="4"/>
    </row>
    <row r="725" spans="1:2" ht="15" thickBot="1" x14ac:dyDescent="0.35">
      <c r="A725" s="4"/>
      <c r="B725" s="4"/>
    </row>
    <row r="726" spans="1:2" ht="15" thickBot="1" x14ac:dyDescent="0.35">
      <c r="A726" s="4"/>
      <c r="B726" s="4"/>
    </row>
    <row r="727" spans="1:2" ht="15" thickBot="1" x14ac:dyDescent="0.35">
      <c r="A727" s="4"/>
      <c r="B727" s="4"/>
    </row>
    <row r="728" spans="1:2" ht="15" thickBot="1" x14ac:dyDescent="0.35">
      <c r="A728" s="4"/>
      <c r="B728" s="4"/>
    </row>
    <row r="729" spans="1:2" ht="15" thickBot="1" x14ac:dyDescent="0.35">
      <c r="A729" s="4"/>
      <c r="B729" s="4"/>
    </row>
    <row r="730" spans="1:2" ht="15" thickBot="1" x14ac:dyDescent="0.35">
      <c r="A730" s="4"/>
      <c r="B730" s="4"/>
    </row>
    <row r="731" spans="1:2" ht="15" thickBot="1" x14ac:dyDescent="0.35">
      <c r="A731" s="4"/>
      <c r="B731" s="4"/>
    </row>
    <row r="732" spans="1:2" ht="15" thickBot="1" x14ac:dyDescent="0.35">
      <c r="A732" s="4"/>
      <c r="B732" s="4"/>
    </row>
    <row r="733" spans="1:2" ht="15" thickBot="1" x14ac:dyDescent="0.35">
      <c r="A733" s="4"/>
      <c r="B733" s="4"/>
    </row>
    <row r="734" spans="1:2" ht="15" thickBot="1" x14ac:dyDescent="0.35">
      <c r="A734" s="4"/>
      <c r="B734" s="4"/>
    </row>
    <row r="735" spans="1:2" ht="15" thickBot="1" x14ac:dyDescent="0.35">
      <c r="A735" s="4"/>
      <c r="B735" s="4"/>
    </row>
    <row r="736" spans="1:2" ht="15" thickBot="1" x14ac:dyDescent="0.35">
      <c r="A736" s="4"/>
      <c r="B736" s="4"/>
    </row>
    <row r="737" spans="1:2" ht="15" thickBot="1" x14ac:dyDescent="0.35">
      <c r="A737" s="4"/>
      <c r="B737" s="4"/>
    </row>
    <row r="738" spans="1:2" ht="15" thickBot="1" x14ac:dyDescent="0.35">
      <c r="A738" s="4"/>
      <c r="B738" s="4"/>
    </row>
    <row r="739" spans="1:2" ht="15" thickBot="1" x14ac:dyDescent="0.35">
      <c r="A739" s="4"/>
      <c r="B739" s="4"/>
    </row>
    <row r="740" spans="1:2" ht="15" thickBot="1" x14ac:dyDescent="0.35">
      <c r="A740" s="4"/>
      <c r="B740" s="4"/>
    </row>
    <row r="741" spans="1:2" ht="15" thickBot="1" x14ac:dyDescent="0.35">
      <c r="A741" s="4"/>
      <c r="B741" s="4"/>
    </row>
    <row r="742" spans="1:2" ht="15" thickBot="1" x14ac:dyDescent="0.35">
      <c r="A742" s="4"/>
      <c r="B742" s="4"/>
    </row>
    <row r="743" spans="1:2" ht="15" thickBot="1" x14ac:dyDescent="0.35">
      <c r="A743" s="4"/>
      <c r="B743" s="4"/>
    </row>
    <row r="744" spans="1:2" ht="15" thickBot="1" x14ac:dyDescent="0.35">
      <c r="A744" s="4"/>
      <c r="B744" s="4"/>
    </row>
    <row r="745" spans="1:2" ht="15" thickBot="1" x14ac:dyDescent="0.35">
      <c r="A745" s="4"/>
      <c r="B745" s="4"/>
    </row>
    <row r="746" spans="1:2" ht="15" thickBot="1" x14ac:dyDescent="0.35">
      <c r="A746" s="4"/>
      <c r="B746" s="4"/>
    </row>
    <row r="747" spans="1:2" ht="15" thickBot="1" x14ac:dyDescent="0.35">
      <c r="A747" s="4"/>
      <c r="B747" s="4"/>
    </row>
    <row r="748" spans="1:2" ht="15" thickBot="1" x14ac:dyDescent="0.35">
      <c r="A748" s="4"/>
      <c r="B748" s="4"/>
    </row>
    <row r="749" spans="1:2" ht="15" thickBot="1" x14ac:dyDescent="0.35">
      <c r="A749" s="4"/>
      <c r="B749" s="4"/>
    </row>
    <row r="750" spans="1:2" ht="15" thickBot="1" x14ac:dyDescent="0.35">
      <c r="A750" s="4"/>
      <c r="B750" s="4"/>
    </row>
    <row r="751" spans="1:2" ht="15" thickBot="1" x14ac:dyDescent="0.35">
      <c r="A751" s="4"/>
      <c r="B751" s="4"/>
    </row>
    <row r="752" spans="1:2" ht="15" thickBot="1" x14ac:dyDescent="0.35">
      <c r="A752" s="4"/>
      <c r="B752" s="4"/>
    </row>
    <row r="753" spans="1:2" ht="15" thickBot="1" x14ac:dyDescent="0.35">
      <c r="A753" s="4"/>
      <c r="B753" s="4"/>
    </row>
    <row r="754" spans="1:2" ht="15" thickBot="1" x14ac:dyDescent="0.35">
      <c r="A754" s="4"/>
      <c r="B754" s="4"/>
    </row>
    <row r="755" spans="1:2" ht="15" thickBot="1" x14ac:dyDescent="0.35">
      <c r="A755" s="4"/>
      <c r="B755" s="4"/>
    </row>
    <row r="756" spans="1:2" ht="15" thickBot="1" x14ac:dyDescent="0.35">
      <c r="A756" s="4"/>
      <c r="B756" s="4"/>
    </row>
    <row r="757" spans="1:2" ht="15" thickBot="1" x14ac:dyDescent="0.35">
      <c r="A757" s="4"/>
      <c r="B757" s="4"/>
    </row>
    <row r="758" spans="1:2" ht="15" thickBot="1" x14ac:dyDescent="0.35">
      <c r="A758" s="4"/>
      <c r="B758" s="4"/>
    </row>
    <row r="759" spans="1:2" ht="15" thickBot="1" x14ac:dyDescent="0.35">
      <c r="A759" s="4"/>
      <c r="B759" s="4"/>
    </row>
    <row r="760" spans="1:2" ht="15" thickBot="1" x14ac:dyDescent="0.35">
      <c r="A760" s="4"/>
      <c r="B760" s="4"/>
    </row>
    <row r="761" spans="1:2" ht="15" thickBot="1" x14ac:dyDescent="0.35">
      <c r="A761" s="4"/>
      <c r="B761" s="4"/>
    </row>
    <row r="762" spans="1:2" ht="15" thickBot="1" x14ac:dyDescent="0.35">
      <c r="A762" s="4"/>
      <c r="B762" s="4"/>
    </row>
    <row r="763" spans="1:2" ht="15" thickBot="1" x14ac:dyDescent="0.35">
      <c r="A763" s="4"/>
      <c r="B763" s="4"/>
    </row>
    <row r="764" spans="1:2" ht="15" thickBot="1" x14ac:dyDescent="0.35">
      <c r="A764" s="4"/>
      <c r="B764" s="4"/>
    </row>
    <row r="765" spans="1:2" ht="15" thickBot="1" x14ac:dyDescent="0.35">
      <c r="A765" s="4"/>
      <c r="B765" s="4"/>
    </row>
    <row r="766" spans="1:2" ht="15" thickBot="1" x14ac:dyDescent="0.35">
      <c r="A766" s="4"/>
      <c r="B766" s="4"/>
    </row>
    <row r="767" spans="1:2" ht="15" thickBot="1" x14ac:dyDescent="0.35">
      <c r="A767" s="4"/>
      <c r="B767" s="4"/>
    </row>
    <row r="768" spans="1:2" ht="15" thickBot="1" x14ac:dyDescent="0.35">
      <c r="A768" s="4"/>
      <c r="B768" s="4"/>
    </row>
    <row r="769" spans="1:2" ht="15" thickBot="1" x14ac:dyDescent="0.35">
      <c r="A769" s="4"/>
      <c r="B769" s="4"/>
    </row>
    <row r="770" spans="1:2" ht="15" thickBot="1" x14ac:dyDescent="0.35">
      <c r="A770" s="4"/>
      <c r="B770" s="4"/>
    </row>
    <row r="771" spans="1:2" ht="15" thickBot="1" x14ac:dyDescent="0.35">
      <c r="A771" s="4"/>
      <c r="B771" s="4"/>
    </row>
    <row r="772" spans="1:2" ht="15" thickBot="1" x14ac:dyDescent="0.35">
      <c r="A772" s="4"/>
      <c r="B772" s="4"/>
    </row>
    <row r="773" spans="1:2" ht="15" thickBot="1" x14ac:dyDescent="0.35">
      <c r="A773" s="4"/>
      <c r="B773" s="4"/>
    </row>
    <row r="774" spans="1:2" ht="15" thickBot="1" x14ac:dyDescent="0.35">
      <c r="A774" s="4"/>
      <c r="B774" s="4"/>
    </row>
    <row r="775" spans="1:2" ht="15" thickBot="1" x14ac:dyDescent="0.35">
      <c r="A775" s="4"/>
      <c r="B775" s="4"/>
    </row>
    <row r="776" spans="1:2" ht="15" thickBot="1" x14ac:dyDescent="0.35">
      <c r="A776" s="4"/>
      <c r="B776" s="4"/>
    </row>
    <row r="777" spans="1:2" ht="15" thickBot="1" x14ac:dyDescent="0.35">
      <c r="A777" s="4"/>
      <c r="B777" s="4"/>
    </row>
    <row r="778" spans="1:2" ht="15" thickBot="1" x14ac:dyDescent="0.35">
      <c r="A778" s="4"/>
      <c r="B778" s="4"/>
    </row>
    <row r="779" spans="1:2" ht="15" thickBot="1" x14ac:dyDescent="0.35">
      <c r="A779" s="4"/>
      <c r="B779" s="4"/>
    </row>
    <row r="780" spans="1:2" ht="15" thickBot="1" x14ac:dyDescent="0.35">
      <c r="A780" s="4"/>
      <c r="B780" s="4"/>
    </row>
    <row r="781" spans="1:2" ht="15" thickBot="1" x14ac:dyDescent="0.35">
      <c r="A781" s="4"/>
      <c r="B781" s="4"/>
    </row>
    <row r="782" spans="1:2" ht="15" thickBot="1" x14ac:dyDescent="0.35">
      <c r="A782" s="4"/>
      <c r="B782" s="4"/>
    </row>
    <row r="783" spans="1:2" ht="15" thickBot="1" x14ac:dyDescent="0.35">
      <c r="A783" s="4"/>
      <c r="B783" s="4"/>
    </row>
    <row r="784" spans="1:2" ht="15" thickBot="1" x14ac:dyDescent="0.35">
      <c r="A784" s="4"/>
      <c r="B784" s="4"/>
    </row>
    <row r="785" spans="1:2" ht="15" thickBot="1" x14ac:dyDescent="0.35">
      <c r="A785" s="4"/>
      <c r="B785" s="4"/>
    </row>
    <row r="786" spans="1:2" ht="15" thickBot="1" x14ac:dyDescent="0.35">
      <c r="A786" s="4"/>
      <c r="B786" s="4"/>
    </row>
    <row r="787" spans="1:2" ht="15" thickBot="1" x14ac:dyDescent="0.35">
      <c r="A787" s="4"/>
      <c r="B787" s="4"/>
    </row>
    <row r="788" spans="1:2" ht="15" thickBot="1" x14ac:dyDescent="0.35">
      <c r="A788" s="4"/>
      <c r="B788" s="4"/>
    </row>
    <row r="789" spans="1:2" ht="15" thickBot="1" x14ac:dyDescent="0.35">
      <c r="A789" s="4"/>
      <c r="B789" s="4"/>
    </row>
    <row r="790" spans="1:2" ht="15" thickBot="1" x14ac:dyDescent="0.35">
      <c r="A790" s="4"/>
      <c r="B790" s="4"/>
    </row>
    <row r="791" spans="1:2" ht="15" thickBot="1" x14ac:dyDescent="0.35">
      <c r="A791" s="4"/>
      <c r="B791" s="4"/>
    </row>
    <row r="792" spans="1:2" ht="15" thickBot="1" x14ac:dyDescent="0.35">
      <c r="A792" s="4"/>
      <c r="B792" s="4"/>
    </row>
    <row r="793" spans="1:2" ht="15" thickBot="1" x14ac:dyDescent="0.35">
      <c r="A793" s="4"/>
      <c r="B793" s="4"/>
    </row>
    <row r="794" spans="1:2" ht="15" thickBot="1" x14ac:dyDescent="0.35">
      <c r="A794" s="4"/>
      <c r="B794" s="4"/>
    </row>
    <row r="795" spans="1:2" ht="15" thickBot="1" x14ac:dyDescent="0.35">
      <c r="A795" s="4"/>
      <c r="B795" s="4"/>
    </row>
    <row r="796" spans="1:2" ht="15" thickBot="1" x14ac:dyDescent="0.35">
      <c r="A796" s="4"/>
      <c r="B796" s="4"/>
    </row>
    <row r="797" spans="1:2" ht="15" thickBot="1" x14ac:dyDescent="0.35">
      <c r="A797" s="4"/>
      <c r="B797" s="4"/>
    </row>
    <row r="798" spans="1:2" ht="15" thickBot="1" x14ac:dyDescent="0.35">
      <c r="A798" s="4"/>
      <c r="B798" s="4"/>
    </row>
    <row r="799" spans="1:2" ht="15" thickBot="1" x14ac:dyDescent="0.35">
      <c r="A799" s="4"/>
      <c r="B799" s="4"/>
    </row>
    <row r="800" spans="1:2" ht="15" thickBot="1" x14ac:dyDescent="0.35">
      <c r="A800" s="4"/>
      <c r="B800" s="4"/>
    </row>
    <row r="801" spans="1:2" ht="15" thickBot="1" x14ac:dyDescent="0.35">
      <c r="A801" s="4"/>
      <c r="B801" s="4"/>
    </row>
    <row r="802" spans="1:2" ht="15" thickBot="1" x14ac:dyDescent="0.35">
      <c r="A802" s="4"/>
      <c r="B802" s="4"/>
    </row>
    <row r="803" spans="1:2" ht="15" thickBot="1" x14ac:dyDescent="0.35">
      <c r="A803" s="4"/>
      <c r="B803" s="4"/>
    </row>
    <row r="804" spans="1:2" ht="15" thickBot="1" x14ac:dyDescent="0.35">
      <c r="A804" s="4"/>
      <c r="B804" s="4"/>
    </row>
    <row r="805" spans="1:2" ht="15" thickBot="1" x14ac:dyDescent="0.35">
      <c r="A805" s="4"/>
      <c r="B805" s="4"/>
    </row>
    <row r="806" spans="1:2" ht="15" thickBot="1" x14ac:dyDescent="0.35">
      <c r="A806" s="4"/>
      <c r="B806" s="4"/>
    </row>
    <row r="807" spans="1:2" ht="15" thickBot="1" x14ac:dyDescent="0.35">
      <c r="A807" s="4"/>
      <c r="B807" s="4"/>
    </row>
    <row r="808" spans="1:2" ht="15" thickBot="1" x14ac:dyDescent="0.35">
      <c r="A808" s="4"/>
      <c r="B808" s="4"/>
    </row>
    <row r="809" spans="1:2" ht="15" thickBot="1" x14ac:dyDescent="0.35">
      <c r="A809" s="4"/>
      <c r="B809" s="4"/>
    </row>
    <row r="810" spans="1:2" ht="15" thickBot="1" x14ac:dyDescent="0.35">
      <c r="A810" s="4"/>
      <c r="B810" s="4"/>
    </row>
    <row r="811" spans="1:2" ht="15" thickBot="1" x14ac:dyDescent="0.35">
      <c r="A811" s="4"/>
      <c r="B811" s="4"/>
    </row>
    <row r="812" spans="1:2" ht="15" thickBot="1" x14ac:dyDescent="0.35">
      <c r="A812" s="4"/>
      <c r="B812" s="4"/>
    </row>
    <row r="813" spans="1:2" ht="15" thickBot="1" x14ac:dyDescent="0.35">
      <c r="A813" s="4"/>
      <c r="B813" s="4"/>
    </row>
    <row r="814" spans="1:2" ht="15" thickBot="1" x14ac:dyDescent="0.35">
      <c r="A814" s="4"/>
      <c r="B814" s="4"/>
    </row>
    <row r="815" spans="1:2" ht="15" thickBot="1" x14ac:dyDescent="0.35">
      <c r="A815" s="4"/>
      <c r="B815" s="4"/>
    </row>
    <row r="816" spans="1:2" ht="15" thickBot="1" x14ac:dyDescent="0.35">
      <c r="A816" s="4"/>
      <c r="B816" s="4"/>
    </row>
    <row r="817" spans="1:2" ht="15" thickBot="1" x14ac:dyDescent="0.35">
      <c r="A817" s="4"/>
      <c r="B817" s="4"/>
    </row>
    <row r="818" spans="1:2" ht="15" thickBot="1" x14ac:dyDescent="0.35">
      <c r="A818" s="4"/>
      <c r="B818" s="4"/>
    </row>
    <row r="819" spans="1:2" ht="15" thickBot="1" x14ac:dyDescent="0.35">
      <c r="A819" s="4"/>
      <c r="B819" s="4"/>
    </row>
    <row r="820" spans="1:2" ht="15" thickBot="1" x14ac:dyDescent="0.35">
      <c r="A820" s="4"/>
      <c r="B820" s="4"/>
    </row>
    <row r="821" spans="1:2" ht="15" thickBot="1" x14ac:dyDescent="0.35">
      <c r="A821" s="4"/>
      <c r="B821" s="4"/>
    </row>
    <row r="822" spans="1:2" ht="15" thickBot="1" x14ac:dyDescent="0.35">
      <c r="A822" s="4"/>
      <c r="B822" s="4"/>
    </row>
    <row r="823" spans="1:2" ht="15" thickBot="1" x14ac:dyDescent="0.35">
      <c r="A823" s="4"/>
      <c r="B823" s="4"/>
    </row>
    <row r="824" spans="1:2" ht="15" thickBot="1" x14ac:dyDescent="0.35">
      <c r="A824" s="4"/>
      <c r="B824" s="4"/>
    </row>
    <row r="825" spans="1:2" ht="15" thickBot="1" x14ac:dyDescent="0.35">
      <c r="A825" s="4"/>
      <c r="B825" s="4"/>
    </row>
    <row r="826" spans="1:2" ht="15" thickBot="1" x14ac:dyDescent="0.35">
      <c r="A826" s="4"/>
      <c r="B826" s="4"/>
    </row>
    <row r="827" spans="1:2" ht="15" thickBot="1" x14ac:dyDescent="0.35">
      <c r="A827" s="4"/>
      <c r="B827" s="4"/>
    </row>
    <row r="828" spans="1:2" ht="15" thickBot="1" x14ac:dyDescent="0.35">
      <c r="A828" s="4"/>
      <c r="B828" s="4"/>
    </row>
    <row r="829" spans="1:2" ht="15" thickBot="1" x14ac:dyDescent="0.35">
      <c r="A829" s="4"/>
      <c r="B829" s="4"/>
    </row>
    <row r="830" spans="1:2" ht="15" thickBot="1" x14ac:dyDescent="0.35">
      <c r="A830" s="4"/>
      <c r="B830" s="4"/>
    </row>
    <row r="831" spans="1:2" ht="15" thickBot="1" x14ac:dyDescent="0.35">
      <c r="A831" s="4"/>
      <c r="B831" s="4"/>
    </row>
    <row r="832" spans="1:2" ht="15" thickBot="1" x14ac:dyDescent="0.35">
      <c r="A832" s="4"/>
      <c r="B832" s="4"/>
    </row>
    <row r="833" spans="1:2" ht="15" thickBot="1" x14ac:dyDescent="0.35">
      <c r="A833" s="4"/>
      <c r="B833" s="4"/>
    </row>
    <row r="834" spans="1:2" ht="15" thickBot="1" x14ac:dyDescent="0.35">
      <c r="A834" s="4"/>
      <c r="B834" s="4"/>
    </row>
    <row r="835" spans="1:2" ht="15" thickBot="1" x14ac:dyDescent="0.35">
      <c r="A835" s="4"/>
      <c r="B835" s="4"/>
    </row>
    <row r="836" spans="1:2" ht="15" thickBot="1" x14ac:dyDescent="0.35">
      <c r="A836" s="4"/>
      <c r="B836" s="4"/>
    </row>
    <row r="837" spans="1:2" ht="15" thickBot="1" x14ac:dyDescent="0.35">
      <c r="A837" s="4"/>
      <c r="B837" s="4"/>
    </row>
    <row r="838" spans="1:2" ht="15" thickBot="1" x14ac:dyDescent="0.35">
      <c r="A838" s="4"/>
      <c r="B838" s="4"/>
    </row>
    <row r="839" spans="1:2" ht="15" thickBot="1" x14ac:dyDescent="0.35">
      <c r="A839" s="4"/>
      <c r="B839" s="4"/>
    </row>
    <row r="840" spans="1:2" ht="15" thickBot="1" x14ac:dyDescent="0.35">
      <c r="A840" s="4"/>
      <c r="B840" s="4"/>
    </row>
    <row r="841" spans="1:2" ht="15" thickBot="1" x14ac:dyDescent="0.35">
      <c r="A841" s="4"/>
      <c r="B841" s="4"/>
    </row>
    <row r="842" spans="1:2" ht="15" thickBot="1" x14ac:dyDescent="0.35">
      <c r="A842" s="4"/>
      <c r="B842" s="4"/>
    </row>
    <row r="843" spans="1:2" ht="15" thickBot="1" x14ac:dyDescent="0.35">
      <c r="A843" s="4"/>
      <c r="B843" s="4"/>
    </row>
    <row r="844" spans="1:2" ht="15" thickBot="1" x14ac:dyDescent="0.35">
      <c r="A844" s="4"/>
      <c r="B844" s="4"/>
    </row>
    <row r="845" spans="1:2" ht="15" thickBot="1" x14ac:dyDescent="0.35">
      <c r="A845" s="4"/>
      <c r="B845" s="4"/>
    </row>
    <row r="846" spans="1:2" ht="15" thickBot="1" x14ac:dyDescent="0.35">
      <c r="A846" s="4"/>
      <c r="B846" s="4"/>
    </row>
    <row r="847" spans="1:2" ht="15" thickBot="1" x14ac:dyDescent="0.35">
      <c r="A847" s="4"/>
      <c r="B847" s="4"/>
    </row>
    <row r="848" spans="1:2" ht="15" thickBot="1" x14ac:dyDescent="0.35">
      <c r="A848" s="4"/>
      <c r="B848" s="4"/>
    </row>
    <row r="849" spans="1:2" ht="15" thickBot="1" x14ac:dyDescent="0.35">
      <c r="A849" s="4"/>
      <c r="B849" s="4"/>
    </row>
    <row r="850" spans="1:2" ht="15" thickBot="1" x14ac:dyDescent="0.35">
      <c r="A850" s="4"/>
      <c r="B850" s="4"/>
    </row>
    <row r="851" spans="1:2" ht="15" thickBot="1" x14ac:dyDescent="0.35">
      <c r="A851" s="4"/>
      <c r="B851" s="4"/>
    </row>
    <row r="852" spans="1:2" ht="15" thickBot="1" x14ac:dyDescent="0.35">
      <c r="A852" s="4"/>
      <c r="B852" s="4"/>
    </row>
    <row r="853" spans="1:2" ht="15" thickBot="1" x14ac:dyDescent="0.35">
      <c r="A853" s="4"/>
      <c r="B853" s="4"/>
    </row>
    <row r="854" spans="1:2" ht="15" thickBot="1" x14ac:dyDescent="0.35">
      <c r="A854" s="4"/>
      <c r="B854" s="4"/>
    </row>
    <row r="855" spans="1:2" ht="15" thickBot="1" x14ac:dyDescent="0.35">
      <c r="A855" s="4"/>
      <c r="B855" s="4"/>
    </row>
    <row r="856" spans="1:2" ht="15" thickBot="1" x14ac:dyDescent="0.35">
      <c r="A856" s="4"/>
      <c r="B856" s="4"/>
    </row>
    <row r="857" spans="1:2" ht="15" thickBot="1" x14ac:dyDescent="0.35">
      <c r="A857" s="4"/>
      <c r="B857" s="4"/>
    </row>
    <row r="858" spans="1:2" ht="15" thickBot="1" x14ac:dyDescent="0.35">
      <c r="A858" s="4"/>
      <c r="B858" s="4"/>
    </row>
    <row r="859" spans="1:2" ht="15" thickBot="1" x14ac:dyDescent="0.35">
      <c r="A859" s="4"/>
      <c r="B859" s="4"/>
    </row>
    <row r="860" spans="1:2" ht="15" thickBot="1" x14ac:dyDescent="0.35">
      <c r="A860" s="4"/>
      <c r="B860" s="4"/>
    </row>
    <row r="861" spans="1:2" ht="15" thickBot="1" x14ac:dyDescent="0.35">
      <c r="A861" s="4"/>
      <c r="B861" s="4"/>
    </row>
    <row r="862" spans="1:2" ht="15" thickBot="1" x14ac:dyDescent="0.35">
      <c r="A862" s="4"/>
      <c r="B862" s="4"/>
    </row>
    <row r="863" spans="1:2" ht="15" thickBot="1" x14ac:dyDescent="0.35">
      <c r="A863" s="4"/>
      <c r="B863" s="4"/>
    </row>
    <row r="864" spans="1:2" ht="15" thickBot="1" x14ac:dyDescent="0.35">
      <c r="A864" s="4"/>
      <c r="B864" s="4"/>
    </row>
    <row r="865" spans="1:2" ht="15" thickBot="1" x14ac:dyDescent="0.35">
      <c r="A865" s="4"/>
      <c r="B865" s="4"/>
    </row>
    <row r="866" spans="1:2" ht="15" thickBot="1" x14ac:dyDescent="0.35">
      <c r="A866" s="4"/>
      <c r="B866" s="4"/>
    </row>
    <row r="867" spans="1:2" ht="15" thickBot="1" x14ac:dyDescent="0.35">
      <c r="A867" s="4"/>
      <c r="B867" s="4"/>
    </row>
    <row r="868" spans="1:2" ht="15" thickBot="1" x14ac:dyDescent="0.35">
      <c r="A868" s="4"/>
      <c r="B868" s="4"/>
    </row>
    <row r="869" spans="1:2" ht="15" thickBot="1" x14ac:dyDescent="0.35">
      <c r="A869" s="4"/>
      <c r="B869" s="4"/>
    </row>
    <row r="870" spans="1:2" ht="15" thickBot="1" x14ac:dyDescent="0.35">
      <c r="A870" s="4"/>
      <c r="B870" s="4"/>
    </row>
    <row r="871" spans="1:2" ht="15" thickBot="1" x14ac:dyDescent="0.35">
      <c r="A871" s="4"/>
      <c r="B871" s="4"/>
    </row>
    <row r="872" spans="1:2" ht="15" thickBot="1" x14ac:dyDescent="0.35">
      <c r="A872" s="4"/>
      <c r="B872" s="4"/>
    </row>
    <row r="873" spans="1:2" ht="15" thickBot="1" x14ac:dyDescent="0.35">
      <c r="A873" s="4"/>
      <c r="B873" s="4"/>
    </row>
    <row r="874" spans="1:2" ht="15" thickBot="1" x14ac:dyDescent="0.35">
      <c r="A874" s="4"/>
      <c r="B874" s="4"/>
    </row>
    <row r="875" spans="1:2" ht="15" thickBot="1" x14ac:dyDescent="0.35">
      <c r="A875" s="4"/>
      <c r="B875" s="4"/>
    </row>
    <row r="876" spans="1:2" ht="15" thickBot="1" x14ac:dyDescent="0.35">
      <c r="A876" s="4"/>
      <c r="B876" s="4"/>
    </row>
    <row r="877" spans="1:2" ht="15" thickBot="1" x14ac:dyDescent="0.35">
      <c r="A877" s="4"/>
      <c r="B877" s="4"/>
    </row>
    <row r="878" spans="1:2" ht="15" thickBot="1" x14ac:dyDescent="0.35">
      <c r="A878" s="4"/>
      <c r="B878" s="4"/>
    </row>
    <row r="879" spans="1:2" ht="15" thickBot="1" x14ac:dyDescent="0.35">
      <c r="A879" s="4"/>
      <c r="B879" s="4"/>
    </row>
    <row r="880" spans="1:2" ht="15" thickBot="1" x14ac:dyDescent="0.35">
      <c r="A880" s="4"/>
      <c r="B880" s="4"/>
    </row>
    <row r="881" spans="1:2" ht="15" thickBot="1" x14ac:dyDescent="0.35">
      <c r="A881" s="4"/>
      <c r="B881" s="4"/>
    </row>
    <row r="882" spans="1:2" ht="15" thickBot="1" x14ac:dyDescent="0.35">
      <c r="A882" s="4"/>
      <c r="B882" s="4"/>
    </row>
    <row r="883" spans="1:2" ht="15" thickBot="1" x14ac:dyDescent="0.35">
      <c r="A883" s="4"/>
      <c r="B883" s="4"/>
    </row>
    <row r="884" spans="1:2" ht="15" thickBot="1" x14ac:dyDescent="0.35">
      <c r="A884" s="4"/>
      <c r="B884" s="4"/>
    </row>
    <row r="885" spans="1:2" ht="15" thickBot="1" x14ac:dyDescent="0.35">
      <c r="A885" s="4"/>
      <c r="B885" s="4"/>
    </row>
    <row r="886" spans="1:2" ht="15" thickBot="1" x14ac:dyDescent="0.35">
      <c r="A886" s="4"/>
      <c r="B886" s="4"/>
    </row>
    <row r="887" spans="1:2" ht="15" thickBot="1" x14ac:dyDescent="0.35">
      <c r="A887" s="4"/>
      <c r="B887" s="4"/>
    </row>
    <row r="888" spans="1:2" ht="15" thickBot="1" x14ac:dyDescent="0.35">
      <c r="A888" s="4"/>
      <c r="B888" s="4"/>
    </row>
    <row r="889" spans="1:2" ht="15" thickBot="1" x14ac:dyDescent="0.35">
      <c r="A889" s="4"/>
      <c r="B889" s="4"/>
    </row>
    <row r="890" spans="1:2" ht="15" thickBot="1" x14ac:dyDescent="0.35">
      <c r="A890" s="4"/>
      <c r="B890" s="4"/>
    </row>
    <row r="891" spans="1:2" ht="15" thickBot="1" x14ac:dyDescent="0.35">
      <c r="A891" s="4"/>
      <c r="B891" s="4"/>
    </row>
    <row r="892" spans="1:2" ht="15" thickBot="1" x14ac:dyDescent="0.35">
      <c r="A892" s="4"/>
      <c r="B892" s="4"/>
    </row>
    <row r="893" spans="1:2" ht="15" thickBot="1" x14ac:dyDescent="0.35">
      <c r="A893" s="4"/>
      <c r="B893" s="4"/>
    </row>
    <row r="894" spans="1:2" ht="15" thickBot="1" x14ac:dyDescent="0.35">
      <c r="A894" s="4"/>
      <c r="B894" s="4"/>
    </row>
    <row r="895" spans="1:2" ht="15" thickBot="1" x14ac:dyDescent="0.35">
      <c r="A895" s="4"/>
      <c r="B895" s="4"/>
    </row>
    <row r="896" spans="1:2" ht="15" thickBot="1" x14ac:dyDescent="0.35">
      <c r="A896" s="4"/>
      <c r="B896" s="4"/>
    </row>
    <row r="897" spans="1:2" ht="15" thickBot="1" x14ac:dyDescent="0.35">
      <c r="A897" s="4"/>
      <c r="B897" s="4"/>
    </row>
    <row r="898" spans="1:2" ht="15" thickBot="1" x14ac:dyDescent="0.35">
      <c r="A898" s="4"/>
      <c r="B898" s="4"/>
    </row>
    <row r="899" spans="1:2" ht="15" thickBot="1" x14ac:dyDescent="0.35">
      <c r="A899" s="4"/>
      <c r="B899" s="4"/>
    </row>
    <row r="900" spans="1:2" ht="15" thickBot="1" x14ac:dyDescent="0.35">
      <c r="A900" s="4"/>
      <c r="B900" s="4"/>
    </row>
    <row r="901" spans="1:2" ht="15" thickBot="1" x14ac:dyDescent="0.35">
      <c r="A901" s="4"/>
      <c r="B901" s="4"/>
    </row>
    <row r="902" spans="1:2" ht="15" thickBot="1" x14ac:dyDescent="0.35">
      <c r="A902" s="4"/>
      <c r="B902" s="4"/>
    </row>
    <row r="903" spans="1:2" ht="15" thickBot="1" x14ac:dyDescent="0.35">
      <c r="A903" s="4"/>
      <c r="B903" s="4"/>
    </row>
    <row r="904" spans="1:2" ht="15" thickBot="1" x14ac:dyDescent="0.35">
      <c r="A904" s="4"/>
      <c r="B904" s="4"/>
    </row>
    <row r="905" spans="1:2" ht="15" thickBot="1" x14ac:dyDescent="0.35">
      <c r="A905" s="4"/>
      <c r="B905" s="4"/>
    </row>
    <row r="906" spans="1:2" ht="15" thickBot="1" x14ac:dyDescent="0.35">
      <c r="A906" s="4"/>
      <c r="B906" s="4"/>
    </row>
    <row r="907" spans="1:2" ht="15" thickBot="1" x14ac:dyDescent="0.35">
      <c r="A907" s="4"/>
      <c r="B907" s="4"/>
    </row>
    <row r="908" spans="1:2" ht="15" thickBot="1" x14ac:dyDescent="0.35">
      <c r="A908" s="4"/>
      <c r="B908" s="4"/>
    </row>
    <row r="909" spans="1:2" ht="15" thickBot="1" x14ac:dyDescent="0.35">
      <c r="A909" s="4"/>
      <c r="B909" s="4"/>
    </row>
    <row r="910" spans="1:2" ht="15" thickBot="1" x14ac:dyDescent="0.35">
      <c r="A910" s="4"/>
      <c r="B910" s="4"/>
    </row>
    <row r="911" spans="1:2" ht="15" thickBot="1" x14ac:dyDescent="0.35">
      <c r="A911" s="4"/>
      <c r="B911" s="4"/>
    </row>
    <row r="912" spans="1:2" ht="15" thickBot="1" x14ac:dyDescent="0.35">
      <c r="A912" s="4"/>
      <c r="B912" s="4"/>
    </row>
    <row r="913" spans="1:2" ht="15" thickBot="1" x14ac:dyDescent="0.35">
      <c r="A913" s="4"/>
      <c r="B913" s="4"/>
    </row>
    <row r="914" spans="1:2" ht="15" thickBot="1" x14ac:dyDescent="0.35">
      <c r="A914" s="4"/>
      <c r="B914" s="4"/>
    </row>
    <row r="915" spans="1:2" ht="15" thickBot="1" x14ac:dyDescent="0.35">
      <c r="A915" s="4"/>
      <c r="B915" s="4"/>
    </row>
    <row r="916" spans="1:2" ht="15" thickBot="1" x14ac:dyDescent="0.35">
      <c r="A916" s="4"/>
      <c r="B916" s="4"/>
    </row>
    <row r="917" spans="1:2" ht="15" thickBot="1" x14ac:dyDescent="0.35">
      <c r="A917" s="4"/>
      <c r="B917" s="4"/>
    </row>
    <row r="918" spans="1:2" ht="15" thickBot="1" x14ac:dyDescent="0.35">
      <c r="A918" s="4"/>
      <c r="B918" s="4"/>
    </row>
    <row r="919" spans="1:2" ht="15" thickBot="1" x14ac:dyDescent="0.35">
      <c r="A919" s="4"/>
      <c r="B919" s="4"/>
    </row>
    <row r="920" spans="1:2" ht="15" thickBot="1" x14ac:dyDescent="0.35">
      <c r="A920" s="4"/>
      <c r="B920" s="4"/>
    </row>
    <row r="921" spans="1:2" ht="15" thickBot="1" x14ac:dyDescent="0.35">
      <c r="A921" s="4"/>
      <c r="B921" s="4"/>
    </row>
    <row r="922" spans="1:2" ht="15" thickBot="1" x14ac:dyDescent="0.35">
      <c r="A922" s="4"/>
      <c r="B922" s="4"/>
    </row>
    <row r="923" spans="1:2" ht="15" thickBot="1" x14ac:dyDescent="0.35">
      <c r="A923" s="4"/>
      <c r="B923" s="4"/>
    </row>
    <row r="924" spans="1:2" ht="15" thickBot="1" x14ac:dyDescent="0.35">
      <c r="A924" s="4"/>
      <c r="B924" s="4"/>
    </row>
    <row r="925" spans="1:2" ht="15" thickBot="1" x14ac:dyDescent="0.35">
      <c r="A925" s="4"/>
      <c r="B925" s="4"/>
    </row>
    <row r="926" spans="1:2" ht="15" thickBot="1" x14ac:dyDescent="0.35">
      <c r="A926" s="4"/>
      <c r="B926" s="4"/>
    </row>
    <row r="927" spans="1:2" ht="15" thickBot="1" x14ac:dyDescent="0.35">
      <c r="A927" s="4"/>
      <c r="B927" s="4"/>
    </row>
    <row r="928" spans="1:2" ht="15" thickBot="1" x14ac:dyDescent="0.35">
      <c r="A928" s="4"/>
      <c r="B928" s="4"/>
    </row>
    <row r="929" spans="1:2" ht="15" thickBot="1" x14ac:dyDescent="0.35">
      <c r="A929" s="4"/>
      <c r="B929" s="4"/>
    </row>
    <row r="930" spans="1:2" ht="15" thickBot="1" x14ac:dyDescent="0.35">
      <c r="A930" s="4"/>
      <c r="B930" s="4"/>
    </row>
    <row r="931" spans="1:2" ht="15" thickBot="1" x14ac:dyDescent="0.35">
      <c r="A931" s="4"/>
      <c r="B931" s="4"/>
    </row>
    <row r="932" spans="1:2" ht="15" thickBot="1" x14ac:dyDescent="0.35">
      <c r="A932" s="4"/>
      <c r="B932" s="4"/>
    </row>
    <row r="933" spans="1:2" ht="15" thickBot="1" x14ac:dyDescent="0.35">
      <c r="A933" s="4"/>
      <c r="B933" s="4"/>
    </row>
    <row r="934" spans="1:2" ht="15" thickBot="1" x14ac:dyDescent="0.35">
      <c r="A934" s="4"/>
      <c r="B934" s="4"/>
    </row>
    <row r="935" spans="1:2" ht="15" thickBot="1" x14ac:dyDescent="0.35">
      <c r="A935" s="4"/>
      <c r="B935" s="4"/>
    </row>
    <row r="936" spans="1:2" ht="15" thickBot="1" x14ac:dyDescent="0.35">
      <c r="A936" s="4"/>
      <c r="B936" s="4"/>
    </row>
    <row r="937" spans="1:2" ht="15" thickBot="1" x14ac:dyDescent="0.35">
      <c r="A937" s="4"/>
      <c r="B937" s="4"/>
    </row>
    <row r="938" spans="1:2" ht="15" thickBot="1" x14ac:dyDescent="0.35">
      <c r="A938" s="4"/>
      <c r="B938" s="4"/>
    </row>
    <row r="939" spans="1:2" ht="15" thickBot="1" x14ac:dyDescent="0.35">
      <c r="A939" s="4"/>
      <c r="B939" s="4"/>
    </row>
    <row r="940" spans="1:2" ht="15" thickBot="1" x14ac:dyDescent="0.35">
      <c r="A940" s="4"/>
      <c r="B940" s="4"/>
    </row>
    <row r="941" spans="1:2" ht="15" thickBot="1" x14ac:dyDescent="0.35">
      <c r="A941" s="4"/>
      <c r="B941" s="4"/>
    </row>
    <row r="942" spans="1:2" ht="15" thickBot="1" x14ac:dyDescent="0.35">
      <c r="A942" s="4"/>
      <c r="B942" s="4"/>
    </row>
    <row r="943" spans="1:2" ht="15" thickBot="1" x14ac:dyDescent="0.35">
      <c r="A943" s="4"/>
      <c r="B943" s="4"/>
    </row>
    <row r="944" spans="1:2" ht="15" thickBot="1" x14ac:dyDescent="0.35">
      <c r="A944" s="4"/>
      <c r="B944" s="4"/>
    </row>
    <row r="945" spans="1:2" ht="15" thickBot="1" x14ac:dyDescent="0.35">
      <c r="A945" s="4"/>
      <c r="B945" s="4"/>
    </row>
    <row r="946" spans="1:2" ht="15" thickBot="1" x14ac:dyDescent="0.35">
      <c r="A946" s="4"/>
      <c r="B946" s="4"/>
    </row>
    <row r="947" spans="1:2" ht="15" thickBot="1" x14ac:dyDescent="0.35">
      <c r="A947" s="4"/>
      <c r="B947" s="4"/>
    </row>
    <row r="948" spans="1:2" ht="15" thickBot="1" x14ac:dyDescent="0.35">
      <c r="A948" s="4"/>
      <c r="B948" s="4"/>
    </row>
    <row r="949" spans="1:2" ht="15" thickBot="1" x14ac:dyDescent="0.35">
      <c r="A949" s="4"/>
      <c r="B949" s="4"/>
    </row>
    <row r="950" spans="1:2" ht="15" thickBot="1" x14ac:dyDescent="0.35">
      <c r="A950" s="4"/>
      <c r="B950" s="4"/>
    </row>
    <row r="951" spans="1:2" ht="15" thickBot="1" x14ac:dyDescent="0.35">
      <c r="A951" s="4"/>
      <c r="B951" s="4"/>
    </row>
    <row r="952" spans="1:2" ht="15" thickBot="1" x14ac:dyDescent="0.35">
      <c r="A952" s="4"/>
      <c r="B952" s="4"/>
    </row>
    <row r="953" spans="1:2" ht="15" thickBot="1" x14ac:dyDescent="0.35">
      <c r="A953" s="4"/>
      <c r="B953" s="4"/>
    </row>
    <row r="954" spans="1:2" ht="15" thickBot="1" x14ac:dyDescent="0.35">
      <c r="A954" s="4"/>
      <c r="B954" s="4"/>
    </row>
    <row r="955" spans="1:2" ht="15" thickBot="1" x14ac:dyDescent="0.35">
      <c r="A955" s="4"/>
      <c r="B955" s="4"/>
    </row>
    <row r="956" spans="1:2" ht="15" thickBot="1" x14ac:dyDescent="0.35">
      <c r="A956" s="4"/>
      <c r="B956" s="4"/>
    </row>
    <row r="957" spans="1:2" ht="15" thickBot="1" x14ac:dyDescent="0.35">
      <c r="A957" s="4"/>
      <c r="B957" s="4"/>
    </row>
    <row r="958" spans="1:2" ht="15" thickBot="1" x14ac:dyDescent="0.35">
      <c r="A958" s="4"/>
      <c r="B958" s="4"/>
    </row>
    <row r="959" spans="1:2" ht="15" thickBot="1" x14ac:dyDescent="0.35">
      <c r="A959" s="4"/>
      <c r="B959" s="4"/>
    </row>
    <row r="960" spans="1:2" ht="15" thickBot="1" x14ac:dyDescent="0.35">
      <c r="A960" s="4"/>
      <c r="B960" s="4"/>
    </row>
    <row r="961" spans="1:2" ht="15" thickBot="1" x14ac:dyDescent="0.35">
      <c r="A961" s="4"/>
      <c r="B961" s="4"/>
    </row>
    <row r="962" spans="1:2" ht="15" thickBot="1" x14ac:dyDescent="0.35">
      <c r="A962" s="4"/>
      <c r="B962" s="4"/>
    </row>
    <row r="963" spans="1:2" ht="15" thickBot="1" x14ac:dyDescent="0.35">
      <c r="A963" s="4"/>
      <c r="B963" s="4"/>
    </row>
    <row r="964" spans="1:2" ht="15" thickBot="1" x14ac:dyDescent="0.35">
      <c r="A964" s="4"/>
      <c r="B964" s="4"/>
    </row>
    <row r="965" spans="1:2" ht="15" thickBot="1" x14ac:dyDescent="0.35">
      <c r="A965" s="4"/>
      <c r="B965" s="4"/>
    </row>
    <row r="966" spans="1:2" ht="15" thickBot="1" x14ac:dyDescent="0.35">
      <c r="A966" s="4"/>
      <c r="B966" s="4"/>
    </row>
    <row r="967" spans="1:2" ht="15" thickBot="1" x14ac:dyDescent="0.35">
      <c r="A967" s="4"/>
      <c r="B967" s="4"/>
    </row>
    <row r="968" spans="1:2" ht="15" thickBot="1" x14ac:dyDescent="0.35">
      <c r="A968" s="4"/>
      <c r="B968" s="4"/>
    </row>
    <row r="969" spans="1:2" ht="15" thickBot="1" x14ac:dyDescent="0.35">
      <c r="A969" s="4"/>
      <c r="B969" s="4"/>
    </row>
    <row r="970" spans="1:2" ht="15" thickBot="1" x14ac:dyDescent="0.35">
      <c r="A970" s="4"/>
      <c r="B970" s="4"/>
    </row>
    <row r="971" spans="1:2" ht="15" thickBot="1" x14ac:dyDescent="0.35">
      <c r="A971" s="4"/>
      <c r="B971" s="4"/>
    </row>
    <row r="972" spans="1:2" ht="15" thickBot="1" x14ac:dyDescent="0.35">
      <c r="A972" s="4"/>
      <c r="B972" s="4"/>
    </row>
    <row r="973" spans="1:2" ht="15" thickBot="1" x14ac:dyDescent="0.35">
      <c r="A973" s="4"/>
      <c r="B973" s="4"/>
    </row>
    <row r="974" spans="1:2" ht="15" thickBot="1" x14ac:dyDescent="0.35">
      <c r="A974" s="4"/>
      <c r="B974" s="4"/>
    </row>
    <row r="975" spans="1:2" ht="15" thickBot="1" x14ac:dyDescent="0.35">
      <c r="A975" s="4"/>
      <c r="B975" s="4"/>
    </row>
    <row r="976" spans="1:2" ht="15" thickBot="1" x14ac:dyDescent="0.35">
      <c r="A976" s="4"/>
      <c r="B976" s="4"/>
    </row>
    <row r="977" spans="1:2" ht="15" thickBot="1" x14ac:dyDescent="0.35">
      <c r="A977" s="4"/>
      <c r="B977" s="4"/>
    </row>
    <row r="978" spans="1:2" ht="15" thickBot="1" x14ac:dyDescent="0.35">
      <c r="A978" s="4"/>
      <c r="B978" s="4"/>
    </row>
    <row r="979" spans="1:2" ht="15" thickBot="1" x14ac:dyDescent="0.35">
      <c r="A979" s="4"/>
      <c r="B979" s="4"/>
    </row>
    <row r="980" spans="1:2" ht="15" thickBot="1" x14ac:dyDescent="0.35">
      <c r="A980" s="4"/>
      <c r="B980" s="4"/>
    </row>
    <row r="981" spans="1:2" ht="15" thickBot="1" x14ac:dyDescent="0.35">
      <c r="A981" s="4"/>
      <c r="B981" s="4"/>
    </row>
    <row r="982" spans="1:2" ht="15" thickBot="1" x14ac:dyDescent="0.35">
      <c r="A982" s="4"/>
      <c r="B982" s="4"/>
    </row>
    <row r="983" spans="1:2" ht="15" thickBot="1" x14ac:dyDescent="0.35">
      <c r="A983" s="4"/>
      <c r="B983" s="4"/>
    </row>
    <row r="984" spans="1:2" ht="15" thickBot="1" x14ac:dyDescent="0.35">
      <c r="A984" s="4"/>
      <c r="B984" s="4"/>
    </row>
    <row r="985" spans="1:2" ht="15" thickBot="1" x14ac:dyDescent="0.35">
      <c r="A985" s="4"/>
      <c r="B985" s="4"/>
    </row>
    <row r="986" spans="1:2" ht="15" thickBot="1" x14ac:dyDescent="0.35">
      <c r="A986" s="4"/>
      <c r="B986" s="4"/>
    </row>
    <row r="987" spans="1:2" ht="15" thickBot="1" x14ac:dyDescent="0.35">
      <c r="A987" s="4"/>
      <c r="B987" s="4"/>
    </row>
    <row r="988" spans="1:2" ht="15" thickBot="1" x14ac:dyDescent="0.35">
      <c r="A988" s="4"/>
      <c r="B988" s="4"/>
    </row>
    <row r="989" spans="1:2" ht="15" thickBot="1" x14ac:dyDescent="0.35">
      <c r="A989" s="4"/>
      <c r="B989" s="4"/>
    </row>
    <row r="990" spans="1:2" ht="15" thickBot="1" x14ac:dyDescent="0.35">
      <c r="A990" s="4"/>
      <c r="B990" s="4"/>
    </row>
    <row r="991" spans="1:2" ht="15" thickBot="1" x14ac:dyDescent="0.35">
      <c r="A991" s="4"/>
      <c r="B991" s="4"/>
    </row>
    <row r="992" spans="1:2" ht="15" thickBot="1" x14ac:dyDescent="0.35">
      <c r="A992" s="4"/>
      <c r="B992" s="4"/>
    </row>
    <row r="993" spans="1:2" ht="15" thickBot="1" x14ac:dyDescent="0.35">
      <c r="A993" s="4"/>
      <c r="B993" s="4"/>
    </row>
    <row r="994" spans="1:2" ht="15" thickBot="1" x14ac:dyDescent="0.35">
      <c r="A994" s="4"/>
      <c r="B994" s="4"/>
    </row>
    <row r="995" spans="1:2" ht="15" thickBot="1" x14ac:dyDescent="0.35">
      <c r="A995" s="4"/>
      <c r="B995" s="4"/>
    </row>
    <row r="996" spans="1:2" ht="15" thickBot="1" x14ac:dyDescent="0.35">
      <c r="A996" s="4"/>
      <c r="B996" s="4"/>
    </row>
    <row r="997" spans="1:2" ht="15" thickBot="1" x14ac:dyDescent="0.35">
      <c r="A997" s="4"/>
      <c r="B997" s="4"/>
    </row>
    <row r="998" spans="1:2" ht="15" thickBot="1" x14ac:dyDescent="0.35">
      <c r="A998" s="4"/>
      <c r="B998" s="4"/>
    </row>
    <row r="999" spans="1:2" ht="15" thickBot="1" x14ac:dyDescent="0.35">
      <c r="A999" s="4"/>
      <c r="B999" s="4"/>
    </row>
    <row r="1000" spans="1:2" ht="15" thickBot="1" x14ac:dyDescent="0.35">
      <c r="A1000" s="4"/>
      <c r="B1000" s="4"/>
    </row>
  </sheetData>
  <autoFilter ref="A1:A1000" xr:uid="{2B7EFABE-3BC9-4DEC-A389-AB1309F4A36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C753-C571-4F81-9EAB-E52ED016F81E}">
  <dimension ref="A1:C1000"/>
  <sheetViews>
    <sheetView workbookViewId="0">
      <selection activeCell="C2" sqref="C2"/>
    </sheetView>
  </sheetViews>
  <sheetFormatPr defaultRowHeight="14.4" x14ac:dyDescent="0.3"/>
  <cols>
    <col min="1" max="1" width="48" customWidth="1"/>
    <col min="3" max="3" width="28.109375" customWidth="1"/>
  </cols>
  <sheetData>
    <row r="1" spans="1:3" ht="15" thickBot="1" x14ac:dyDescent="0.35">
      <c r="A1" s="1" t="s">
        <v>0</v>
      </c>
      <c r="B1" t="s">
        <v>756</v>
      </c>
      <c r="C1" s="1" t="s">
        <v>757</v>
      </c>
    </row>
    <row r="2" spans="1:3" ht="15" thickBot="1" x14ac:dyDescent="0.35">
      <c r="A2" s="5" t="s">
        <v>6</v>
      </c>
      <c r="B2">
        <v>-1</v>
      </c>
      <c r="C2" s="4"/>
    </row>
    <row r="3" spans="1:3" ht="15" thickBot="1" x14ac:dyDescent="0.35">
      <c r="A3" s="5" t="s">
        <v>7</v>
      </c>
      <c r="B3">
        <v>-1</v>
      </c>
      <c r="C3" s="4"/>
    </row>
    <row r="4" spans="1:3" ht="15" thickBot="1" x14ac:dyDescent="0.35">
      <c r="A4" s="5" t="s">
        <v>8</v>
      </c>
      <c r="B4">
        <v>0</v>
      </c>
      <c r="C4" s="5" t="s">
        <v>758</v>
      </c>
    </row>
    <row r="5" spans="1:3" ht="15" thickBot="1" x14ac:dyDescent="0.35">
      <c r="A5" s="5" t="s">
        <v>9</v>
      </c>
      <c r="B5">
        <v>0</v>
      </c>
      <c r="C5" s="5" t="s">
        <v>758</v>
      </c>
    </row>
    <row r="6" spans="1:3" ht="15" thickBot="1" x14ac:dyDescent="0.35">
      <c r="A6" s="5" t="s">
        <v>10</v>
      </c>
      <c r="B6">
        <v>-1</v>
      </c>
      <c r="C6" s="4"/>
    </row>
    <row r="7" spans="1:3" ht="15" thickBot="1" x14ac:dyDescent="0.35">
      <c r="A7" s="5" t="s">
        <v>11</v>
      </c>
      <c r="B7">
        <v>-1</v>
      </c>
      <c r="C7" s="4"/>
    </row>
    <row r="8" spans="1:3" ht="15" thickBot="1" x14ac:dyDescent="0.35">
      <c r="A8" s="5" t="s">
        <v>12</v>
      </c>
      <c r="B8">
        <v>1</v>
      </c>
      <c r="C8" s="5" t="s">
        <v>759</v>
      </c>
    </row>
    <row r="9" spans="1:3" ht="15" thickBot="1" x14ac:dyDescent="0.35">
      <c r="A9" s="5" t="s">
        <v>13</v>
      </c>
      <c r="B9">
        <v>-1</v>
      </c>
      <c r="C9" s="4"/>
    </row>
    <row r="10" spans="1:3" ht="15" thickBot="1" x14ac:dyDescent="0.35">
      <c r="A10" s="5" t="s">
        <v>14</v>
      </c>
      <c r="B10">
        <v>-1</v>
      </c>
      <c r="C10" s="4"/>
    </row>
    <row r="11" spans="1:3" ht="15" thickBot="1" x14ac:dyDescent="0.35">
      <c r="A11" s="5" t="s">
        <v>15</v>
      </c>
      <c r="B11">
        <v>0</v>
      </c>
      <c r="C11" s="5" t="s">
        <v>758</v>
      </c>
    </row>
    <row r="12" spans="1:3" ht="15" thickBot="1" x14ac:dyDescent="0.35">
      <c r="A12" s="5" t="s">
        <v>15</v>
      </c>
      <c r="B12">
        <v>0</v>
      </c>
      <c r="C12" s="5" t="s">
        <v>758</v>
      </c>
    </row>
    <row r="13" spans="1:3" ht="15" thickBot="1" x14ac:dyDescent="0.35">
      <c r="A13" s="5" t="s">
        <v>16</v>
      </c>
      <c r="B13">
        <v>-1</v>
      </c>
      <c r="C13" s="5" t="s">
        <v>760</v>
      </c>
    </row>
    <row r="14" spans="1:3" ht="15" thickBot="1" x14ac:dyDescent="0.35">
      <c r="A14" s="5" t="s">
        <v>17</v>
      </c>
      <c r="B14">
        <v>-1</v>
      </c>
      <c r="C14" s="4"/>
    </row>
    <row r="15" spans="1:3" ht="15" thickBot="1" x14ac:dyDescent="0.35">
      <c r="A15" s="5" t="s">
        <v>18</v>
      </c>
      <c r="B15">
        <v>-1</v>
      </c>
      <c r="C15" s="4"/>
    </row>
    <row r="16" spans="1:3" ht="15" thickBot="1" x14ac:dyDescent="0.35">
      <c r="A16" s="5" t="s">
        <v>19</v>
      </c>
      <c r="B16">
        <v>-1</v>
      </c>
      <c r="C16" s="5" t="s">
        <v>760</v>
      </c>
    </row>
    <row r="17" spans="1:3" ht="15" thickBot="1" x14ac:dyDescent="0.35">
      <c r="A17" s="5" t="s">
        <v>20</v>
      </c>
      <c r="B17">
        <v>-1</v>
      </c>
      <c r="C17" s="4"/>
    </row>
    <row r="18" spans="1:3" ht="15" thickBot="1" x14ac:dyDescent="0.35">
      <c r="A18" s="5" t="s">
        <v>21</v>
      </c>
      <c r="B18">
        <v>-1</v>
      </c>
      <c r="C18" s="4"/>
    </row>
    <row r="19" spans="1:3" ht="15" thickBot="1" x14ac:dyDescent="0.35">
      <c r="A19" s="5" t="s">
        <v>22</v>
      </c>
      <c r="B19">
        <v>-1</v>
      </c>
      <c r="C19" s="4"/>
    </row>
    <row r="20" spans="1:3" ht="15" thickBot="1" x14ac:dyDescent="0.35">
      <c r="A20" s="5" t="s">
        <v>23</v>
      </c>
      <c r="B20">
        <v>-1</v>
      </c>
      <c r="C20" s="4"/>
    </row>
    <row r="21" spans="1:3" ht="15" thickBot="1" x14ac:dyDescent="0.35">
      <c r="A21" s="5" t="s">
        <v>24</v>
      </c>
      <c r="B21">
        <v>-1</v>
      </c>
      <c r="C21" s="4"/>
    </row>
    <row r="22" spans="1:3" ht="15" thickBot="1" x14ac:dyDescent="0.35">
      <c r="A22" s="5" t="s">
        <v>25</v>
      </c>
      <c r="B22">
        <v>-1</v>
      </c>
      <c r="C22" s="4"/>
    </row>
    <row r="23" spans="1:3" ht="15" thickBot="1" x14ac:dyDescent="0.35">
      <c r="A23" s="5" t="s">
        <v>26</v>
      </c>
      <c r="B23">
        <v>-1</v>
      </c>
      <c r="C23" s="4"/>
    </row>
    <row r="24" spans="1:3" ht="15" thickBot="1" x14ac:dyDescent="0.35">
      <c r="A24" s="5" t="s">
        <v>27</v>
      </c>
      <c r="B24">
        <v>-1</v>
      </c>
      <c r="C24" s="4"/>
    </row>
    <row r="25" spans="1:3" ht="15" thickBot="1" x14ac:dyDescent="0.35">
      <c r="A25" s="5" t="s">
        <v>28</v>
      </c>
      <c r="B25">
        <v>-1</v>
      </c>
      <c r="C25" s="4"/>
    </row>
    <row r="26" spans="1:3" ht="15" thickBot="1" x14ac:dyDescent="0.35">
      <c r="A26" s="5" t="s">
        <v>29</v>
      </c>
      <c r="B26">
        <v>-1</v>
      </c>
      <c r="C26" s="4"/>
    </row>
    <row r="27" spans="1:3" ht="15" thickBot="1" x14ac:dyDescent="0.35">
      <c r="A27" s="5" t="s">
        <v>30</v>
      </c>
      <c r="B27">
        <v>-1</v>
      </c>
      <c r="C27" s="4"/>
    </row>
    <row r="28" spans="1:3" ht="15" thickBot="1" x14ac:dyDescent="0.35">
      <c r="A28" s="5" t="s">
        <v>31</v>
      </c>
      <c r="B28">
        <v>-1</v>
      </c>
      <c r="C28" s="4"/>
    </row>
    <row r="29" spans="1:3" ht="15" thickBot="1" x14ac:dyDescent="0.35">
      <c r="A29" s="5" t="s">
        <v>32</v>
      </c>
      <c r="B29">
        <v>-1</v>
      </c>
      <c r="C29" s="4"/>
    </row>
    <row r="30" spans="1:3" ht="15" thickBot="1" x14ac:dyDescent="0.35">
      <c r="A30" s="5" t="s">
        <v>33</v>
      </c>
      <c r="B30">
        <v>-1</v>
      </c>
      <c r="C30" s="4"/>
    </row>
    <row r="31" spans="1:3" ht="15" thickBot="1" x14ac:dyDescent="0.35">
      <c r="A31" s="5" t="s">
        <v>34</v>
      </c>
      <c r="B31">
        <v>-1</v>
      </c>
      <c r="C31" s="4"/>
    </row>
    <row r="32" spans="1:3" ht="15" thickBot="1" x14ac:dyDescent="0.35">
      <c r="A32" s="5" t="s">
        <v>35</v>
      </c>
      <c r="B32">
        <v>-1</v>
      </c>
      <c r="C32" s="4"/>
    </row>
    <row r="33" spans="1:3" ht="15" thickBot="1" x14ac:dyDescent="0.35">
      <c r="A33" s="5" t="s">
        <v>36</v>
      </c>
      <c r="B33">
        <v>-1</v>
      </c>
      <c r="C33" s="4"/>
    </row>
    <row r="34" spans="1:3" ht="15" thickBot="1" x14ac:dyDescent="0.35">
      <c r="A34" s="5" t="s">
        <v>37</v>
      </c>
      <c r="B34">
        <v>0</v>
      </c>
      <c r="C34" s="5" t="s">
        <v>758</v>
      </c>
    </row>
    <row r="35" spans="1:3" ht="15" thickBot="1" x14ac:dyDescent="0.35">
      <c r="A35" s="5" t="s">
        <v>37</v>
      </c>
      <c r="B35">
        <v>0</v>
      </c>
      <c r="C35" s="5" t="s">
        <v>758</v>
      </c>
    </row>
    <row r="36" spans="1:3" ht="15" thickBot="1" x14ac:dyDescent="0.35">
      <c r="A36" s="5" t="s">
        <v>38</v>
      </c>
      <c r="B36">
        <v>-1</v>
      </c>
      <c r="C36" s="4"/>
    </row>
    <row r="37" spans="1:3" ht="15" thickBot="1" x14ac:dyDescent="0.35">
      <c r="A37" s="5" t="s">
        <v>39</v>
      </c>
      <c r="B37">
        <v>-1</v>
      </c>
      <c r="C37" s="4"/>
    </row>
    <row r="38" spans="1:3" ht="15" thickBot="1" x14ac:dyDescent="0.35">
      <c r="A38" s="5" t="s">
        <v>40</v>
      </c>
      <c r="B38">
        <v>-1</v>
      </c>
      <c r="C38" s="4"/>
    </row>
    <row r="39" spans="1:3" ht="15" thickBot="1" x14ac:dyDescent="0.35">
      <c r="A39" s="5" t="s">
        <v>41</v>
      </c>
      <c r="B39">
        <v>-1</v>
      </c>
      <c r="C39" s="4"/>
    </row>
    <row r="40" spans="1:3" ht="15" thickBot="1" x14ac:dyDescent="0.35">
      <c r="A40" s="5" t="s">
        <v>42</v>
      </c>
      <c r="B40">
        <v>-1</v>
      </c>
      <c r="C40" s="4"/>
    </row>
    <row r="41" spans="1:3" ht="15" thickBot="1" x14ac:dyDescent="0.35">
      <c r="A41" s="5" t="s">
        <v>43</v>
      </c>
      <c r="B41">
        <v>-1</v>
      </c>
      <c r="C41" s="4"/>
    </row>
    <row r="42" spans="1:3" ht="15" thickBot="1" x14ac:dyDescent="0.35">
      <c r="A42" s="5" t="s">
        <v>44</v>
      </c>
      <c r="B42">
        <v>-1</v>
      </c>
      <c r="C42" s="4"/>
    </row>
    <row r="43" spans="1:3" ht="15" thickBot="1" x14ac:dyDescent="0.35">
      <c r="A43" s="5" t="s">
        <v>45</v>
      </c>
      <c r="B43">
        <v>-1</v>
      </c>
      <c r="C43" s="4"/>
    </row>
    <row r="44" spans="1:3" ht="15" thickBot="1" x14ac:dyDescent="0.35">
      <c r="A44" s="5" t="s">
        <v>46</v>
      </c>
      <c r="B44">
        <v>-1</v>
      </c>
      <c r="C44" s="4"/>
    </row>
    <row r="45" spans="1:3" ht="15" thickBot="1" x14ac:dyDescent="0.35">
      <c r="A45" s="5" t="s">
        <v>47</v>
      </c>
      <c r="B45">
        <v>-1</v>
      </c>
      <c r="C45" s="4"/>
    </row>
    <row r="46" spans="1:3" ht="15" thickBot="1" x14ac:dyDescent="0.35">
      <c r="A46" s="5" t="s">
        <v>48</v>
      </c>
      <c r="B46">
        <v>-1</v>
      </c>
      <c r="C46" s="4"/>
    </row>
    <row r="47" spans="1:3" ht="15" thickBot="1" x14ac:dyDescent="0.35">
      <c r="A47" s="5" t="s">
        <v>49</v>
      </c>
      <c r="B47">
        <v>-1</v>
      </c>
      <c r="C47" s="4"/>
    </row>
    <row r="48" spans="1:3" ht="15" thickBot="1" x14ac:dyDescent="0.35">
      <c r="A48" s="5" t="s">
        <v>50</v>
      </c>
      <c r="B48">
        <v>-1</v>
      </c>
      <c r="C48" s="4"/>
    </row>
    <row r="49" spans="1:3" ht="15" thickBot="1" x14ac:dyDescent="0.35">
      <c r="A49" s="5" t="s">
        <v>51</v>
      </c>
      <c r="B49">
        <v>0</v>
      </c>
      <c r="C49" s="5" t="s">
        <v>758</v>
      </c>
    </row>
    <row r="50" spans="1:3" ht="15" thickBot="1" x14ac:dyDescent="0.35">
      <c r="A50" s="5" t="s">
        <v>52</v>
      </c>
      <c r="B50">
        <v>-1</v>
      </c>
      <c r="C50" s="4"/>
    </row>
    <row r="51" spans="1:3" ht="15" thickBot="1" x14ac:dyDescent="0.35">
      <c r="A51" s="5" t="s">
        <v>53</v>
      </c>
      <c r="B51">
        <v>0</v>
      </c>
      <c r="C51" s="5" t="s">
        <v>758</v>
      </c>
    </row>
    <row r="52" spans="1:3" ht="15" thickBot="1" x14ac:dyDescent="0.35">
      <c r="A52" s="5" t="s">
        <v>53</v>
      </c>
      <c r="B52">
        <v>0</v>
      </c>
      <c r="C52" s="5" t="s">
        <v>758</v>
      </c>
    </row>
    <row r="53" spans="1:3" ht="15" thickBot="1" x14ac:dyDescent="0.35">
      <c r="A53" s="5" t="s">
        <v>54</v>
      </c>
      <c r="B53">
        <v>-1</v>
      </c>
      <c r="C53" s="4"/>
    </row>
    <row r="54" spans="1:3" ht="15" thickBot="1" x14ac:dyDescent="0.35">
      <c r="A54" s="5" t="s">
        <v>55</v>
      </c>
      <c r="B54">
        <v>-1</v>
      </c>
      <c r="C54" s="5" t="s">
        <v>761</v>
      </c>
    </row>
    <row r="55" spans="1:3" ht="15" thickBot="1" x14ac:dyDescent="0.35">
      <c r="A55" s="5" t="s">
        <v>56</v>
      </c>
      <c r="B55">
        <v>-1</v>
      </c>
      <c r="C55" s="4"/>
    </row>
    <row r="56" spans="1:3" ht="15" thickBot="1" x14ac:dyDescent="0.35">
      <c r="A56" s="5" t="s">
        <v>57</v>
      </c>
      <c r="B56">
        <v>-1</v>
      </c>
      <c r="C56" s="4"/>
    </row>
    <row r="57" spans="1:3" ht="15" thickBot="1" x14ac:dyDescent="0.35">
      <c r="A57" s="5" t="s">
        <v>58</v>
      </c>
      <c r="B57">
        <v>-1</v>
      </c>
      <c r="C57" s="4"/>
    </row>
    <row r="58" spans="1:3" ht="15" thickBot="1" x14ac:dyDescent="0.35">
      <c r="A58" s="5" t="s">
        <v>59</v>
      </c>
      <c r="B58">
        <v>-1</v>
      </c>
      <c r="C58" s="4"/>
    </row>
    <row r="59" spans="1:3" ht="15" thickBot="1" x14ac:dyDescent="0.35">
      <c r="A59" s="5" t="s">
        <v>60</v>
      </c>
      <c r="B59">
        <v>-1</v>
      </c>
      <c r="C59" s="4"/>
    </row>
    <row r="60" spans="1:3" ht="15" thickBot="1" x14ac:dyDescent="0.35">
      <c r="A60" s="5" t="s">
        <v>61</v>
      </c>
      <c r="B60">
        <v>-1</v>
      </c>
      <c r="C60" s="4"/>
    </row>
    <row r="61" spans="1:3" ht="15" thickBot="1" x14ac:dyDescent="0.35">
      <c r="A61" s="5" t="s">
        <v>62</v>
      </c>
      <c r="B61">
        <v>-1</v>
      </c>
      <c r="C61" s="4"/>
    </row>
    <row r="62" spans="1:3" ht="15" thickBot="1" x14ac:dyDescent="0.35">
      <c r="A62" s="5" t="s">
        <v>63</v>
      </c>
      <c r="B62">
        <v>-1</v>
      </c>
      <c r="C62" s="4"/>
    </row>
    <row r="63" spans="1:3" ht="15" thickBot="1" x14ac:dyDescent="0.35">
      <c r="A63" s="5" t="s">
        <v>64</v>
      </c>
      <c r="B63">
        <v>-1</v>
      </c>
      <c r="C63" s="4"/>
    </row>
    <row r="64" spans="1:3" ht="15" thickBot="1" x14ac:dyDescent="0.35">
      <c r="A64" s="5" t="s">
        <v>65</v>
      </c>
      <c r="B64">
        <v>-1</v>
      </c>
      <c r="C64" s="4"/>
    </row>
    <row r="65" spans="1:3" ht="15" thickBot="1" x14ac:dyDescent="0.35">
      <c r="A65" s="5" t="s">
        <v>66</v>
      </c>
      <c r="B65">
        <v>-1</v>
      </c>
      <c r="C65" s="4"/>
    </row>
    <row r="66" spans="1:3" ht="15" thickBot="1" x14ac:dyDescent="0.35">
      <c r="A66" s="5" t="s">
        <v>67</v>
      </c>
      <c r="B66">
        <v>-1</v>
      </c>
      <c r="C66" s="4"/>
    </row>
    <row r="67" spans="1:3" ht="15" thickBot="1" x14ac:dyDescent="0.35">
      <c r="A67" s="5" t="s">
        <v>68</v>
      </c>
      <c r="B67">
        <v>-1</v>
      </c>
      <c r="C67" s="4"/>
    </row>
    <row r="68" spans="1:3" ht="15" thickBot="1" x14ac:dyDescent="0.35">
      <c r="A68" s="5" t="s">
        <v>69</v>
      </c>
      <c r="B68">
        <v>-1</v>
      </c>
      <c r="C68" s="4"/>
    </row>
    <row r="69" spans="1:3" ht="15" thickBot="1" x14ac:dyDescent="0.35">
      <c r="A69" s="5" t="s">
        <v>70</v>
      </c>
      <c r="B69">
        <v>-1</v>
      </c>
      <c r="C69" s="4"/>
    </row>
    <row r="70" spans="1:3" ht="15" thickBot="1" x14ac:dyDescent="0.35">
      <c r="A70" s="5" t="s">
        <v>71</v>
      </c>
      <c r="B70">
        <v>-1</v>
      </c>
      <c r="C70" s="4"/>
    </row>
    <row r="71" spans="1:3" ht="15" thickBot="1" x14ac:dyDescent="0.35">
      <c r="A71" s="5" t="s">
        <v>72</v>
      </c>
      <c r="B71">
        <v>-1</v>
      </c>
      <c r="C71" s="4"/>
    </row>
    <row r="72" spans="1:3" ht="15" thickBot="1" x14ac:dyDescent="0.35">
      <c r="A72" s="5" t="s">
        <v>73</v>
      </c>
      <c r="B72">
        <v>-1</v>
      </c>
      <c r="C72" s="4"/>
    </row>
    <row r="73" spans="1:3" ht="15" thickBot="1" x14ac:dyDescent="0.35">
      <c r="A73" s="5" t="s">
        <v>74</v>
      </c>
      <c r="B73">
        <v>-1</v>
      </c>
      <c r="C73" s="4"/>
    </row>
    <row r="74" spans="1:3" ht="15" thickBot="1" x14ac:dyDescent="0.35">
      <c r="A74" s="5" t="s">
        <v>75</v>
      </c>
      <c r="B74">
        <v>-1</v>
      </c>
      <c r="C74" s="4"/>
    </row>
    <row r="75" spans="1:3" ht="15" thickBot="1" x14ac:dyDescent="0.35">
      <c r="A75" s="5" t="s">
        <v>76</v>
      </c>
      <c r="B75">
        <v>-1</v>
      </c>
      <c r="C75" s="4"/>
    </row>
    <row r="76" spans="1:3" ht="15" thickBot="1" x14ac:dyDescent="0.35">
      <c r="A76" s="5" t="s">
        <v>77</v>
      </c>
      <c r="B76">
        <v>-1</v>
      </c>
      <c r="C76" s="4"/>
    </row>
    <row r="77" spans="1:3" ht="15" thickBot="1" x14ac:dyDescent="0.35">
      <c r="A77" s="5" t="s">
        <v>78</v>
      </c>
      <c r="B77">
        <v>-1</v>
      </c>
      <c r="C77" s="5" t="s">
        <v>760</v>
      </c>
    </row>
    <row r="78" spans="1:3" ht="15" thickBot="1" x14ac:dyDescent="0.35">
      <c r="A78" s="5" t="s">
        <v>79</v>
      </c>
      <c r="B78">
        <v>-1</v>
      </c>
      <c r="C78" s="5" t="s">
        <v>760</v>
      </c>
    </row>
    <row r="79" spans="1:3" ht="15" thickBot="1" x14ac:dyDescent="0.35">
      <c r="A79" s="5" t="s">
        <v>80</v>
      </c>
      <c r="B79">
        <v>-1</v>
      </c>
      <c r="C79" s="4"/>
    </row>
    <row r="80" spans="1:3" ht="15" thickBot="1" x14ac:dyDescent="0.35">
      <c r="A80" s="5" t="s">
        <v>81</v>
      </c>
      <c r="B80">
        <v>-1</v>
      </c>
      <c r="C80" s="4"/>
    </row>
    <row r="81" spans="1:3" ht="15" thickBot="1" x14ac:dyDescent="0.35">
      <c r="A81" s="5" t="s">
        <v>82</v>
      </c>
      <c r="B81">
        <v>-1</v>
      </c>
      <c r="C81" s="4"/>
    </row>
    <row r="82" spans="1:3" ht="15" thickBot="1" x14ac:dyDescent="0.35">
      <c r="A82" s="5" t="s">
        <v>83</v>
      </c>
      <c r="B82">
        <v>-1</v>
      </c>
      <c r="C82" s="4"/>
    </row>
    <row r="83" spans="1:3" ht="15" thickBot="1" x14ac:dyDescent="0.35">
      <c r="A83" s="5" t="s">
        <v>84</v>
      </c>
      <c r="B83">
        <v>-1</v>
      </c>
      <c r="C83" s="4"/>
    </row>
    <row r="84" spans="1:3" ht="15" thickBot="1" x14ac:dyDescent="0.35">
      <c r="A84" s="5" t="s">
        <v>85</v>
      </c>
      <c r="B84">
        <v>-1</v>
      </c>
      <c r="C84" s="4"/>
    </row>
    <row r="85" spans="1:3" ht="15" thickBot="1" x14ac:dyDescent="0.35">
      <c r="A85" s="5" t="s">
        <v>86</v>
      </c>
      <c r="B85">
        <v>-1</v>
      </c>
      <c r="C85" s="4"/>
    </row>
    <row r="86" spans="1:3" ht="15" thickBot="1" x14ac:dyDescent="0.35">
      <c r="A86" s="5" t="s">
        <v>87</v>
      </c>
      <c r="B86">
        <v>-1</v>
      </c>
      <c r="C86" s="4"/>
    </row>
    <row r="87" spans="1:3" ht="15" thickBot="1" x14ac:dyDescent="0.35">
      <c r="A87" s="5" t="s">
        <v>88</v>
      </c>
      <c r="B87">
        <v>-1</v>
      </c>
      <c r="C87" s="4"/>
    </row>
    <row r="88" spans="1:3" ht="15" thickBot="1" x14ac:dyDescent="0.35">
      <c r="A88" s="5" t="s">
        <v>89</v>
      </c>
      <c r="B88">
        <v>-1</v>
      </c>
      <c r="C88" s="4"/>
    </row>
    <row r="89" spans="1:3" ht="15" thickBot="1" x14ac:dyDescent="0.35">
      <c r="A89" s="5" t="s">
        <v>90</v>
      </c>
      <c r="B89">
        <v>-1</v>
      </c>
      <c r="C89" s="4"/>
    </row>
    <row r="90" spans="1:3" ht="15" thickBot="1" x14ac:dyDescent="0.35">
      <c r="A90" s="5" t="s">
        <v>91</v>
      </c>
      <c r="B90">
        <v>-1</v>
      </c>
      <c r="C90" s="4"/>
    </row>
    <row r="91" spans="1:3" ht="15" thickBot="1" x14ac:dyDescent="0.35">
      <c r="A91" s="5" t="s">
        <v>92</v>
      </c>
      <c r="B91">
        <v>-1</v>
      </c>
      <c r="C91" s="4"/>
    </row>
    <row r="92" spans="1:3" ht="15" thickBot="1" x14ac:dyDescent="0.35">
      <c r="A92" s="5" t="s">
        <v>93</v>
      </c>
      <c r="B92">
        <v>-1</v>
      </c>
      <c r="C92" s="4"/>
    </row>
    <row r="93" spans="1:3" ht="15" thickBot="1" x14ac:dyDescent="0.35">
      <c r="A93" s="5" t="s">
        <v>94</v>
      </c>
      <c r="B93">
        <v>-1</v>
      </c>
      <c r="C93" s="4"/>
    </row>
    <row r="94" spans="1:3" ht="15" thickBot="1" x14ac:dyDescent="0.35">
      <c r="A94" s="5" t="s">
        <v>95</v>
      </c>
      <c r="B94">
        <v>-1</v>
      </c>
      <c r="C94" s="5" t="s">
        <v>761</v>
      </c>
    </row>
    <row r="95" spans="1:3" ht="15" thickBot="1" x14ac:dyDescent="0.35">
      <c r="A95" s="5" t="s">
        <v>95</v>
      </c>
      <c r="B95">
        <v>-1</v>
      </c>
      <c r="C95" s="5" t="s">
        <v>761</v>
      </c>
    </row>
    <row r="96" spans="1:3" ht="15" thickBot="1" x14ac:dyDescent="0.35">
      <c r="A96" s="5" t="s">
        <v>96</v>
      </c>
      <c r="B96">
        <v>-1</v>
      </c>
      <c r="C96" s="4"/>
    </row>
    <row r="97" spans="1:3" ht="15" thickBot="1" x14ac:dyDescent="0.35">
      <c r="A97" s="5" t="s">
        <v>97</v>
      </c>
      <c r="B97">
        <v>-1</v>
      </c>
      <c r="C97" s="4"/>
    </row>
    <row r="98" spans="1:3" ht="15" thickBot="1" x14ac:dyDescent="0.35">
      <c r="A98" s="5" t="s">
        <v>98</v>
      </c>
      <c r="B98">
        <v>0</v>
      </c>
      <c r="C98" s="5" t="s">
        <v>758</v>
      </c>
    </row>
    <row r="99" spans="1:3" ht="15" thickBot="1" x14ac:dyDescent="0.35">
      <c r="A99" s="5" t="s">
        <v>99</v>
      </c>
      <c r="B99">
        <v>-1</v>
      </c>
      <c r="C99" s="4"/>
    </row>
    <row r="100" spans="1:3" ht="15" thickBot="1" x14ac:dyDescent="0.35">
      <c r="A100" s="5" t="s">
        <v>100</v>
      </c>
      <c r="B100">
        <v>-1</v>
      </c>
      <c r="C100" s="4"/>
    </row>
    <row r="101" spans="1:3" ht="15" thickBot="1" x14ac:dyDescent="0.35">
      <c r="A101" s="5" t="s">
        <v>101</v>
      </c>
      <c r="B101">
        <v>-1</v>
      </c>
      <c r="C101" s="4"/>
    </row>
    <row r="102" spans="1:3" ht="15" thickBot="1" x14ac:dyDescent="0.35">
      <c r="A102" s="5" t="s">
        <v>102</v>
      </c>
      <c r="B102">
        <v>-1</v>
      </c>
      <c r="C102" s="4"/>
    </row>
    <row r="103" spans="1:3" ht="15" thickBot="1" x14ac:dyDescent="0.35">
      <c r="A103" s="5" t="s">
        <v>103</v>
      </c>
      <c r="B103">
        <v>-1</v>
      </c>
      <c r="C103" s="4"/>
    </row>
    <row r="104" spans="1:3" ht="15" thickBot="1" x14ac:dyDescent="0.35">
      <c r="A104" s="5" t="s">
        <v>104</v>
      </c>
      <c r="B104">
        <v>-1</v>
      </c>
      <c r="C104" s="4"/>
    </row>
    <row r="105" spans="1:3" ht="15" thickBot="1" x14ac:dyDescent="0.35">
      <c r="A105" s="5" t="s">
        <v>105</v>
      </c>
      <c r="B105">
        <v>-1</v>
      </c>
      <c r="C105" s="4"/>
    </row>
    <row r="106" spans="1:3" ht="15" thickBot="1" x14ac:dyDescent="0.35">
      <c r="A106" s="5" t="s">
        <v>106</v>
      </c>
      <c r="B106">
        <v>-1</v>
      </c>
      <c r="C106" s="4"/>
    </row>
    <row r="107" spans="1:3" ht="15" thickBot="1" x14ac:dyDescent="0.35">
      <c r="A107" s="5" t="s">
        <v>107</v>
      </c>
      <c r="B107">
        <v>-1</v>
      </c>
      <c r="C107" s="4"/>
    </row>
    <row r="108" spans="1:3" ht="15" thickBot="1" x14ac:dyDescent="0.35">
      <c r="A108" s="5" t="s">
        <v>108</v>
      </c>
      <c r="B108">
        <v>-1</v>
      </c>
      <c r="C108" s="4"/>
    </row>
    <row r="109" spans="1:3" ht="15" thickBot="1" x14ac:dyDescent="0.35">
      <c r="A109" s="5" t="s">
        <v>109</v>
      </c>
      <c r="B109">
        <v>-1</v>
      </c>
      <c r="C109" s="4"/>
    </row>
    <row r="110" spans="1:3" ht="15" thickBot="1" x14ac:dyDescent="0.35">
      <c r="A110" s="5" t="s">
        <v>110</v>
      </c>
      <c r="B110">
        <v>-1</v>
      </c>
      <c r="C110" s="4"/>
    </row>
    <row r="111" spans="1:3" ht="15" thickBot="1" x14ac:dyDescent="0.35">
      <c r="A111" s="5" t="s">
        <v>111</v>
      </c>
      <c r="B111">
        <v>-1</v>
      </c>
      <c r="C111" s="4"/>
    </row>
    <row r="112" spans="1:3" ht="15" thickBot="1" x14ac:dyDescent="0.35">
      <c r="A112" s="5" t="s">
        <v>112</v>
      </c>
      <c r="B112">
        <v>-1</v>
      </c>
      <c r="C112" s="4"/>
    </row>
    <row r="113" spans="1:3" ht="15" thickBot="1" x14ac:dyDescent="0.35">
      <c r="A113" s="5" t="s">
        <v>113</v>
      </c>
      <c r="B113">
        <v>-1</v>
      </c>
      <c r="C113" s="4"/>
    </row>
    <row r="114" spans="1:3" ht="15" thickBot="1" x14ac:dyDescent="0.35">
      <c r="A114" s="5" t="s">
        <v>114</v>
      </c>
      <c r="B114">
        <v>-1</v>
      </c>
      <c r="C114" s="4"/>
    </row>
    <row r="115" spans="1:3" ht="15" thickBot="1" x14ac:dyDescent="0.35">
      <c r="A115" s="5" t="s">
        <v>115</v>
      </c>
      <c r="B115">
        <v>-1</v>
      </c>
      <c r="C115" s="4"/>
    </row>
    <row r="116" spans="1:3" ht="15" thickBot="1" x14ac:dyDescent="0.35">
      <c r="A116" s="5" t="s">
        <v>116</v>
      </c>
      <c r="B116">
        <v>-1</v>
      </c>
      <c r="C116" s="4"/>
    </row>
    <row r="117" spans="1:3" ht="15" thickBot="1" x14ac:dyDescent="0.35">
      <c r="A117" s="5" t="s">
        <v>117</v>
      </c>
      <c r="B117">
        <v>-1</v>
      </c>
      <c r="C117" s="4"/>
    </row>
    <row r="118" spans="1:3" ht="15" thickBot="1" x14ac:dyDescent="0.35">
      <c r="A118" s="5" t="s">
        <v>118</v>
      </c>
      <c r="B118">
        <v>-1</v>
      </c>
      <c r="C118" s="4"/>
    </row>
    <row r="119" spans="1:3" ht="15" thickBot="1" x14ac:dyDescent="0.35">
      <c r="A119" s="5" t="s">
        <v>119</v>
      </c>
      <c r="B119">
        <v>-1</v>
      </c>
      <c r="C119" s="4"/>
    </row>
    <row r="120" spans="1:3" ht="15" thickBot="1" x14ac:dyDescent="0.35">
      <c r="A120" s="5" t="s">
        <v>120</v>
      </c>
      <c r="B120">
        <v>-1</v>
      </c>
      <c r="C120" s="4"/>
    </row>
    <row r="121" spans="1:3" ht="15" thickBot="1" x14ac:dyDescent="0.35">
      <c r="A121" s="5" t="s">
        <v>121</v>
      </c>
      <c r="B121">
        <v>-1</v>
      </c>
      <c r="C121" s="4"/>
    </row>
    <row r="122" spans="1:3" ht="15" thickBot="1" x14ac:dyDescent="0.35">
      <c r="A122" s="5" t="s">
        <v>122</v>
      </c>
      <c r="B122">
        <v>-1</v>
      </c>
      <c r="C122" s="4"/>
    </row>
    <row r="123" spans="1:3" ht="15" thickBot="1" x14ac:dyDescent="0.35">
      <c r="A123" s="5" t="s">
        <v>123</v>
      </c>
      <c r="B123">
        <v>-1</v>
      </c>
      <c r="C123" s="4"/>
    </row>
    <row r="124" spans="1:3" ht="15" thickBot="1" x14ac:dyDescent="0.35">
      <c r="A124" s="5" t="s">
        <v>124</v>
      </c>
      <c r="B124">
        <v>-1</v>
      </c>
      <c r="C124" s="4"/>
    </row>
    <row r="125" spans="1:3" ht="15" thickBot="1" x14ac:dyDescent="0.35">
      <c r="A125" s="5" t="s">
        <v>125</v>
      </c>
      <c r="B125">
        <v>-1</v>
      </c>
      <c r="C125" s="4"/>
    </row>
    <row r="126" spans="1:3" ht="15" thickBot="1" x14ac:dyDescent="0.35">
      <c r="A126" s="5" t="s">
        <v>126</v>
      </c>
      <c r="B126">
        <v>-1</v>
      </c>
      <c r="C126" s="4"/>
    </row>
    <row r="127" spans="1:3" ht="15" thickBot="1" x14ac:dyDescent="0.35">
      <c r="A127" s="5" t="s">
        <v>127</v>
      </c>
      <c r="B127">
        <v>-1</v>
      </c>
      <c r="C127" s="4"/>
    </row>
    <row r="128" spans="1:3" ht="15" thickBot="1" x14ac:dyDescent="0.35">
      <c r="A128" s="5" t="s">
        <v>128</v>
      </c>
      <c r="B128">
        <v>-1</v>
      </c>
      <c r="C128" s="4"/>
    </row>
    <row r="129" spans="1:3" ht="15" thickBot="1" x14ac:dyDescent="0.35">
      <c r="A129" s="5" t="s">
        <v>129</v>
      </c>
      <c r="B129">
        <v>-1</v>
      </c>
      <c r="C129" s="4"/>
    </row>
    <row r="130" spans="1:3" ht="15" thickBot="1" x14ac:dyDescent="0.35">
      <c r="A130" s="5" t="s">
        <v>130</v>
      </c>
      <c r="B130">
        <v>-1</v>
      </c>
      <c r="C130" s="5" t="s">
        <v>761</v>
      </c>
    </row>
    <row r="131" spans="1:3" ht="15" thickBot="1" x14ac:dyDescent="0.35">
      <c r="A131" s="5" t="s">
        <v>131</v>
      </c>
      <c r="B131">
        <v>-1</v>
      </c>
      <c r="C131" s="4"/>
    </row>
    <row r="132" spans="1:3" ht="15" thickBot="1" x14ac:dyDescent="0.35">
      <c r="A132" s="5" t="s">
        <v>132</v>
      </c>
      <c r="B132">
        <v>-1</v>
      </c>
      <c r="C132" s="4"/>
    </row>
    <row r="133" spans="1:3" ht="15" thickBot="1" x14ac:dyDescent="0.35">
      <c r="A133" s="5" t="s">
        <v>133</v>
      </c>
      <c r="B133">
        <v>-1</v>
      </c>
      <c r="C133" s="4"/>
    </row>
    <row r="134" spans="1:3" ht="15" thickBot="1" x14ac:dyDescent="0.35">
      <c r="A134" s="5" t="s">
        <v>134</v>
      </c>
      <c r="B134">
        <v>-1</v>
      </c>
      <c r="C134" s="4"/>
    </row>
    <row r="135" spans="1:3" ht="15" thickBot="1" x14ac:dyDescent="0.35">
      <c r="A135" s="5" t="s">
        <v>135</v>
      </c>
      <c r="B135">
        <v>-1</v>
      </c>
      <c r="C135" s="4"/>
    </row>
    <row r="136" spans="1:3" ht="15" thickBot="1" x14ac:dyDescent="0.35">
      <c r="A136" s="5" t="s">
        <v>136</v>
      </c>
      <c r="B136">
        <v>-1</v>
      </c>
      <c r="C136" s="4"/>
    </row>
    <row r="137" spans="1:3" ht="15" thickBot="1" x14ac:dyDescent="0.35">
      <c r="A137" s="5" t="s">
        <v>137</v>
      </c>
      <c r="B137">
        <v>-1</v>
      </c>
      <c r="C137" s="4"/>
    </row>
    <row r="138" spans="1:3" ht="15" thickBot="1" x14ac:dyDescent="0.35">
      <c r="A138" s="5" t="s">
        <v>138</v>
      </c>
      <c r="B138">
        <v>-1</v>
      </c>
      <c r="C138" s="4"/>
    </row>
    <row r="139" spans="1:3" ht="15" thickBot="1" x14ac:dyDescent="0.35">
      <c r="A139" s="5" t="s">
        <v>139</v>
      </c>
      <c r="B139">
        <v>-1</v>
      </c>
      <c r="C139" s="4"/>
    </row>
    <row r="140" spans="1:3" ht="15" thickBot="1" x14ac:dyDescent="0.35">
      <c r="A140" s="5" t="s">
        <v>140</v>
      </c>
      <c r="B140">
        <v>-1</v>
      </c>
      <c r="C140" s="4"/>
    </row>
    <row r="141" spans="1:3" ht="15" thickBot="1" x14ac:dyDescent="0.35">
      <c r="A141" s="5" t="s">
        <v>141</v>
      </c>
      <c r="B141">
        <v>-1</v>
      </c>
      <c r="C141" s="4"/>
    </row>
    <row r="142" spans="1:3" ht="15" thickBot="1" x14ac:dyDescent="0.35">
      <c r="A142" s="5" t="s">
        <v>142</v>
      </c>
      <c r="B142">
        <v>-1</v>
      </c>
      <c r="C142" s="4"/>
    </row>
    <row r="143" spans="1:3" ht="15" thickBot="1" x14ac:dyDescent="0.35">
      <c r="A143" s="5" t="s">
        <v>143</v>
      </c>
      <c r="B143">
        <v>0</v>
      </c>
      <c r="C143" s="5" t="s">
        <v>758</v>
      </c>
    </row>
    <row r="144" spans="1:3" ht="15" thickBot="1" x14ac:dyDescent="0.35">
      <c r="A144" s="5" t="s">
        <v>143</v>
      </c>
      <c r="B144">
        <v>0</v>
      </c>
      <c r="C144" s="5" t="s">
        <v>758</v>
      </c>
    </row>
    <row r="145" spans="1:3" ht="15" thickBot="1" x14ac:dyDescent="0.35">
      <c r="A145" s="5" t="s">
        <v>144</v>
      </c>
      <c r="B145">
        <v>-1</v>
      </c>
      <c r="C145" s="4"/>
    </row>
    <row r="146" spans="1:3" ht="15" thickBot="1" x14ac:dyDescent="0.35">
      <c r="A146" s="5" t="s">
        <v>145</v>
      </c>
      <c r="B146">
        <v>-1</v>
      </c>
      <c r="C146" s="4"/>
    </row>
    <row r="147" spans="1:3" ht="15" thickBot="1" x14ac:dyDescent="0.35">
      <c r="A147" s="5" t="s">
        <v>146</v>
      </c>
      <c r="B147">
        <v>-1</v>
      </c>
      <c r="C147" s="4"/>
    </row>
    <row r="148" spans="1:3" ht="15" thickBot="1" x14ac:dyDescent="0.35">
      <c r="A148" s="5" t="s">
        <v>147</v>
      </c>
      <c r="B148">
        <v>-1</v>
      </c>
      <c r="C148" s="4"/>
    </row>
    <row r="149" spans="1:3" ht="15" thickBot="1" x14ac:dyDescent="0.35">
      <c r="A149" s="5" t="s">
        <v>148</v>
      </c>
      <c r="B149">
        <v>-1</v>
      </c>
      <c r="C149" s="4"/>
    </row>
    <row r="150" spans="1:3" ht="15" thickBot="1" x14ac:dyDescent="0.35">
      <c r="A150" s="5" t="s">
        <v>149</v>
      </c>
      <c r="B150">
        <v>-1</v>
      </c>
      <c r="C150" s="5" t="s">
        <v>761</v>
      </c>
    </row>
    <row r="151" spans="1:3" ht="15" thickBot="1" x14ac:dyDescent="0.35">
      <c r="A151" s="5" t="s">
        <v>150</v>
      </c>
      <c r="B151">
        <v>0</v>
      </c>
      <c r="C151" s="5" t="s">
        <v>758</v>
      </c>
    </row>
    <row r="152" spans="1:3" ht="15" thickBot="1" x14ac:dyDescent="0.35">
      <c r="A152" s="5" t="s">
        <v>150</v>
      </c>
      <c r="B152">
        <v>0</v>
      </c>
      <c r="C152" s="5" t="s">
        <v>758</v>
      </c>
    </row>
    <row r="153" spans="1:3" ht="15" thickBot="1" x14ac:dyDescent="0.35">
      <c r="A153" s="5" t="s">
        <v>151</v>
      </c>
      <c r="B153">
        <v>-1</v>
      </c>
      <c r="C153" s="4"/>
    </row>
    <row r="154" spans="1:3" ht="15" thickBot="1" x14ac:dyDescent="0.35">
      <c r="A154" s="5" t="s">
        <v>152</v>
      </c>
      <c r="B154">
        <v>-1</v>
      </c>
      <c r="C154" s="4"/>
    </row>
    <row r="155" spans="1:3" ht="15" thickBot="1" x14ac:dyDescent="0.35">
      <c r="A155" s="5" t="s">
        <v>153</v>
      </c>
      <c r="B155">
        <v>-1</v>
      </c>
      <c r="C155" s="4"/>
    </row>
    <row r="156" spans="1:3" ht="15" thickBot="1" x14ac:dyDescent="0.35">
      <c r="A156" s="5" t="s">
        <v>154</v>
      </c>
      <c r="B156">
        <v>-1</v>
      </c>
      <c r="C156" s="4"/>
    </row>
    <row r="157" spans="1:3" ht="15" thickBot="1" x14ac:dyDescent="0.35">
      <c r="A157" s="5" t="s">
        <v>155</v>
      </c>
      <c r="B157">
        <v>-1</v>
      </c>
      <c r="C157" s="4"/>
    </row>
    <row r="158" spans="1:3" ht="15" thickBot="1" x14ac:dyDescent="0.35">
      <c r="A158" s="5" t="s">
        <v>156</v>
      </c>
      <c r="B158">
        <v>-1</v>
      </c>
      <c r="C158" s="4"/>
    </row>
    <row r="159" spans="1:3" ht="15" thickBot="1" x14ac:dyDescent="0.35">
      <c r="A159" s="5" t="s">
        <v>157</v>
      </c>
      <c r="B159">
        <v>-1</v>
      </c>
      <c r="C159" s="4"/>
    </row>
    <row r="160" spans="1:3" ht="15" thickBot="1" x14ac:dyDescent="0.35">
      <c r="A160" s="5" t="s">
        <v>158</v>
      </c>
      <c r="B160">
        <v>-1</v>
      </c>
      <c r="C160" s="4"/>
    </row>
    <row r="161" spans="1:3" ht="15" thickBot="1" x14ac:dyDescent="0.35">
      <c r="A161" s="5" t="s">
        <v>159</v>
      </c>
      <c r="B161">
        <v>-1</v>
      </c>
      <c r="C161" s="4"/>
    </row>
    <row r="162" spans="1:3" ht="15" thickBot="1" x14ac:dyDescent="0.35">
      <c r="A162" s="5" t="s">
        <v>160</v>
      </c>
      <c r="B162">
        <v>-1</v>
      </c>
      <c r="C162" s="4"/>
    </row>
    <row r="163" spans="1:3" ht="15" thickBot="1" x14ac:dyDescent="0.35">
      <c r="A163" s="5" t="s">
        <v>161</v>
      </c>
      <c r="B163">
        <v>-1</v>
      </c>
      <c r="C163" s="4"/>
    </row>
    <row r="164" spans="1:3" ht="15" thickBot="1" x14ac:dyDescent="0.35">
      <c r="A164" s="5" t="s">
        <v>162</v>
      </c>
      <c r="B164">
        <v>-1</v>
      </c>
      <c r="C164" s="4"/>
    </row>
    <row r="165" spans="1:3" ht="15" thickBot="1" x14ac:dyDescent="0.35">
      <c r="A165" s="5" t="s">
        <v>163</v>
      </c>
      <c r="B165">
        <v>-1</v>
      </c>
      <c r="C165" s="4"/>
    </row>
    <row r="166" spans="1:3" ht="15" thickBot="1" x14ac:dyDescent="0.35">
      <c r="A166" s="5" t="s">
        <v>164</v>
      </c>
      <c r="B166">
        <v>-1</v>
      </c>
      <c r="C166" s="4"/>
    </row>
    <row r="167" spans="1:3" ht="15" thickBot="1" x14ac:dyDescent="0.35">
      <c r="A167" s="5" t="s">
        <v>165</v>
      </c>
      <c r="B167">
        <v>-1</v>
      </c>
      <c r="C167" s="4"/>
    </row>
    <row r="168" spans="1:3" ht="15" thickBot="1" x14ac:dyDescent="0.35">
      <c r="A168" s="5" t="s">
        <v>166</v>
      </c>
      <c r="B168">
        <v>-1</v>
      </c>
      <c r="C168" s="4"/>
    </row>
    <row r="169" spans="1:3" ht="15" thickBot="1" x14ac:dyDescent="0.35">
      <c r="A169" s="5" t="s">
        <v>167</v>
      </c>
      <c r="B169">
        <v>-1</v>
      </c>
      <c r="C169" s="4"/>
    </row>
    <row r="170" spans="1:3" ht="15" thickBot="1" x14ac:dyDescent="0.35">
      <c r="A170" s="5" t="s">
        <v>168</v>
      </c>
      <c r="B170">
        <v>-1</v>
      </c>
      <c r="C170" s="4"/>
    </row>
    <row r="171" spans="1:3" ht="15" thickBot="1" x14ac:dyDescent="0.35">
      <c r="A171" s="5" t="s">
        <v>169</v>
      </c>
      <c r="B171">
        <v>1</v>
      </c>
      <c r="C171" s="5" t="s">
        <v>762</v>
      </c>
    </row>
    <row r="172" spans="1:3" ht="15" thickBot="1" x14ac:dyDescent="0.35">
      <c r="A172" s="5" t="s">
        <v>170</v>
      </c>
      <c r="B172">
        <v>-1</v>
      </c>
      <c r="C172" s="4"/>
    </row>
    <row r="173" spans="1:3" ht="15" thickBot="1" x14ac:dyDescent="0.35">
      <c r="A173" s="5" t="s">
        <v>171</v>
      </c>
      <c r="B173">
        <v>-1</v>
      </c>
      <c r="C173" s="4"/>
    </row>
    <row r="174" spans="1:3" ht="15" thickBot="1" x14ac:dyDescent="0.35">
      <c r="A174" s="5" t="s">
        <v>172</v>
      </c>
      <c r="B174">
        <v>-1</v>
      </c>
      <c r="C174" s="4"/>
    </row>
    <row r="175" spans="1:3" ht="15" thickBot="1" x14ac:dyDescent="0.35">
      <c r="A175" s="5" t="s">
        <v>173</v>
      </c>
      <c r="B175">
        <v>-1</v>
      </c>
      <c r="C175" s="4"/>
    </row>
    <row r="176" spans="1:3" ht="15" thickBot="1" x14ac:dyDescent="0.35">
      <c r="A176" s="5" t="s">
        <v>174</v>
      </c>
      <c r="B176">
        <v>-1</v>
      </c>
      <c r="C176" s="4"/>
    </row>
    <row r="177" spans="1:3" ht="15" thickBot="1" x14ac:dyDescent="0.35">
      <c r="A177" s="5" t="s">
        <v>175</v>
      </c>
      <c r="B177">
        <v>-1</v>
      </c>
      <c r="C177" s="4"/>
    </row>
    <row r="178" spans="1:3" ht="15" thickBot="1" x14ac:dyDescent="0.35">
      <c r="A178" s="5" t="s">
        <v>176</v>
      </c>
      <c r="B178">
        <v>-1</v>
      </c>
      <c r="C178" s="4"/>
    </row>
    <row r="179" spans="1:3" ht="15" thickBot="1" x14ac:dyDescent="0.35">
      <c r="A179" s="5" t="s">
        <v>177</v>
      </c>
      <c r="B179">
        <v>-1</v>
      </c>
      <c r="C179" s="4"/>
    </row>
    <row r="180" spans="1:3" ht="15" thickBot="1" x14ac:dyDescent="0.35">
      <c r="A180" s="5" t="s">
        <v>178</v>
      </c>
      <c r="B180">
        <v>-1</v>
      </c>
      <c r="C180" s="4"/>
    </row>
    <row r="181" spans="1:3" ht="15" thickBot="1" x14ac:dyDescent="0.35">
      <c r="A181" s="5" t="s">
        <v>179</v>
      </c>
      <c r="B181">
        <v>-1</v>
      </c>
      <c r="C181" s="4"/>
    </row>
    <row r="182" spans="1:3" ht="15" thickBot="1" x14ac:dyDescent="0.35">
      <c r="A182" s="5" t="s">
        <v>180</v>
      </c>
      <c r="B182">
        <v>-1</v>
      </c>
      <c r="C182" s="4"/>
    </row>
    <row r="183" spans="1:3" ht="15" thickBot="1" x14ac:dyDescent="0.35">
      <c r="A183" s="5" t="s">
        <v>181</v>
      </c>
      <c r="B183">
        <v>-1</v>
      </c>
      <c r="C183" s="4"/>
    </row>
    <row r="184" spans="1:3" ht="15" thickBot="1" x14ac:dyDescent="0.35">
      <c r="A184" s="5" t="s">
        <v>182</v>
      </c>
      <c r="B184">
        <v>1</v>
      </c>
      <c r="C184" s="5" t="s">
        <v>763</v>
      </c>
    </row>
    <row r="185" spans="1:3" ht="15" thickBot="1" x14ac:dyDescent="0.35">
      <c r="A185" s="5" t="s">
        <v>182</v>
      </c>
      <c r="B185">
        <v>1</v>
      </c>
      <c r="C185" s="5" t="s">
        <v>763</v>
      </c>
    </row>
    <row r="186" spans="1:3" ht="15" thickBot="1" x14ac:dyDescent="0.35">
      <c r="A186" s="5" t="s">
        <v>183</v>
      </c>
      <c r="B186">
        <v>-1</v>
      </c>
      <c r="C186" s="4"/>
    </row>
    <row r="187" spans="1:3" ht="15" thickBot="1" x14ac:dyDescent="0.35">
      <c r="A187" s="5" t="s">
        <v>184</v>
      </c>
      <c r="B187">
        <v>-1</v>
      </c>
      <c r="C187" s="4"/>
    </row>
    <row r="188" spans="1:3" ht="15" thickBot="1" x14ac:dyDescent="0.35">
      <c r="A188" s="5" t="s">
        <v>185</v>
      </c>
      <c r="B188">
        <v>-1</v>
      </c>
      <c r="C188" s="4"/>
    </row>
    <row r="189" spans="1:3" ht="15" thickBot="1" x14ac:dyDescent="0.35">
      <c r="A189" s="5" t="s">
        <v>186</v>
      </c>
      <c r="B189">
        <v>-1</v>
      </c>
      <c r="C189" s="4"/>
    </row>
    <row r="190" spans="1:3" ht="15" thickBot="1" x14ac:dyDescent="0.35">
      <c r="A190" s="5" t="s">
        <v>187</v>
      </c>
      <c r="B190">
        <v>-1</v>
      </c>
      <c r="C190" s="4"/>
    </row>
    <row r="191" spans="1:3" ht="15" thickBot="1" x14ac:dyDescent="0.35">
      <c r="A191" s="5" t="s">
        <v>188</v>
      </c>
      <c r="B191">
        <v>-1</v>
      </c>
      <c r="C191" s="4"/>
    </row>
    <row r="192" spans="1:3" ht="15" thickBot="1" x14ac:dyDescent="0.35">
      <c r="A192" s="5" t="s">
        <v>189</v>
      </c>
      <c r="B192">
        <v>-1</v>
      </c>
      <c r="C192" s="5" t="s">
        <v>761</v>
      </c>
    </row>
    <row r="193" spans="1:3" ht="15" thickBot="1" x14ac:dyDescent="0.35">
      <c r="A193" s="5" t="s">
        <v>189</v>
      </c>
      <c r="B193">
        <v>-1</v>
      </c>
      <c r="C193" s="5" t="s">
        <v>761</v>
      </c>
    </row>
    <row r="194" spans="1:3" ht="15" thickBot="1" x14ac:dyDescent="0.35">
      <c r="A194" s="5" t="s">
        <v>190</v>
      </c>
      <c r="B194">
        <v>-1</v>
      </c>
      <c r="C194" s="4"/>
    </row>
    <row r="195" spans="1:3" ht="15" thickBot="1" x14ac:dyDescent="0.35">
      <c r="A195" s="5" t="s">
        <v>191</v>
      </c>
      <c r="B195">
        <v>-1</v>
      </c>
      <c r="C195" s="4"/>
    </row>
    <row r="196" spans="1:3" ht="15" thickBot="1" x14ac:dyDescent="0.35">
      <c r="A196" s="5" t="s">
        <v>192</v>
      </c>
      <c r="B196">
        <v>-1</v>
      </c>
      <c r="C196" s="4"/>
    </row>
    <row r="197" spans="1:3" ht="15" thickBot="1" x14ac:dyDescent="0.35">
      <c r="A197" s="5" t="s">
        <v>193</v>
      </c>
      <c r="B197">
        <v>-1</v>
      </c>
      <c r="C197" s="4"/>
    </row>
    <row r="198" spans="1:3" ht="15" thickBot="1" x14ac:dyDescent="0.35">
      <c r="A198" s="5" t="s">
        <v>194</v>
      </c>
      <c r="B198">
        <v>-1</v>
      </c>
      <c r="C198" s="4"/>
    </row>
    <row r="199" spans="1:3" ht="15" thickBot="1" x14ac:dyDescent="0.35">
      <c r="A199" s="5" t="s">
        <v>195</v>
      </c>
      <c r="B199">
        <v>-1</v>
      </c>
      <c r="C199" s="4"/>
    </row>
    <row r="200" spans="1:3" ht="15" thickBot="1" x14ac:dyDescent="0.35">
      <c r="A200" s="5" t="s">
        <v>196</v>
      </c>
      <c r="B200">
        <v>-1</v>
      </c>
      <c r="C200" s="4"/>
    </row>
    <row r="201" spans="1:3" ht="15" thickBot="1" x14ac:dyDescent="0.35">
      <c r="A201" s="5" t="s">
        <v>197</v>
      </c>
      <c r="B201">
        <v>-1</v>
      </c>
      <c r="C201" s="4"/>
    </row>
    <row r="202" spans="1:3" ht="15" thickBot="1" x14ac:dyDescent="0.35">
      <c r="A202" s="5" t="s">
        <v>198</v>
      </c>
      <c r="B202">
        <v>-1</v>
      </c>
      <c r="C202" s="4"/>
    </row>
    <row r="203" spans="1:3" ht="15" thickBot="1" x14ac:dyDescent="0.35">
      <c r="A203" s="5" t="s">
        <v>199</v>
      </c>
      <c r="B203">
        <v>-1</v>
      </c>
      <c r="C203" s="4"/>
    </row>
    <row r="204" spans="1:3" ht="15" thickBot="1" x14ac:dyDescent="0.35">
      <c r="A204" s="5" t="s">
        <v>200</v>
      </c>
      <c r="B204">
        <v>-1</v>
      </c>
      <c r="C204" s="4"/>
    </row>
    <row r="205" spans="1:3" ht="15" thickBot="1" x14ac:dyDescent="0.35">
      <c r="A205" s="5" t="s">
        <v>201</v>
      </c>
      <c r="B205">
        <v>-1</v>
      </c>
      <c r="C205" s="4"/>
    </row>
    <row r="206" spans="1:3" ht="15" thickBot="1" x14ac:dyDescent="0.35">
      <c r="A206" s="5" t="s">
        <v>202</v>
      </c>
      <c r="B206">
        <v>-1</v>
      </c>
      <c r="C206" s="4"/>
    </row>
    <row r="207" spans="1:3" ht="15" thickBot="1" x14ac:dyDescent="0.35">
      <c r="A207" s="5" t="s">
        <v>203</v>
      </c>
      <c r="B207">
        <v>-1</v>
      </c>
      <c r="C207" s="4"/>
    </row>
    <row r="208" spans="1:3" ht="15" thickBot="1" x14ac:dyDescent="0.35">
      <c r="A208" s="5" t="s">
        <v>204</v>
      </c>
      <c r="B208">
        <v>-1</v>
      </c>
      <c r="C208" s="4"/>
    </row>
    <row r="209" spans="1:3" ht="15" thickBot="1" x14ac:dyDescent="0.35">
      <c r="A209" s="5" t="s">
        <v>205</v>
      </c>
      <c r="B209">
        <v>-1</v>
      </c>
      <c r="C209" s="5" t="s">
        <v>761</v>
      </c>
    </row>
    <row r="210" spans="1:3" ht="15" thickBot="1" x14ac:dyDescent="0.35">
      <c r="A210" s="5" t="s">
        <v>205</v>
      </c>
      <c r="B210">
        <v>-1</v>
      </c>
      <c r="C210" s="5" t="s">
        <v>761</v>
      </c>
    </row>
    <row r="211" spans="1:3" ht="15" thickBot="1" x14ac:dyDescent="0.35">
      <c r="A211" s="5" t="s">
        <v>206</v>
      </c>
      <c r="B211">
        <v>-1</v>
      </c>
      <c r="C211" s="4"/>
    </row>
    <row r="212" spans="1:3" ht="15" thickBot="1" x14ac:dyDescent="0.35">
      <c r="A212" s="5" t="s">
        <v>207</v>
      </c>
      <c r="B212">
        <v>-1</v>
      </c>
      <c r="C212" s="4"/>
    </row>
    <row r="213" spans="1:3" ht="15" thickBot="1" x14ac:dyDescent="0.35">
      <c r="A213" s="5" t="s">
        <v>208</v>
      </c>
      <c r="B213">
        <v>-1</v>
      </c>
      <c r="C213" s="4"/>
    </row>
    <row r="214" spans="1:3" ht="15" thickBot="1" x14ac:dyDescent="0.35">
      <c r="A214" s="5" t="s">
        <v>209</v>
      </c>
      <c r="B214">
        <v>-1</v>
      </c>
      <c r="C214" s="4"/>
    </row>
    <row r="215" spans="1:3" ht="15" thickBot="1" x14ac:dyDescent="0.35">
      <c r="A215" s="5" t="s">
        <v>210</v>
      </c>
      <c r="B215">
        <v>-1</v>
      </c>
      <c r="C215" s="5" t="s">
        <v>761</v>
      </c>
    </row>
    <row r="216" spans="1:3" ht="15" thickBot="1" x14ac:dyDescent="0.35">
      <c r="A216" s="5" t="s">
        <v>210</v>
      </c>
      <c r="B216">
        <v>-1</v>
      </c>
      <c r="C216" s="5" t="s">
        <v>761</v>
      </c>
    </row>
    <row r="217" spans="1:3" ht="15" thickBot="1" x14ac:dyDescent="0.35">
      <c r="A217" s="5" t="s">
        <v>211</v>
      </c>
      <c r="B217">
        <v>-1</v>
      </c>
      <c r="C217" s="4"/>
    </row>
    <row r="218" spans="1:3" ht="15" thickBot="1" x14ac:dyDescent="0.35">
      <c r="A218" s="5" t="s">
        <v>212</v>
      </c>
      <c r="B218">
        <v>-1</v>
      </c>
      <c r="C218" s="4"/>
    </row>
    <row r="219" spans="1:3" ht="15" thickBot="1" x14ac:dyDescent="0.35">
      <c r="A219" s="5" t="s">
        <v>213</v>
      </c>
      <c r="B219">
        <v>-1</v>
      </c>
      <c r="C219" s="4"/>
    </row>
    <row r="220" spans="1:3" ht="15" thickBot="1" x14ac:dyDescent="0.35">
      <c r="A220" s="5" t="s">
        <v>214</v>
      </c>
      <c r="B220">
        <v>-1</v>
      </c>
      <c r="C220" s="5" t="s">
        <v>761</v>
      </c>
    </row>
    <row r="221" spans="1:3" ht="15" thickBot="1" x14ac:dyDescent="0.35">
      <c r="A221" s="5" t="s">
        <v>215</v>
      </c>
      <c r="B221">
        <v>-1</v>
      </c>
      <c r="C221" s="4"/>
    </row>
    <row r="222" spans="1:3" ht="15" thickBot="1" x14ac:dyDescent="0.35">
      <c r="A222" s="5" t="s">
        <v>216</v>
      </c>
      <c r="B222">
        <v>-1</v>
      </c>
      <c r="C222" s="4"/>
    </row>
    <row r="223" spans="1:3" ht="15" thickBot="1" x14ac:dyDescent="0.35">
      <c r="A223" s="5" t="s">
        <v>217</v>
      </c>
      <c r="B223">
        <v>-1</v>
      </c>
      <c r="C223" s="4"/>
    </row>
    <row r="224" spans="1:3" ht="15" thickBot="1" x14ac:dyDescent="0.35">
      <c r="A224" s="5" t="s">
        <v>218</v>
      </c>
      <c r="B224">
        <v>-1</v>
      </c>
      <c r="C224" s="4"/>
    </row>
    <row r="225" spans="1:3" ht="15" thickBot="1" x14ac:dyDescent="0.35">
      <c r="A225" s="5" t="s">
        <v>219</v>
      </c>
      <c r="B225">
        <v>1</v>
      </c>
      <c r="C225" s="5" t="s">
        <v>764</v>
      </c>
    </row>
    <row r="226" spans="1:3" ht="15" thickBot="1" x14ac:dyDescent="0.35">
      <c r="A226" s="5" t="s">
        <v>219</v>
      </c>
      <c r="B226">
        <v>1</v>
      </c>
      <c r="C226" s="5" t="s">
        <v>764</v>
      </c>
    </row>
    <row r="227" spans="1:3" ht="15" thickBot="1" x14ac:dyDescent="0.35">
      <c r="A227" s="5" t="s">
        <v>220</v>
      </c>
      <c r="B227">
        <v>-1</v>
      </c>
      <c r="C227" s="4"/>
    </row>
    <row r="228" spans="1:3" ht="15" thickBot="1" x14ac:dyDescent="0.35">
      <c r="A228" s="5" t="s">
        <v>221</v>
      </c>
      <c r="B228">
        <v>-1</v>
      </c>
      <c r="C228" s="5" t="s">
        <v>761</v>
      </c>
    </row>
    <row r="229" spans="1:3" ht="15" thickBot="1" x14ac:dyDescent="0.35">
      <c r="A229" s="5" t="s">
        <v>221</v>
      </c>
      <c r="B229">
        <v>-1</v>
      </c>
      <c r="C229" s="5" t="s">
        <v>761</v>
      </c>
    </row>
    <row r="230" spans="1:3" ht="15" thickBot="1" x14ac:dyDescent="0.35">
      <c r="A230" s="5" t="s">
        <v>222</v>
      </c>
      <c r="B230">
        <v>-1</v>
      </c>
      <c r="C230" s="4"/>
    </row>
    <row r="231" spans="1:3" ht="15" thickBot="1" x14ac:dyDescent="0.35">
      <c r="A231" s="5" t="s">
        <v>223</v>
      </c>
      <c r="B231">
        <v>-1</v>
      </c>
      <c r="C231" s="4"/>
    </row>
    <row r="232" spans="1:3" ht="15" thickBot="1" x14ac:dyDescent="0.35">
      <c r="A232" s="5" t="s">
        <v>224</v>
      </c>
      <c r="B232">
        <v>-1</v>
      </c>
      <c r="C232" s="4"/>
    </row>
    <row r="233" spans="1:3" ht="15" thickBot="1" x14ac:dyDescent="0.35">
      <c r="A233" s="5" t="s">
        <v>225</v>
      </c>
      <c r="B233">
        <v>-1</v>
      </c>
      <c r="C233" s="4"/>
    </row>
    <row r="234" spans="1:3" ht="15" thickBot="1" x14ac:dyDescent="0.35">
      <c r="A234" s="5" t="s">
        <v>226</v>
      </c>
      <c r="B234">
        <v>-1</v>
      </c>
      <c r="C234" s="4"/>
    </row>
    <row r="235" spans="1:3" ht="15" thickBot="1" x14ac:dyDescent="0.35">
      <c r="A235" s="5" t="s">
        <v>227</v>
      </c>
      <c r="B235">
        <v>-1</v>
      </c>
      <c r="C235" s="4"/>
    </row>
    <row r="236" spans="1:3" ht="15" thickBot="1" x14ac:dyDescent="0.35">
      <c r="A236" s="5" t="s">
        <v>228</v>
      </c>
      <c r="B236">
        <v>-1</v>
      </c>
      <c r="C236" s="5" t="s">
        <v>760</v>
      </c>
    </row>
    <row r="237" spans="1:3" ht="15" thickBot="1" x14ac:dyDescent="0.35">
      <c r="A237" s="5" t="s">
        <v>229</v>
      </c>
      <c r="B237">
        <v>-1</v>
      </c>
      <c r="C237" s="4"/>
    </row>
    <row r="238" spans="1:3" ht="15" thickBot="1" x14ac:dyDescent="0.35">
      <c r="A238" s="5" t="s">
        <v>230</v>
      </c>
      <c r="B238">
        <v>-1</v>
      </c>
      <c r="C238" s="4"/>
    </row>
    <row r="239" spans="1:3" ht="15" thickBot="1" x14ac:dyDescent="0.35">
      <c r="A239" s="5" t="s">
        <v>231</v>
      </c>
      <c r="B239">
        <v>-1</v>
      </c>
      <c r="C239" s="4"/>
    </row>
    <row r="240" spans="1:3" ht="15" thickBot="1" x14ac:dyDescent="0.35">
      <c r="A240" s="5" t="s">
        <v>232</v>
      </c>
      <c r="B240">
        <v>-1</v>
      </c>
      <c r="C240" s="4"/>
    </row>
    <row r="241" spans="1:3" ht="15" thickBot="1" x14ac:dyDescent="0.35">
      <c r="A241" s="5" t="s">
        <v>233</v>
      </c>
      <c r="B241">
        <v>-1</v>
      </c>
      <c r="C241" s="4"/>
    </row>
    <row r="242" spans="1:3" ht="15" thickBot="1" x14ac:dyDescent="0.35">
      <c r="A242" s="5" t="s">
        <v>234</v>
      </c>
      <c r="B242">
        <v>-1</v>
      </c>
      <c r="C242" s="5" t="s">
        <v>760</v>
      </c>
    </row>
    <row r="243" spans="1:3" ht="15" thickBot="1" x14ac:dyDescent="0.35">
      <c r="A243" s="5" t="s">
        <v>235</v>
      </c>
      <c r="B243">
        <v>-1</v>
      </c>
      <c r="C243" s="5" t="s">
        <v>761</v>
      </c>
    </row>
    <row r="244" spans="1:3" ht="15" thickBot="1" x14ac:dyDescent="0.35">
      <c r="A244" s="5" t="s">
        <v>235</v>
      </c>
      <c r="B244">
        <v>-1</v>
      </c>
      <c r="C244" s="5" t="s">
        <v>761</v>
      </c>
    </row>
    <row r="245" spans="1:3" ht="15" thickBot="1" x14ac:dyDescent="0.35">
      <c r="A245" s="5" t="s">
        <v>236</v>
      </c>
      <c r="B245">
        <v>-1</v>
      </c>
      <c r="C245" s="4"/>
    </row>
    <row r="246" spans="1:3" ht="15" thickBot="1" x14ac:dyDescent="0.35">
      <c r="A246" s="5" t="s">
        <v>237</v>
      </c>
      <c r="B246">
        <v>-1</v>
      </c>
      <c r="C246" s="4"/>
    </row>
    <row r="247" spans="1:3" ht="15" thickBot="1" x14ac:dyDescent="0.35">
      <c r="A247" s="5" t="s">
        <v>238</v>
      </c>
      <c r="B247">
        <v>-1</v>
      </c>
      <c r="C247" s="4"/>
    </row>
    <row r="248" spans="1:3" ht="15" thickBot="1" x14ac:dyDescent="0.35">
      <c r="A248" s="5" t="s">
        <v>239</v>
      </c>
      <c r="B248">
        <v>-1</v>
      </c>
      <c r="C248" s="4"/>
    </row>
    <row r="249" spans="1:3" ht="15" thickBot="1" x14ac:dyDescent="0.35">
      <c r="A249" s="5" t="s">
        <v>240</v>
      </c>
      <c r="B249">
        <v>-1</v>
      </c>
      <c r="C249" s="4"/>
    </row>
    <row r="250" spans="1:3" ht="15" thickBot="1" x14ac:dyDescent="0.35">
      <c r="A250" s="5" t="s">
        <v>241</v>
      </c>
      <c r="B250">
        <v>-1</v>
      </c>
      <c r="C250" s="4"/>
    </row>
    <row r="251" spans="1:3" ht="15" thickBot="1" x14ac:dyDescent="0.35">
      <c r="A251" s="5" t="s">
        <v>242</v>
      </c>
      <c r="B251">
        <v>-1</v>
      </c>
      <c r="C251" s="4"/>
    </row>
    <row r="252" spans="1:3" ht="15" thickBot="1" x14ac:dyDescent="0.35">
      <c r="A252" s="5" t="s">
        <v>243</v>
      </c>
      <c r="B252">
        <v>-1</v>
      </c>
      <c r="C252" s="4"/>
    </row>
    <row r="253" spans="1:3" ht="15" thickBot="1" x14ac:dyDescent="0.35">
      <c r="A253" s="5" t="s">
        <v>244</v>
      </c>
      <c r="B253">
        <v>-1</v>
      </c>
      <c r="C253" s="4"/>
    </row>
    <row r="254" spans="1:3" ht="15" thickBot="1" x14ac:dyDescent="0.35">
      <c r="A254" s="5" t="s">
        <v>245</v>
      </c>
      <c r="B254">
        <v>-1</v>
      </c>
      <c r="C254" s="4"/>
    </row>
    <row r="255" spans="1:3" ht="15" thickBot="1" x14ac:dyDescent="0.35">
      <c r="A255" s="5" t="s">
        <v>246</v>
      </c>
      <c r="B255">
        <v>-1</v>
      </c>
      <c r="C255" s="4"/>
    </row>
    <row r="256" spans="1:3" ht="15" thickBot="1" x14ac:dyDescent="0.35">
      <c r="A256" s="5" t="s">
        <v>247</v>
      </c>
      <c r="B256">
        <v>-1</v>
      </c>
      <c r="C256" s="4"/>
    </row>
    <row r="257" spans="1:3" ht="15" thickBot="1" x14ac:dyDescent="0.35">
      <c r="A257" s="5" t="s">
        <v>248</v>
      </c>
      <c r="B257">
        <v>-1</v>
      </c>
      <c r="C257" s="4"/>
    </row>
    <row r="258" spans="1:3" ht="15" thickBot="1" x14ac:dyDescent="0.35">
      <c r="A258" s="5" t="s">
        <v>249</v>
      </c>
      <c r="B258">
        <v>-1</v>
      </c>
      <c r="C258" s="4"/>
    </row>
    <row r="259" spans="1:3" ht="15" thickBot="1" x14ac:dyDescent="0.35">
      <c r="A259" s="5" t="s">
        <v>250</v>
      </c>
      <c r="B259">
        <v>-1</v>
      </c>
      <c r="C259" s="4"/>
    </row>
    <row r="260" spans="1:3" ht="15" thickBot="1" x14ac:dyDescent="0.35">
      <c r="A260" s="5" t="s">
        <v>251</v>
      </c>
      <c r="B260">
        <v>-1</v>
      </c>
      <c r="C260" s="4"/>
    </row>
    <row r="261" spans="1:3" ht="15" thickBot="1" x14ac:dyDescent="0.35">
      <c r="A261" s="5" t="s">
        <v>252</v>
      </c>
      <c r="B261">
        <v>-1</v>
      </c>
      <c r="C261" s="4"/>
    </row>
    <row r="262" spans="1:3" ht="15" thickBot="1" x14ac:dyDescent="0.35">
      <c r="A262" s="5" t="s">
        <v>253</v>
      </c>
      <c r="B262">
        <v>-1</v>
      </c>
      <c r="C262" s="4"/>
    </row>
    <row r="263" spans="1:3" ht="15" thickBot="1" x14ac:dyDescent="0.35">
      <c r="A263" s="5" t="s">
        <v>254</v>
      </c>
      <c r="B263">
        <v>-1</v>
      </c>
      <c r="C263" s="4"/>
    </row>
    <row r="264" spans="1:3" ht="15" thickBot="1" x14ac:dyDescent="0.35">
      <c r="A264" s="5" t="s">
        <v>255</v>
      </c>
      <c r="B264">
        <v>-1</v>
      </c>
      <c r="C264" s="4"/>
    </row>
    <row r="265" spans="1:3" ht="15" thickBot="1" x14ac:dyDescent="0.35">
      <c r="A265" s="5" t="s">
        <v>256</v>
      </c>
      <c r="B265">
        <v>-1</v>
      </c>
      <c r="C265" s="4"/>
    </row>
    <row r="266" spans="1:3" ht="15" thickBot="1" x14ac:dyDescent="0.35">
      <c r="A266" s="5" t="s">
        <v>257</v>
      </c>
      <c r="B266">
        <v>-1</v>
      </c>
      <c r="C266" s="4"/>
    </row>
    <row r="267" spans="1:3" ht="15" thickBot="1" x14ac:dyDescent="0.35">
      <c r="A267" s="5" t="s">
        <v>258</v>
      </c>
      <c r="B267">
        <v>-1</v>
      </c>
      <c r="C267" s="4"/>
    </row>
    <row r="268" spans="1:3" ht="15" thickBot="1" x14ac:dyDescent="0.35">
      <c r="A268" s="5" t="s">
        <v>259</v>
      </c>
      <c r="B268">
        <v>-1</v>
      </c>
      <c r="C268" s="4"/>
    </row>
    <row r="269" spans="1:3" ht="15" thickBot="1" x14ac:dyDescent="0.35">
      <c r="A269" s="5" t="s">
        <v>260</v>
      </c>
      <c r="B269">
        <v>-1</v>
      </c>
      <c r="C269" s="4"/>
    </row>
    <row r="270" spans="1:3" ht="15" thickBot="1" x14ac:dyDescent="0.35">
      <c r="A270" s="5" t="s">
        <v>261</v>
      </c>
      <c r="B270">
        <v>-1</v>
      </c>
      <c r="C270" s="4"/>
    </row>
    <row r="271" spans="1:3" ht="15" thickBot="1" x14ac:dyDescent="0.35">
      <c r="A271" s="5" t="s">
        <v>262</v>
      </c>
      <c r="B271">
        <v>-1</v>
      </c>
      <c r="C271" s="4"/>
    </row>
    <row r="272" spans="1:3" ht="15" thickBot="1" x14ac:dyDescent="0.35">
      <c r="A272" s="5" t="s">
        <v>263</v>
      </c>
      <c r="B272">
        <v>-1</v>
      </c>
      <c r="C272" s="4"/>
    </row>
    <row r="273" spans="1:3" ht="15" thickBot="1" x14ac:dyDescent="0.35">
      <c r="A273" s="5" t="s">
        <v>264</v>
      </c>
      <c r="B273">
        <v>-1</v>
      </c>
      <c r="C273" s="4"/>
    </row>
    <row r="274" spans="1:3" ht="15" thickBot="1" x14ac:dyDescent="0.35">
      <c r="A274" s="5" t="s">
        <v>265</v>
      </c>
      <c r="B274">
        <v>-1</v>
      </c>
      <c r="C274" s="4"/>
    </row>
    <row r="275" spans="1:3" ht="15" thickBot="1" x14ac:dyDescent="0.35">
      <c r="A275" s="5" t="s">
        <v>266</v>
      </c>
      <c r="B275">
        <v>0</v>
      </c>
      <c r="C275" s="5" t="s">
        <v>765</v>
      </c>
    </row>
    <row r="276" spans="1:3" ht="15" thickBot="1" x14ac:dyDescent="0.35">
      <c r="A276" s="5" t="s">
        <v>266</v>
      </c>
      <c r="B276">
        <v>0</v>
      </c>
      <c r="C276" s="5" t="s">
        <v>765</v>
      </c>
    </row>
    <row r="277" spans="1:3" ht="15" thickBot="1" x14ac:dyDescent="0.35">
      <c r="A277" s="5" t="s">
        <v>267</v>
      </c>
      <c r="B277">
        <v>-1</v>
      </c>
      <c r="C277" s="4"/>
    </row>
    <row r="278" spans="1:3" ht="15" thickBot="1" x14ac:dyDescent="0.35">
      <c r="A278" s="5" t="s">
        <v>268</v>
      </c>
      <c r="B278">
        <v>-1</v>
      </c>
      <c r="C278" s="4"/>
    </row>
    <row r="279" spans="1:3" ht="15" thickBot="1" x14ac:dyDescent="0.35">
      <c r="A279" s="5" t="s">
        <v>269</v>
      </c>
      <c r="B279">
        <v>-1</v>
      </c>
      <c r="C279" s="4"/>
    </row>
    <row r="280" spans="1:3" ht="15" thickBot="1" x14ac:dyDescent="0.35">
      <c r="A280" s="5" t="s">
        <v>270</v>
      </c>
      <c r="B280">
        <v>-1</v>
      </c>
      <c r="C280" s="4"/>
    </row>
    <row r="281" spans="1:3" ht="15" thickBot="1" x14ac:dyDescent="0.35">
      <c r="A281" s="5" t="s">
        <v>271</v>
      </c>
      <c r="B281">
        <v>-1</v>
      </c>
      <c r="C281" s="4"/>
    </row>
    <row r="282" spans="1:3" ht="15" thickBot="1" x14ac:dyDescent="0.35">
      <c r="A282" s="5" t="s">
        <v>272</v>
      </c>
      <c r="B282">
        <v>-1</v>
      </c>
      <c r="C282" s="4"/>
    </row>
    <row r="283" spans="1:3" ht="15" thickBot="1" x14ac:dyDescent="0.35">
      <c r="A283" s="5" t="s">
        <v>273</v>
      </c>
      <c r="B283">
        <v>-1</v>
      </c>
      <c r="C283" s="4"/>
    </row>
    <row r="284" spans="1:3" ht="15" thickBot="1" x14ac:dyDescent="0.35">
      <c r="A284" s="5" t="s">
        <v>274</v>
      </c>
      <c r="B284">
        <v>-1</v>
      </c>
      <c r="C284" s="4"/>
    </row>
    <row r="285" spans="1:3" ht="15" thickBot="1" x14ac:dyDescent="0.35">
      <c r="A285" s="5" t="s">
        <v>275</v>
      </c>
      <c r="B285">
        <v>-1</v>
      </c>
      <c r="C285" s="4"/>
    </row>
    <row r="286" spans="1:3" ht="15" thickBot="1" x14ac:dyDescent="0.35">
      <c r="A286" s="5" t="s">
        <v>276</v>
      </c>
      <c r="B286">
        <v>-1</v>
      </c>
      <c r="C286" s="4"/>
    </row>
    <row r="287" spans="1:3" ht="15" thickBot="1" x14ac:dyDescent="0.35">
      <c r="A287" s="5" t="s">
        <v>277</v>
      </c>
      <c r="B287">
        <v>-1</v>
      </c>
      <c r="C287" s="4"/>
    </row>
    <row r="288" spans="1:3" ht="15" thickBot="1" x14ac:dyDescent="0.35">
      <c r="A288" s="5" t="s">
        <v>278</v>
      </c>
      <c r="B288">
        <v>-1</v>
      </c>
      <c r="C288" s="4"/>
    </row>
    <row r="289" spans="1:3" ht="15" thickBot="1" x14ac:dyDescent="0.35">
      <c r="A289" s="5" t="s">
        <v>279</v>
      </c>
      <c r="B289">
        <v>0</v>
      </c>
      <c r="C289" s="5" t="s">
        <v>765</v>
      </c>
    </row>
    <row r="290" spans="1:3" ht="15" thickBot="1" x14ac:dyDescent="0.35">
      <c r="A290" s="5" t="s">
        <v>280</v>
      </c>
      <c r="B290">
        <v>1</v>
      </c>
      <c r="C290" s="5" t="s">
        <v>762</v>
      </c>
    </row>
    <row r="291" spans="1:3" ht="15" thickBot="1" x14ac:dyDescent="0.35">
      <c r="A291" s="5" t="s">
        <v>281</v>
      </c>
      <c r="B291">
        <v>-1</v>
      </c>
      <c r="C291" s="4"/>
    </row>
    <row r="292" spans="1:3" ht="15" thickBot="1" x14ac:dyDescent="0.35">
      <c r="A292" s="5" t="s">
        <v>282</v>
      </c>
      <c r="B292">
        <v>-1</v>
      </c>
      <c r="C292" s="4"/>
    </row>
    <row r="293" spans="1:3" ht="15" thickBot="1" x14ac:dyDescent="0.35">
      <c r="A293" s="5" t="s">
        <v>283</v>
      </c>
      <c r="B293">
        <v>-1</v>
      </c>
      <c r="C293" s="4"/>
    </row>
    <row r="294" spans="1:3" ht="15" thickBot="1" x14ac:dyDescent="0.35">
      <c r="A294" s="5" t="s">
        <v>284</v>
      </c>
      <c r="B294">
        <v>-1</v>
      </c>
      <c r="C294" s="4"/>
    </row>
    <row r="295" spans="1:3" ht="15" thickBot="1" x14ac:dyDescent="0.35">
      <c r="A295" s="5" t="s">
        <v>285</v>
      </c>
      <c r="B295">
        <v>-1</v>
      </c>
      <c r="C295" s="4"/>
    </row>
    <row r="296" spans="1:3" ht="15" thickBot="1" x14ac:dyDescent="0.35">
      <c r="A296" s="5" t="s">
        <v>286</v>
      </c>
      <c r="B296">
        <v>-1</v>
      </c>
      <c r="C296" s="4"/>
    </row>
    <row r="297" spans="1:3" ht="15" thickBot="1" x14ac:dyDescent="0.35">
      <c r="A297" s="5" t="s">
        <v>287</v>
      </c>
      <c r="B297">
        <v>-1</v>
      </c>
      <c r="C297" s="4"/>
    </row>
    <row r="298" spans="1:3" ht="15" thickBot="1" x14ac:dyDescent="0.35">
      <c r="A298" s="5" t="s">
        <v>288</v>
      </c>
      <c r="B298">
        <v>-1</v>
      </c>
      <c r="C298" s="4"/>
    </row>
    <row r="299" spans="1:3" ht="15" thickBot="1" x14ac:dyDescent="0.35">
      <c r="A299" s="5" t="s">
        <v>289</v>
      </c>
      <c r="B299">
        <v>-1</v>
      </c>
      <c r="C299" s="4"/>
    </row>
    <row r="300" spans="1:3" ht="15" thickBot="1" x14ac:dyDescent="0.35">
      <c r="A300" s="5" t="s">
        <v>290</v>
      </c>
      <c r="B300">
        <v>-1</v>
      </c>
      <c r="C300" s="4"/>
    </row>
    <row r="301" spans="1:3" ht="15" thickBot="1" x14ac:dyDescent="0.35">
      <c r="A301" s="5" t="s">
        <v>291</v>
      </c>
      <c r="B301">
        <v>-1</v>
      </c>
      <c r="C301" s="4"/>
    </row>
    <row r="302" spans="1:3" ht="15" thickBot="1" x14ac:dyDescent="0.35">
      <c r="A302" s="5" t="s">
        <v>292</v>
      </c>
      <c r="B302">
        <v>-1</v>
      </c>
      <c r="C302" s="4"/>
    </row>
    <row r="303" spans="1:3" ht="15" thickBot="1" x14ac:dyDescent="0.35">
      <c r="A303" s="5" t="s">
        <v>293</v>
      </c>
      <c r="B303">
        <v>-1</v>
      </c>
      <c r="C303" s="4"/>
    </row>
    <row r="304" spans="1:3" ht="15" thickBot="1" x14ac:dyDescent="0.35">
      <c r="A304" s="5" t="s">
        <v>294</v>
      </c>
      <c r="B304">
        <v>-1</v>
      </c>
      <c r="C304" s="4"/>
    </row>
    <row r="305" spans="1:3" ht="15" thickBot="1" x14ac:dyDescent="0.35">
      <c r="A305" s="5" t="s">
        <v>295</v>
      </c>
      <c r="B305">
        <v>-1</v>
      </c>
      <c r="C305" s="4"/>
    </row>
    <row r="306" spans="1:3" ht="15" thickBot="1" x14ac:dyDescent="0.35">
      <c r="A306" s="5" t="s">
        <v>296</v>
      </c>
      <c r="B306">
        <v>-1</v>
      </c>
      <c r="C306" s="4"/>
    </row>
    <row r="307" spans="1:3" ht="15" thickBot="1" x14ac:dyDescent="0.35">
      <c r="A307" s="5" t="s">
        <v>297</v>
      </c>
      <c r="B307">
        <v>-1</v>
      </c>
      <c r="C307" s="4"/>
    </row>
    <row r="308" spans="1:3" ht="15" thickBot="1" x14ac:dyDescent="0.35">
      <c r="A308" s="5" t="s">
        <v>298</v>
      </c>
      <c r="B308">
        <v>-1</v>
      </c>
      <c r="C308" s="4"/>
    </row>
    <row r="309" spans="1:3" ht="15" thickBot="1" x14ac:dyDescent="0.35">
      <c r="A309" s="5" t="s">
        <v>299</v>
      </c>
      <c r="B309">
        <v>-1</v>
      </c>
      <c r="C309" s="4"/>
    </row>
    <row r="310" spans="1:3" ht="15" thickBot="1" x14ac:dyDescent="0.35">
      <c r="A310" s="5" t="s">
        <v>300</v>
      </c>
      <c r="B310">
        <v>-1</v>
      </c>
      <c r="C310" s="4"/>
    </row>
    <row r="311" spans="1:3" ht="15" thickBot="1" x14ac:dyDescent="0.35">
      <c r="A311" s="5" t="s">
        <v>301</v>
      </c>
      <c r="B311">
        <v>-1</v>
      </c>
      <c r="C311" s="4"/>
    </row>
    <row r="312" spans="1:3" ht="15" thickBot="1" x14ac:dyDescent="0.35">
      <c r="A312" s="5" t="s">
        <v>302</v>
      </c>
      <c r="B312">
        <v>-1</v>
      </c>
      <c r="C312" s="4"/>
    </row>
    <row r="313" spans="1:3" ht="15" thickBot="1" x14ac:dyDescent="0.35">
      <c r="A313" s="5" t="s">
        <v>303</v>
      </c>
      <c r="B313">
        <v>-1</v>
      </c>
      <c r="C313" s="4"/>
    </row>
    <row r="314" spans="1:3" ht="15" thickBot="1" x14ac:dyDescent="0.35">
      <c r="A314" s="5" t="s">
        <v>304</v>
      </c>
      <c r="B314">
        <v>-1</v>
      </c>
      <c r="C314" s="4"/>
    </row>
    <row r="315" spans="1:3" ht="15" thickBot="1" x14ac:dyDescent="0.35">
      <c r="A315" s="5" t="s">
        <v>305</v>
      </c>
      <c r="B315">
        <v>-1</v>
      </c>
      <c r="C315" s="4"/>
    </row>
    <row r="316" spans="1:3" ht="15" thickBot="1" x14ac:dyDescent="0.35">
      <c r="A316" s="5" t="s">
        <v>306</v>
      </c>
      <c r="B316">
        <v>-1</v>
      </c>
      <c r="C316" s="4"/>
    </row>
    <row r="317" spans="1:3" ht="15" thickBot="1" x14ac:dyDescent="0.35">
      <c r="A317" s="5" t="s">
        <v>307</v>
      </c>
      <c r="B317">
        <v>-1</v>
      </c>
      <c r="C317" s="4"/>
    </row>
    <row r="318" spans="1:3" ht="15" thickBot="1" x14ac:dyDescent="0.35">
      <c r="A318" s="5" t="s">
        <v>308</v>
      </c>
      <c r="B318">
        <v>-1</v>
      </c>
      <c r="C318" s="4"/>
    </row>
    <row r="319" spans="1:3" ht="15" thickBot="1" x14ac:dyDescent="0.35">
      <c r="A319" s="5" t="s">
        <v>309</v>
      </c>
      <c r="B319">
        <v>-1</v>
      </c>
      <c r="C319" s="4"/>
    </row>
    <row r="320" spans="1:3" ht="15" thickBot="1" x14ac:dyDescent="0.35">
      <c r="A320" s="5" t="s">
        <v>310</v>
      </c>
      <c r="B320">
        <v>-1</v>
      </c>
      <c r="C320" s="4"/>
    </row>
    <row r="321" spans="1:3" ht="15" thickBot="1" x14ac:dyDescent="0.35">
      <c r="A321" s="5" t="s">
        <v>311</v>
      </c>
      <c r="B321">
        <v>-1</v>
      </c>
      <c r="C321" s="4"/>
    </row>
    <row r="322" spans="1:3" ht="15" thickBot="1" x14ac:dyDescent="0.35">
      <c r="A322" s="5" t="s">
        <v>312</v>
      </c>
      <c r="B322">
        <v>-1</v>
      </c>
      <c r="C322" s="4"/>
    </row>
    <row r="323" spans="1:3" ht="15" thickBot="1" x14ac:dyDescent="0.35">
      <c r="A323" s="5" t="s">
        <v>313</v>
      </c>
      <c r="B323">
        <v>1</v>
      </c>
      <c r="C323" s="5" t="s">
        <v>766</v>
      </c>
    </row>
    <row r="324" spans="1:3" ht="15" thickBot="1" x14ac:dyDescent="0.35">
      <c r="A324" s="5" t="s">
        <v>314</v>
      </c>
      <c r="B324">
        <v>-1</v>
      </c>
      <c r="C324" s="4"/>
    </row>
    <row r="325" spans="1:3" ht="15" thickBot="1" x14ac:dyDescent="0.35">
      <c r="A325" s="5" t="s">
        <v>315</v>
      </c>
      <c r="B325">
        <v>-1</v>
      </c>
      <c r="C325" s="4"/>
    </row>
    <row r="326" spans="1:3" ht="15" thickBot="1" x14ac:dyDescent="0.35">
      <c r="A326" s="5" t="s">
        <v>316</v>
      </c>
      <c r="B326">
        <v>-1</v>
      </c>
      <c r="C326" s="4"/>
    </row>
    <row r="327" spans="1:3" ht="15" thickBot="1" x14ac:dyDescent="0.35">
      <c r="A327" s="5" t="s">
        <v>317</v>
      </c>
      <c r="B327">
        <v>-1</v>
      </c>
      <c r="C327" s="4"/>
    </row>
    <row r="328" spans="1:3" ht="15" thickBot="1" x14ac:dyDescent="0.35">
      <c r="A328" s="5" t="s">
        <v>318</v>
      </c>
      <c r="B328">
        <v>-1</v>
      </c>
      <c r="C328" s="4"/>
    </row>
    <row r="329" spans="1:3" ht="15" thickBot="1" x14ac:dyDescent="0.35">
      <c r="A329" s="5" t="s">
        <v>319</v>
      </c>
      <c r="B329">
        <v>-1</v>
      </c>
      <c r="C329" s="4"/>
    </row>
    <row r="330" spans="1:3" ht="15" thickBot="1" x14ac:dyDescent="0.35">
      <c r="A330" s="5" t="s">
        <v>320</v>
      </c>
      <c r="B330">
        <v>-1</v>
      </c>
      <c r="C330" s="4"/>
    </row>
    <row r="331" spans="1:3" ht="15" thickBot="1" x14ac:dyDescent="0.35">
      <c r="A331" s="5" t="s">
        <v>321</v>
      </c>
      <c r="B331">
        <v>-1</v>
      </c>
      <c r="C331" s="4"/>
    </row>
    <row r="332" spans="1:3" ht="15" thickBot="1" x14ac:dyDescent="0.35">
      <c r="A332" s="5" t="s">
        <v>322</v>
      </c>
      <c r="B332">
        <v>-1</v>
      </c>
      <c r="C332" s="4"/>
    </row>
    <row r="333" spans="1:3" ht="15" thickBot="1" x14ac:dyDescent="0.35">
      <c r="A333" s="5" t="s">
        <v>323</v>
      </c>
      <c r="B333">
        <v>-1</v>
      </c>
      <c r="C333" s="4"/>
    </row>
    <row r="334" spans="1:3" ht="15" thickBot="1" x14ac:dyDescent="0.35">
      <c r="A334" s="5" t="s">
        <v>324</v>
      </c>
      <c r="B334">
        <v>-1</v>
      </c>
      <c r="C334" s="4"/>
    </row>
    <row r="335" spans="1:3" ht="15" thickBot="1" x14ac:dyDescent="0.35">
      <c r="A335" s="5" t="s">
        <v>325</v>
      </c>
      <c r="B335">
        <v>-1</v>
      </c>
      <c r="C335" s="4"/>
    </row>
    <row r="336" spans="1:3" ht="15" thickBot="1" x14ac:dyDescent="0.35">
      <c r="A336" s="5" t="s">
        <v>326</v>
      </c>
      <c r="B336">
        <v>-1</v>
      </c>
      <c r="C336" s="4"/>
    </row>
    <row r="337" spans="1:3" ht="15" thickBot="1" x14ac:dyDescent="0.35">
      <c r="A337" s="5" t="s">
        <v>327</v>
      </c>
      <c r="B337">
        <v>-1</v>
      </c>
      <c r="C337" s="4"/>
    </row>
    <row r="338" spans="1:3" ht="15" thickBot="1" x14ac:dyDescent="0.35">
      <c r="A338" s="5" t="s">
        <v>328</v>
      </c>
      <c r="B338">
        <v>-1</v>
      </c>
      <c r="C338" s="4"/>
    </row>
    <row r="339" spans="1:3" ht="15" thickBot="1" x14ac:dyDescent="0.35">
      <c r="A339" s="5" t="s">
        <v>329</v>
      </c>
      <c r="B339">
        <v>-1</v>
      </c>
      <c r="C339" s="4"/>
    </row>
    <row r="340" spans="1:3" ht="15" thickBot="1" x14ac:dyDescent="0.35">
      <c r="A340" s="5" t="s">
        <v>330</v>
      </c>
      <c r="B340">
        <v>-1</v>
      </c>
      <c r="C340" s="4"/>
    </row>
    <row r="341" spans="1:3" ht="15" thickBot="1" x14ac:dyDescent="0.35">
      <c r="A341" s="5" t="s">
        <v>331</v>
      </c>
      <c r="B341">
        <v>-1</v>
      </c>
      <c r="C341" s="4"/>
    </row>
    <row r="342" spans="1:3" ht="15" thickBot="1" x14ac:dyDescent="0.35">
      <c r="A342" s="5" t="s">
        <v>332</v>
      </c>
      <c r="B342">
        <v>-1</v>
      </c>
      <c r="C342" s="4"/>
    </row>
    <row r="343" spans="1:3" ht="15" thickBot="1" x14ac:dyDescent="0.35">
      <c r="A343" s="5" t="s">
        <v>333</v>
      </c>
      <c r="B343">
        <v>-1</v>
      </c>
      <c r="C343" s="4"/>
    </row>
    <row r="344" spans="1:3" ht="15" thickBot="1" x14ac:dyDescent="0.35">
      <c r="A344" s="5" t="s">
        <v>334</v>
      </c>
      <c r="B344">
        <v>-1</v>
      </c>
      <c r="C344" s="4"/>
    </row>
    <row r="345" spans="1:3" ht="15" thickBot="1" x14ac:dyDescent="0.35">
      <c r="A345" s="5" t="s">
        <v>335</v>
      </c>
      <c r="B345">
        <v>-1</v>
      </c>
      <c r="C345" s="4"/>
    </row>
    <row r="346" spans="1:3" ht="15" thickBot="1" x14ac:dyDescent="0.35">
      <c r="A346" s="5" t="s">
        <v>336</v>
      </c>
      <c r="B346">
        <v>-1</v>
      </c>
      <c r="C346" s="4"/>
    </row>
    <row r="347" spans="1:3" ht="15" thickBot="1" x14ac:dyDescent="0.35">
      <c r="A347" s="5" t="s">
        <v>337</v>
      </c>
      <c r="B347">
        <v>-1</v>
      </c>
      <c r="C347" s="4"/>
    </row>
    <row r="348" spans="1:3" ht="15" thickBot="1" x14ac:dyDescent="0.35">
      <c r="A348" s="5" t="s">
        <v>338</v>
      </c>
      <c r="B348">
        <v>-1</v>
      </c>
      <c r="C348" s="4"/>
    </row>
    <row r="349" spans="1:3" ht="15" thickBot="1" x14ac:dyDescent="0.35">
      <c r="A349" s="5" t="s">
        <v>339</v>
      </c>
      <c r="B349">
        <v>-1</v>
      </c>
      <c r="C349" s="4"/>
    </row>
    <row r="350" spans="1:3" ht="15" thickBot="1" x14ac:dyDescent="0.35">
      <c r="A350" s="5" t="s">
        <v>340</v>
      </c>
      <c r="B350">
        <v>-1</v>
      </c>
      <c r="C350" s="4"/>
    </row>
    <row r="351" spans="1:3" ht="15" thickBot="1" x14ac:dyDescent="0.35">
      <c r="A351" s="5" t="s">
        <v>341</v>
      </c>
      <c r="B351">
        <v>-1</v>
      </c>
      <c r="C351" s="4"/>
    </row>
    <row r="352" spans="1:3" ht="15" thickBot="1" x14ac:dyDescent="0.35">
      <c r="A352" s="5" t="s">
        <v>342</v>
      </c>
      <c r="B352">
        <v>-1</v>
      </c>
      <c r="C352" s="4"/>
    </row>
    <row r="353" spans="1:3" ht="15" thickBot="1" x14ac:dyDescent="0.35">
      <c r="A353" s="5" t="s">
        <v>343</v>
      </c>
      <c r="B353">
        <v>-1</v>
      </c>
      <c r="C353" s="5" t="s">
        <v>761</v>
      </c>
    </row>
    <row r="354" spans="1:3" ht="15" thickBot="1" x14ac:dyDescent="0.35">
      <c r="A354" s="5" t="s">
        <v>344</v>
      </c>
      <c r="B354">
        <v>-1</v>
      </c>
      <c r="C354" s="4"/>
    </row>
    <row r="355" spans="1:3" ht="15" thickBot="1" x14ac:dyDescent="0.35">
      <c r="A355" s="5" t="s">
        <v>345</v>
      </c>
      <c r="B355">
        <v>-1</v>
      </c>
      <c r="C355" s="4"/>
    </row>
    <row r="356" spans="1:3" ht="15" thickBot="1" x14ac:dyDescent="0.35">
      <c r="A356" s="5" t="s">
        <v>346</v>
      </c>
      <c r="B356">
        <v>-1</v>
      </c>
      <c r="C356" s="4"/>
    </row>
    <row r="357" spans="1:3" ht="15" thickBot="1" x14ac:dyDescent="0.35">
      <c r="A357" s="5" t="s">
        <v>347</v>
      </c>
      <c r="B357">
        <v>-1</v>
      </c>
      <c r="C357" s="4"/>
    </row>
    <row r="358" spans="1:3" ht="15" thickBot="1" x14ac:dyDescent="0.35">
      <c r="A358" s="5" t="s">
        <v>348</v>
      </c>
      <c r="B358">
        <v>-1</v>
      </c>
      <c r="C358" s="4"/>
    </row>
    <row r="359" spans="1:3" ht="15" thickBot="1" x14ac:dyDescent="0.35">
      <c r="A359" s="5" t="s">
        <v>349</v>
      </c>
      <c r="B359">
        <v>-1</v>
      </c>
      <c r="C359" s="4"/>
    </row>
    <row r="360" spans="1:3" ht="15" thickBot="1" x14ac:dyDescent="0.35">
      <c r="A360" s="5" t="s">
        <v>350</v>
      </c>
      <c r="B360">
        <v>-1</v>
      </c>
      <c r="C360" s="4"/>
    </row>
    <row r="361" spans="1:3" ht="15" thickBot="1" x14ac:dyDescent="0.35">
      <c r="A361" s="5" t="s">
        <v>351</v>
      </c>
      <c r="B361">
        <v>-1</v>
      </c>
      <c r="C361" s="4"/>
    </row>
    <row r="362" spans="1:3" ht="15" thickBot="1" x14ac:dyDescent="0.35">
      <c r="A362" s="5" t="s">
        <v>352</v>
      </c>
      <c r="B362">
        <v>-1</v>
      </c>
      <c r="C362" s="4"/>
    </row>
    <row r="363" spans="1:3" ht="15" thickBot="1" x14ac:dyDescent="0.35">
      <c r="A363" s="5" t="s">
        <v>353</v>
      </c>
      <c r="B363">
        <v>-1</v>
      </c>
      <c r="C363" s="4"/>
    </row>
    <row r="364" spans="1:3" ht="15" thickBot="1" x14ac:dyDescent="0.35">
      <c r="A364" s="5" t="s">
        <v>354</v>
      </c>
      <c r="B364">
        <v>-1</v>
      </c>
      <c r="C364" s="4"/>
    </row>
    <row r="365" spans="1:3" ht="15" thickBot="1" x14ac:dyDescent="0.35">
      <c r="A365" s="5" t="s">
        <v>355</v>
      </c>
      <c r="B365">
        <v>0</v>
      </c>
      <c r="C365" s="5" t="s">
        <v>765</v>
      </c>
    </row>
    <row r="366" spans="1:3" ht="15" thickBot="1" x14ac:dyDescent="0.35">
      <c r="A366" s="5" t="s">
        <v>356</v>
      </c>
      <c r="B366">
        <v>-1</v>
      </c>
      <c r="C366" s="4"/>
    </row>
    <row r="367" spans="1:3" ht="15" thickBot="1" x14ac:dyDescent="0.35">
      <c r="A367" s="5" t="s">
        <v>357</v>
      </c>
      <c r="B367">
        <v>-1</v>
      </c>
      <c r="C367" s="4"/>
    </row>
    <row r="368" spans="1:3" ht="15" thickBot="1" x14ac:dyDescent="0.35">
      <c r="A368" s="5" t="s">
        <v>358</v>
      </c>
      <c r="B368">
        <v>-1</v>
      </c>
      <c r="C368" s="4"/>
    </row>
    <row r="369" spans="1:3" ht="15" thickBot="1" x14ac:dyDescent="0.35">
      <c r="A369" s="5" t="s">
        <v>359</v>
      </c>
      <c r="B369">
        <v>-1</v>
      </c>
      <c r="C369" s="4"/>
    </row>
    <row r="370" spans="1:3" ht="15" thickBot="1" x14ac:dyDescent="0.35">
      <c r="A370" s="5" t="s">
        <v>360</v>
      </c>
      <c r="B370">
        <v>-1</v>
      </c>
      <c r="C370" s="4"/>
    </row>
    <row r="371" spans="1:3" ht="15" thickBot="1" x14ac:dyDescent="0.35">
      <c r="A371" s="5" t="s">
        <v>361</v>
      </c>
      <c r="B371">
        <v>-1</v>
      </c>
      <c r="C371" s="4"/>
    </row>
    <row r="372" spans="1:3" ht="15" thickBot="1" x14ac:dyDescent="0.35">
      <c r="A372" s="5" t="s">
        <v>362</v>
      </c>
      <c r="B372">
        <v>-1</v>
      </c>
      <c r="C372" s="4"/>
    </row>
    <row r="373" spans="1:3" ht="15" thickBot="1" x14ac:dyDescent="0.35">
      <c r="A373" s="5" t="s">
        <v>363</v>
      </c>
      <c r="B373">
        <v>-1</v>
      </c>
      <c r="C373" s="4"/>
    </row>
    <row r="374" spans="1:3" ht="15" thickBot="1" x14ac:dyDescent="0.35">
      <c r="A374" s="5" t="s">
        <v>364</v>
      </c>
      <c r="B374">
        <v>-1</v>
      </c>
      <c r="C374" s="4"/>
    </row>
    <row r="375" spans="1:3" ht="15" thickBot="1" x14ac:dyDescent="0.35">
      <c r="A375" s="5" t="s">
        <v>365</v>
      </c>
      <c r="B375">
        <v>-1</v>
      </c>
      <c r="C375" s="4"/>
    </row>
    <row r="376" spans="1:3" ht="15" thickBot="1" x14ac:dyDescent="0.35">
      <c r="A376" s="5" t="s">
        <v>366</v>
      </c>
      <c r="B376">
        <v>-1</v>
      </c>
      <c r="C376" s="5" t="s">
        <v>761</v>
      </c>
    </row>
    <row r="377" spans="1:3" ht="15" thickBot="1" x14ac:dyDescent="0.35">
      <c r="A377" s="5" t="s">
        <v>367</v>
      </c>
      <c r="B377">
        <v>-1</v>
      </c>
      <c r="C377" s="4"/>
    </row>
    <row r="378" spans="1:3" ht="15" thickBot="1" x14ac:dyDescent="0.35">
      <c r="A378" s="5" t="s">
        <v>368</v>
      </c>
      <c r="B378">
        <v>-1</v>
      </c>
      <c r="C378" s="4"/>
    </row>
    <row r="379" spans="1:3" ht="15" thickBot="1" x14ac:dyDescent="0.35">
      <c r="A379" s="5" t="s">
        <v>369</v>
      </c>
      <c r="B379">
        <v>-1</v>
      </c>
      <c r="C379" s="4"/>
    </row>
    <row r="380" spans="1:3" ht="15" thickBot="1" x14ac:dyDescent="0.35">
      <c r="A380" s="5" t="s">
        <v>370</v>
      </c>
      <c r="B380">
        <v>-1</v>
      </c>
      <c r="C380" s="4"/>
    </row>
    <row r="381" spans="1:3" ht="15" thickBot="1" x14ac:dyDescent="0.35">
      <c r="A381" s="5" t="s">
        <v>371</v>
      </c>
      <c r="B381">
        <v>-1</v>
      </c>
      <c r="C381" s="4"/>
    </row>
    <row r="382" spans="1:3" ht="15" thickBot="1" x14ac:dyDescent="0.35">
      <c r="A382" s="5" t="s">
        <v>372</v>
      </c>
      <c r="B382">
        <v>-1</v>
      </c>
      <c r="C382" s="4"/>
    </row>
    <row r="383" spans="1:3" ht="15" thickBot="1" x14ac:dyDescent="0.35">
      <c r="A383" s="5" t="s">
        <v>373</v>
      </c>
      <c r="B383">
        <v>-1</v>
      </c>
      <c r="C383" s="4"/>
    </row>
    <row r="384" spans="1:3" ht="15" thickBot="1" x14ac:dyDescent="0.35">
      <c r="A384" s="5" t="s">
        <v>374</v>
      </c>
      <c r="B384">
        <v>-1</v>
      </c>
      <c r="C384" s="4"/>
    </row>
    <row r="385" spans="1:3" ht="15" thickBot="1" x14ac:dyDescent="0.35">
      <c r="A385" s="5" t="s">
        <v>375</v>
      </c>
      <c r="B385">
        <v>-1</v>
      </c>
      <c r="C385" s="4"/>
    </row>
    <row r="386" spans="1:3" ht="15" thickBot="1" x14ac:dyDescent="0.35">
      <c r="A386" s="5" t="s">
        <v>376</v>
      </c>
      <c r="B386">
        <v>-1</v>
      </c>
      <c r="C386" s="4"/>
    </row>
    <row r="387" spans="1:3" ht="15" thickBot="1" x14ac:dyDescent="0.35">
      <c r="A387" s="5" t="s">
        <v>377</v>
      </c>
      <c r="B387">
        <v>-1</v>
      </c>
      <c r="C387" s="4"/>
    </row>
    <row r="388" spans="1:3" ht="15" thickBot="1" x14ac:dyDescent="0.35">
      <c r="A388" s="5" t="s">
        <v>378</v>
      </c>
      <c r="B388">
        <v>0</v>
      </c>
      <c r="C388" s="5" t="s">
        <v>765</v>
      </c>
    </row>
    <row r="389" spans="1:3" ht="15" thickBot="1" x14ac:dyDescent="0.35">
      <c r="A389" s="5" t="s">
        <v>379</v>
      </c>
      <c r="B389">
        <v>-1</v>
      </c>
      <c r="C389" s="4"/>
    </row>
    <row r="390" spans="1:3" ht="15" thickBot="1" x14ac:dyDescent="0.35">
      <c r="A390" s="5" t="s">
        <v>380</v>
      </c>
      <c r="B390">
        <v>-1</v>
      </c>
      <c r="C390" s="4"/>
    </row>
    <row r="391" spans="1:3" ht="15" thickBot="1" x14ac:dyDescent="0.35">
      <c r="A391" s="5" t="s">
        <v>381</v>
      </c>
      <c r="B391">
        <v>-1</v>
      </c>
      <c r="C391" s="4"/>
    </row>
    <row r="392" spans="1:3" ht="15" thickBot="1" x14ac:dyDescent="0.35">
      <c r="A392" s="5" t="s">
        <v>382</v>
      </c>
      <c r="B392">
        <v>-1</v>
      </c>
      <c r="C392" s="4"/>
    </row>
    <row r="393" spans="1:3" ht="15" thickBot="1" x14ac:dyDescent="0.35">
      <c r="A393" s="5" t="s">
        <v>383</v>
      </c>
      <c r="B393">
        <v>-1</v>
      </c>
      <c r="C393" s="4"/>
    </row>
    <row r="394" spans="1:3" ht="15" thickBot="1" x14ac:dyDescent="0.35">
      <c r="A394" s="5" t="s">
        <v>384</v>
      </c>
      <c r="B394">
        <v>-1</v>
      </c>
      <c r="C394" s="4"/>
    </row>
    <row r="395" spans="1:3" ht="15" thickBot="1" x14ac:dyDescent="0.35">
      <c r="A395" s="5" t="s">
        <v>385</v>
      </c>
      <c r="B395">
        <v>0</v>
      </c>
      <c r="C395" s="5" t="s">
        <v>765</v>
      </c>
    </row>
    <row r="396" spans="1:3" ht="15" thickBot="1" x14ac:dyDescent="0.35">
      <c r="A396" s="5" t="s">
        <v>386</v>
      </c>
      <c r="B396">
        <v>-1</v>
      </c>
      <c r="C396" s="4"/>
    </row>
    <row r="397" spans="1:3" ht="15" thickBot="1" x14ac:dyDescent="0.35">
      <c r="A397" s="5" t="s">
        <v>387</v>
      </c>
      <c r="B397">
        <v>-1</v>
      </c>
      <c r="C397" s="4"/>
    </row>
    <row r="398" spans="1:3" ht="15" thickBot="1" x14ac:dyDescent="0.35">
      <c r="A398" s="5" t="s">
        <v>388</v>
      </c>
      <c r="B398">
        <v>-1</v>
      </c>
      <c r="C398" s="4"/>
    </row>
    <row r="399" spans="1:3" ht="15" thickBot="1" x14ac:dyDescent="0.35">
      <c r="A399" s="5" t="s">
        <v>389</v>
      </c>
      <c r="B399">
        <v>-1</v>
      </c>
      <c r="C399" s="4"/>
    </row>
    <row r="400" spans="1:3" ht="15" thickBot="1" x14ac:dyDescent="0.35">
      <c r="A400" s="5" t="s">
        <v>390</v>
      </c>
      <c r="B400">
        <v>-1</v>
      </c>
      <c r="C400" s="4"/>
    </row>
    <row r="401" spans="1:3" ht="15" thickBot="1" x14ac:dyDescent="0.35">
      <c r="A401" s="5" t="s">
        <v>391</v>
      </c>
      <c r="B401">
        <v>-1</v>
      </c>
      <c r="C401" s="4"/>
    </row>
    <row r="402" spans="1:3" ht="15" thickBot="1" x14ac:dyDescent="0.35">
      <c r="A402" s="5" t="s">
        <v>392</v>
      </c>
      <c r="B402">
        <v>0</v>
      </c>
      <c r="C402" s="5" t="s">
        <v>765</v>
      </c>
    </row>
    <row r="403" spans="1:3" ht="15" thickBot="1" x14ac:dyDescent="0.35">
      <c r="A403" s="5" t="s">
        <v>393</v>
      </c>
      <c r="B403">
        <v>-1</v>
      </c>
      <c r="C403" s="5" t="s">
        <v>761</v>
      </c>
    </row>
    <row r="404" spans="1:3" ht="15" thickBot="1" x14ac:dyDescent="0.35">
      <c r="A404" s="5" t="s">
        <v>393</v>
      </c>
      <c r="B404">
        <v>-1</v>
      </c>
      <c r="C404" s="5" t="s">
        <v>761</v>
      </c>
    </row>
    <row r="405" spans="1:3" ht="15" thickBot="1" x14ac:dyDescent="0.35">
      <c r="A405" s="5" t="s">
        <v>394</v>
      </c>
      <c r="B405">
        <v>-1</v>
      </c>
      <c r="C405" s="4"/>
    </row>
    <row r="406" spans="1:3" ht="15" thickBot="1" x14ac:dyDescent="0.35">
      <c r="A406" s="5" t="s">
        <v>395</v>
      </c>
      <c r="B406">
        <v>-1</v>
      </c>
      <c r="C406" s="4"/>
    </row>
    <row r="407" spans="1:3" ht="15" thickBot="1" x14ac:dyDescent="0.35">
      <c r="A407" s="5" t="s">
        <v>396</v>
      </c>
      <c r="B407">
        <v>-1</v>
      </c>
      <c r="C407" s="5" t="s">
        <v>761</v>
      </c>
    </row>
    <row r="408" spans="1:3" ht="15" thickBot="1" x14ac:dyDescent="0.35">
      <c r="A408" s="5" t="s">
        <v>397</v>
      </c>
      <c r="B408">
        <v>-1</v>
      </c>
      <c r="C408" s="4"/>
    </row>
    <row r="409" spans="1:3" ht="15" thickBot="1" x14ac:dyDescent="0.35">
      <c r="A409" s="5" t="s">
        <v>398</v>
      </c>
      <c r="B409">
        <v>-1</v>
      </c>
      <c r="C409" s="4"/>
    </row>
    <row r="410" spans="1:3" ht="15" thickBot="1" x14ac:dyDescent="0.35">
      <c r="A410" s="5" t="s">
        <v>399</v>
      </c>
      <c r="B410">
        <v>-1</v>
      </c>
      <c r="C410" s="4"/>
    </row>
    <row r="411" spans="1:3" ht="15" thickBot="1" x14ac:dyDescent="0.35">
      <c r="A411" s="5" t="s">
        <v>400</v>
      </c>
      <c r="B411">
        <v>-1</v>
      </c>
      <c r="C411" s="4"/>
    </row>
    <row r="412" spans="1:3" ht="15" thickBot="1" x14ac:dyDescent="0.35">
      <c r="A412" s="5" t="s">
        <v>401</v>
      </c>
      <c r="B412">
        <v>-1</v>
      </c>
      <c r="C412" s="4"/>
    </row>
    <row r="413" spans="1:3" ht="15" thickBot="1" x14ac:dyDescent="0.35">
      <c r="A413" s="5" t="s">
        <v>402</v>
      </c>
      <c r="B413">
        <v>-1</v>
      </c>
      <c r="C413" s="4"/>
    </row>
    <row r="414" spans="1:3" ht="15" thickBot="1" x14ac:dyDescent="0.35">
      <c r="A414" s="5" t="s">
        <v>403</v>
      </c>
      <c r="B414">
        <v>-1</v>
      </c>
      <c r="C414" s="4"/>
    </row>
    <row r="415" spans="1:3" ht="15" thickBot="1" x14ac:dyDescent="0.35">
      <c r="A415" s="5" t="s">
        <v>404</v>
      </c>
      <c r="B415">
        <v>-1</v>
      </c>
      <c r="C415" s="4"/>
    </row>
    <row r="416" spans="1:3" ht="15" thickBot="1" x14ac:dyDescent="0.35">
      <c r="A416" s="5" t="s">
        <v>405</v>
      </c>
      <c r="B416">
        <v>-1</v>
      </c>
      <c r="C416" s="4"/>
    </row>
    <row r="417" spans="1:3" ht="15" thickBot="1" x14ac:dyDescent="0.35">
      <c r="A417" s="5" t="s">
        <v>406</v>
      </c>
      <c r="B417">
        <v>-1</v>
      </c>
      <c r="C417" s="4"/>
    </row>
    <row r="418" spans="1:3" ht="15" thickBot="1" x14ac:dyDescent="0.35">
      <c r="A418" s="5" t="s">
        <v>407</v>
      </c>
      <c r="B418">
        <v>-1</v>
      </c>
      <c r="C418" s="4"/>
    </row>
    <row r="419" spans="1:3" ht="15" thickBot="1" x14ac:dyDescent="0.35">
      <c r="A419" s="5" t="s">
        <v>408</v>
      </c>
      <c r="B419">
        <v>-1</v>
      </c>
      <c r="C419" s="4"/>
    </row>
    <row r="420" spans="1:3" ht="15" thickBot="1" x14ac:dyDescent="0.35">
      <c r="A420" s="5" t="s">
        <v>409</v>
      </c>
      <c r="B420">
        <v>-1</v>
      </c>
      <c r="C420" s="4"/>
    </row>
    <row r="421" spans="1:3" ht="15" thickBot="1" x14ac:dyDescent="0.35">
      <c r="A421" s="5" t="s">
        <v>410</v>
      </c>
      <c r="B421">
        <v>-1</v>
      </c>
      <c r="C421" s="4"/>
    </row>
    <row r="422" spans="1:3" ht="15" thickBot="1" x14ac:dyDescent="0.35">
      <c r="A422" s="5" t="s">
        <v>411</v>
      </c>
      <c r="B422">
        <v>-1</v>
      </c>
      <c r="C422" s="4"/>
    </row>
    <row r="423" spans="1:3" ht="15" thickBot="1" x14ac:dyDescent="0.35">
      <c r="A423" s="5" t="s">
        <v>412</v>
      </c>
      <c r="B423">
        <v>-1</v>
      </c>
      <c r="C423" s="4"/>
    </row>
    <row r="424" spans="1:3" ht="15" thickBot="1" x14ac:dyDescent="0.35">
      <c r="A424" s="5" t="s">
        <v>413</v>
      </c>
      <c r="B424">
        <v>-1</v>
      </c>
      <c r="C424" s="4"/>
    </row>
    <row r="425" spans="1:3" ht="15" thickBot="1" x14ac:dyDescent="0.35">
      <c r="A425" s="5" t="s">
        <v>414</v>
      </c>
      <c r="B425">
        <v>-1</v>
      </c>
      <c r="C425" s="4"/>
    </row>
    <row r="426" spans="1:3" ht="15" thickBot="1" x14ac:dyDescent="0.35">
      <c r="A426" s="5" t="s">
        <v>415</v>
      </c>
      <c r="B426">
        <v>0</v>
      </c>
      <c r="C426" s="5" t="s">
        <v>765</v>
      </c>
    </row>
    <row r="427" spans="1:3" ht="15" thickBot="1" x14ac:dyDescent="0.35">
      <c r="A427" s="5" t="s">
        <v>416</v>
      </c>
      <c r="B427">
        <v>-1</v>
      </c>
      <c r="C427" s="4"/>
    </row>
    <row r="428" spans="1:3" ht="15" thickBot="1" x14ac:dyDescent="0.35">
      <c r="A428" s="5" t="s">
        <v>417</v>
      </c>
      <c r="B428">
        <v>-1</v>
      </c>
      <c r="C428" s="4"/>
    </row>
    <row r="429" spans="1:3" ht="15" thickBot="1" x14ac:dyDescent="0.35">
      <c r="A429" s="5" t="s">
        <v>418</v>
      </c>
      <c r="B429">
        <v>-1</v>
      </c>
      <c r="C429" s="4"/>
    </row>
    <row r="430" spans="1:3" ht="15" thickBot="1" x14ac:dyDescent="0.35">
      <c r="A430" s="5" t="s">
        <v>419</v>
      </c>
      <c r="B430">
        <v>-1</v>
      </c>
      <c r="C430" s="4"/>
    </row>
    <row r="431" spans="1:3" ht="15" thickBot="1" x14ac:dyDescent="0.35">
      <c r="A431" s="5" t="s">
        <v>420</v>
      </c>
      <c r="B431">
        <v>-1</v>
      </c>
      <c r="C431" s="4"/>
    </row>
    <row r="432" spans="1:3" ht="15" thickBot="1" x14ac:dyDescent="0.35">
      <c r="A432" s="5" t="s">
        <v>421</v>
      </c>
      <c r="B432">
        <v>-1</v>
      </c>
      <c r="C432" s="4"/>
    </row>
    <row r="433" spans="1:3" ht="15" thickBot="1" x14ac:dyDescent="0.35">
      <c r="A433" s="5" t="s">
        <v>422</v>
      </c>
      <c r="B433">
        <v>-1</v>
      </c>
      <c r="C433" s="4"/>
    </row>
    <row r="434" spans="1:3" ht="15" thickBot="1" x14ac:dyDescent="0.35">
      <c r="A434" s="5" t="s">
        <v>423</v>
      </c>
      <c r="B434">
        <v>-1</v>
      </c>
      <c r="C434" s="4"/>
    </row>
    <row r="435" spans="1:3" ht="15" thickBot="1" x14ac:dyDescent="0.35">
      <c r="A435" s="5" t="s">
        <v>424</v>
      </c>
      <c r="B435">
        <v>-1</v>
      </c>
      <c r="C435" s="4"/>
    </row>
    <row r="436" spans="1:3" ht="15" thickBot="1" x14ac:dyDescent="0.35">
      <c r="A436" s="5" t="s">
        <v>425</v>
      </c>
      <c r="B436">
        <v>-1</v>
      </c>
      <c r="C436" s="4"/>
    </row>
    <row r="437" spans="1:3" ht="15" thickBot="1" x14ac:dyDescent="0.35">
      <c r="A437" s="5" t="s">
        <v>426</v>
      </c>
      <c r="B437">
        <v>-1</v>
      </c>
      <c r="C437" s="4"/>
    </row>
    <row r="438" spans="1:3" ht="15" thickBot="1" x14ac:dyDescent="0.35">
      <c r="A438" s="5" t="s">
        <v>427</v>
      </c>
      <c r="B438">
        <v>-1</v>
      </c>
      <c r="C438" s="4"/>
    </row>
    <row r="439" spans="1:3" ht="15" thickBot="1" x14ac:dyDescent="0.35">
      <c r="A439" s="5" t="s">
        <v>428</v>
      </c>
      <c r="B439">
        <v>-1</v>
      </c>
      <c r="C439" s="4"/>
    </row>
    <row r="440" spans="1:3" ht="15" thickBot="1" x14ac:dyDescent="0.35">
      <c r="A440" s="5" t="s">
        <v>429</v>
      </c>
      <c r="B440">
        <v>-1</v>
      </c>
      <c r="C440" s="4"/>
    </row>
    <row r="441" spans="1:3" ht="15" thickBot="1" x14ac:dyDescent="0.35">
      <c r="A441" s="5" t="s">
        <v>430</v>
      </c>
      <c r="B441">
        <v>-1</v>
      </c>
      <c r="C441" s="4"/>
    </row>
    <row r="442" spans="1:3" ht="15" thickBot="1" x14ac:dyDescent="0.35">
      <c r="A442" s="5" t="s">
        <v>431</v>
      </c>
      <c r="B442">
        <v>-1</v>
      </c>
      <c r="C442" s="4"/>
    </row>
    <row r="443" spans="1:3" ht="15" thickBot="1" x14ac:dyDescent="0.35">
      <c r="A443" s="5" t="s">
        <v>432</v>
      </c>
      <c r="B443">
        <v>-1</v>
      </c>
      <c r="C443" s="4"/>
    </row>
    <row r="444" spans="1:3" ht="15" thickBot="1" x14ac:dyDescent="0.35">
      <c r="A444" s="5" t="s">
        <v>433</v>
      </c>
      <c r="B444">
        <v>-1</v>
      </c>
      <c r="C444" s="4"/>
    </row>
    <row r="445" spans="1:3" ht="15" thickBot="1" x14ac:dyDescent="0.35">
      <c r="A445" s="5" t="s">
        <v>434</v>
      </c>
      <c r="B445">
        <v>-1</v>
      </c>
      <c r="C445" s="4"/>
    </row>
    <row r="446" spans="1:3" ht="15" thickBot="1" x14ac:dyDescent="0.35">
      <c r="A446" s="5" t="s">
        <v>435</v>
      </c>
      <c r="B446">
        <v>-1</v>
      </c>
      <c r="C446" s="4"/>
    </row>
    <row r="447" spans="1:3" ht="15" thickBot="1" x14ac:dyDescent="0.35">
      <c r="A447" s="5" t="s">
        <v>436</v>
      </c>
      <c r="B447">
        <v>-1</v>
      </c>
      <c r="C447" s="4"/>
    </row>
    <row r="448" spans="1:3" ht="15" thickBot="1" x14ac:dyDescent="0.35">
      <c r="A448" s="5" t="s">
        <v>437</v>
      </c>
      <c r="B448">
        <v>-1</v>
      </c>
      <c r="C448" s="4"/>
    </row>
    <row r="449" spans="1:3" ht="15" thickBot="1" x14ac:dyDescent="0.35">
      <c r="A449" s="5" t="s">
        <v>438</v>
      </c>
      <c r="B449">
        <v>0</v>
      </c>
      <c r="C449" s="5" t="s">
        <v>765</v>
      </c>
    </row>
    <row r="450" spans="1:3" ht="15" thickBot="1" x14ac:dyDescent="0.35">
      <c r="A450" s="5" t="s">
        <v>439</v>
      </c>
      <c r="B450">
        <v>-1</v>
      </c>
      <c r="C450" s="4"/>
    </row>
    <row r="451" spans="1:3" ht="15" thickBot="1" x14ac:dyDescent="0.35">
      <c r="A451" s="5" t="s">
        <v>440</v>
      </c>
      <c r="B451">
        <v>-1</v>
      </c>
      <c r="C451" s="4"/>
    </row>
    <row r="452" spans="1:3" ht="15" thickBot="1" x14ac:dyDescent="0.35">
      <c r="A452" s="5" t="s">
        <v>441</v>
      </c>
      <c r="B452">
        <v>-1</v>
      </c>
      <c r="C452" s="4"/>
    </row>
    <row r="453" spans="1:3" ht="15" thickBot="1" x14ac:dyDescent="0.35">
      <c r="A453" s="5" t="s">
        <v>442</v>
      </c>
      <c r="B453">
        <v>-1</v>
      </c>
      <c r="C453" s="4"/>
    </row>
    <row r="454" spans="1:3" ht="15" thickBot="1" x14ac:dyDescent="0.35">
      <c r="A454" s="5" t="s">
        <v>443</v>
      </c>
      <c r="B454">
        <v>-1</v>
      </c>
      <c r="C454" s="4"/>
    </row>
    <row r="455" spans="1:3" ht="15" thickBot="1" x14ac:dyDescent="0.35">
      <c r="A455" s="5" t="s">
        <v>444</v>
      </c>
      <c r="B455">
        <v>-1</v>
      </c>
      <c r="C455" s="4"/>
    </row>
    <row r="456" spans="1:3" ht="15" thickBot="1" x14ac:dyDescent="0.35">
      <c r="A456" s="5" t="s">
        <v>445</v>
      </c>
      <c r="B456">
        <v>-1</v>
      </c>
      <c r="C456" s="4"/>
    </row>
    <row r="457" spans="1:3" ht="15" thickBot="1" x14ac:dyDescent="0.35">
      <c r="A457" s="5" t="s">
        <v>446</v>
      </c>
      <c r="B457">
        <v>-1</v>
      </c>
      <c r="C457" s="4"/>
    </row>
    <row r="458" spans="1:3" ht="15" thickBot="1" x14ac:dyDescent="0.35">
      <c r="A458" s="5" t="s">
        <v>447</v>
      </c>
      <c r="B458">
        <v>-1</v>
      </c>
      <c r="C458" s="4"/>
    </row>
    <row r="459" spans="1:3" ht="15" thickBot="1" x14ac:dyDescent="0.35">
      <c r="A459" s="5" t="s">
        <v>448</v>
      </c>
      <c r="B459">
        <v>-1</v>
      </c>
      <c r="C459" s="4"/>
    </row>
    <row r="460" spans="1:3" ht="15" thickBot="1" x14ac:dyDescent="0.35">
      <c r="A460" s="5" t="s">
        <v>449</v>
      </c>
      <c r="B460">
        <v>-1</v>
      </c>
      <c r="C460" s="4"/>
    </row>
    <row r="461" spans="1:3" ht="15" thickBot="1" x14ac:dyDescent="0.35">
      <c r="A461" s="5" t="s">
        <v>450</v>
      </c>
      <c r="B461">
        <v>-1</v>
      </c>
      <c r="C461" s="4"/>
    </row>
    <row r="462" spans="1:3" ht="15" thickBot="1" x14ac:dyDescent="0.35">
      <c r="A462" s="5" t="s">
        <v>451</v>
      </c>
      <c r="B462">
        <v>-1</v>
      </c>
      <c r="C462" s="4"/>
    </row>
    <row r="463" spans="1:3" ht="15" thickBot="1" x14ac:dyDescent="0.35">
      <c r="A463" s="5" t="s">
        <v>452</v>
      </c>
      <c r="B463">
        <v>-1</v>
      </c>
      <c r="C463" s="4"/>
    </row>
    <row r="464" spans="1:3" ht="15" thickBot="1" x14ac:dyDescent="0.35">
      <c r="A464" s="5" t="s">
        <v>453</v>
      </c>
      <c r="B464">
        <v>-1</v>
      </c>
      <c r="C464" s="4"/>
    </row>
    <row r="465" spans="1:3" ht="15" thickBot="1" x14ac:dyDescent="0.35">
      <c r="A465" s="5" t="s">
        <v>454</v>
      </c>
      <c r="B465">
        <v>-1</v>
      </c>
      <c r="C465" s="4"/>
    </row>
    <row r="466" spans="1:3" ht="15" thickBot="1" x14ac:dyDescent="0.35">
      <c r="A466" s="5" t="s">
        <v>455</v>
      </c>
      <c r="B466">
        <v>-1</v>
      </c>
      <c r="C466" s="4"/>
    </row>
    <row r="467" spans="1:3" ht="15" thickBot="1" x14ac:dyDescent="0.35">
      <c r="A467" s="5" t="s">
        <v>456</v>
      </c>
      <c r="B467">
        <v>-1</v>
      </c>
      <c r="C467" s="4"/>
    </row>
    <row r="468" spans="1:3" ht="15" thickBot="1" x14ac:dyDescent="0.35">
      <c r="A468" s="5" t="s">
        <v>457</v>
      </c>
      <c r="B468">
        <v>-1</v>
      </c>
      <c r="C468" s="4"/>
    </row>
    <row r="469" spans="1:3" ht="15" thickBot="1" x14ac:dyDescent="0.35">
      <c r="A469" s="5" t="s">
        <v>458</v>
      </c>
      <c r="B469">
        <v>-1</v>
      </c>
      <c r="C469" s="4"/>
    </row>
    <row r="470" spans="1:3" ht="15" thickBot="1" x14ac:dyDescent="0.35">
      <c r="A470" s="5" t="s">
        <v>459</v>
      </c>
      <c r="B470">
        <v>-1</v>
      </c>
      <c r="C470" s="4"/>
    </row>
    <row r="471" spans="1:3" ht="15" thickBot="1" x14ac:dyDescent="0.35">
      <c r="A471" s="5" t="s">
        <v>460</v>
      </c>
      <c r="B471">
        <v>-1</v>
      </c>
      <c r="C471" s="4"/>
    </row>
    <row r="472" spans="1:3" ht="15" thickBot="1" x14ac:dyDescent="0.35">
      <c r="A472" s="5" t="s">
        <v>461</v>
      </c>
      <c r="B472">
        <v>-1</v>
      </c>
      <c r="C472" s="4"/>
    </row>
    <row r="473" spans="1:3" ht="15" thickBot="1" x14ac:dyDescent="0.35">
      <c r="A473" s="5" t="s">
        <v>462</v>
      </c>
      <c r="B473">
        <v>-1</v>
      </c>
      <c r="C473" s="4"/>
    </row>
    <row r="474" spans="1:3" ht="15" thickBot="1" x14ac:dyDescent="0.35">
      <c r="A474" s="5" t="s">
        <v>463</v>
      </c>
      <c r="B474">
        <v>-1</v>
      </c>
      <c r="C474" s="4"/>
    </row>
    <row r="475" spans="1:3" ht="15" thickBot="1" x14ac:dyDescent="0.35">
      <c r="A475" s="5" t="s">
        <v>464</v>
      </c>
      <c r="B475">
        <v>-1</v>
      </c>
      <c r="C475" s="4"/>
    </row>
    <row r="476" spans="1:3" ht="15" thickBot="1" x14ac:dyDescent="0.35">
      <c r="A476" s="5" t="s">
        <v>465</v>
      </c>
      <c r="B476">
        <v>-1</v>
      </c>
      <c r="C476" s="4"/>
    </row>
    <row r="477" spans="1:3" ht="15" thickBot="1" x14ac:dyDescent="0.35">
      <c r="A477" s="5" t="s">
        <v>466</v>
      </c>
      <c r="B477">
        <v>-1</v>
      </c>
      <c r="C477" s="4"/>
    </row>
    <row r="478" spans="1:3" ht="15" thickBot="1" x14ac:dyDescent="0.35">
      <c r="A478" s="5" t="s">
        <v>467</v>
      </c>
      <c r="B478">
        <v>-1</v>
      </c>
      <c r="C478" s="4"/>
    </row>
    <row r="479" spans="1:3" ht="15" thickBot="1" x14ac:dyDescent="0.35">
      <c r="A479" s="5" t="s">
        <v>468</v>
      </c>
      <c r="B479">
        <v>-1</v>
      </c>
      <c r="C479" s="4"/>
    </row>
    <row r="480" spans="1:3" ht="15" thickBot="1" x14ac:dyDescent="0.35">
      <c r="A480" s="5" t="s">
        <v>469</v>
      </c>
      <c r="B480">
        <v>-1</v>
      </c>
      <c r="C480" s="4"/>
    </row>
    <row r="481" spans="1:3" ht="15" thickBot="1" x14ac:dyDescent="0.35">
      <c r="A481" s="5" t="s">
        <v>470</v>
      </c>
      <c r="B481">
        <v>-1</v>
      </c>
      <c r="C481" s="4"/>
    </row>
    <row r="482" spans="1:3" ht="15" thickBot="1" x14ac:dyDescent="0.35">
      <c r="A482" s="5" t="s">
        <v>471</v>
      </c>
      <c r="B482">
        <v>-1</v>
      </c>
      <c r="C482" s="4"/>
    </row>
    <row r="483" spans="1:3" ht="15" thickBot="1" x14ac:dyDescent="0.35">
      <c r="A483" s="5" t="s">
        <v>472</v>
      </c>
      <c r="B483">
        <v>-1</v>
      </c>
      <c r="C483" s="4"/>
    </row>
    <row r="484" spans="1:3" ht="15" thickBot="1" x14ac:dyDescent="0.35">
      <c r="A484" s="5" t="s">
        <v>473</v>
      </c>
      <c r="B484">
        <v>-1</v>
      </c>
      <c r="C484" s="4"/>
    </row>
    <row r="485" spans="1:3" ht="15" thickBot="1" x14ac:dyDescent="0.35">
      <c r="A485" s="5" t="s">
        <v>474</v>
      </c>
      <c r="B485">
        <v>-1</v>
      </c>
      <c r="C485" s="4"/>
    </row>
    <row r="486" spans="1:3" ht="15" thickBot="1" x14ac:dyDescent="0.35">
      <c r="A486" s="5" t="s">
        <v>475</v>
      </c>
      <c r="B486">
        <v>-1</v>
      </c>
      <c r="C486" s="4"/>
    </row>
    <row r="487" spans="1:3" ht="15" thickBot="1" x14ac:dyDescent="0.35">
      <c r="A487" s="5" t="s">
        <v>476</v>
      </c>
      <c r="B487">
        <v>-1</v>
      </c>
      <c r="C487" s="4"/>
    </row>
    <row r="488" spans="1:3" ht="15" thickBot="1" x14ac:dyDescent="0.35">
      <c r="A488" s="5" t="s">
        <v>477</v>
      </c>
      <c r="B488">
        <v>-1</v>
      </c>
      <c r="C488" s="4"/>
    </row>
    <row r="489" spans="1:3" ht="15" thickBot="1" x14ac:dyDescent="0.35">
      <c r="A489" s="5" t="s">
        <v>478</v>
      </c>
      <c r="B489">
        <v>-1</v>
      </c>
      <c r="C489" s="4"/>
    </row>
    <row r="490" spans="1:3" ht="15" thickBot="1" x14ac:dyDescent="0.35">
      <c r="A490" s="5" t="s">
        <v>479</v>
      </c>
      <c r="B490">
        <v>-1</v>
      </c>
      <c r="C490" s="4"/>
    </row>
    <row r="491" spans="1:3" ht="15" thickBot="1" x14ac:dyDescent="0.35">
      <c r="A491" s="5" t="s">
        <v>480</v>
      </c>
      <c r="B491">
        <v>-1</v>
      </c>
      <c r="C491" s="4"/>
    </row>
    <row r="492" spans="1:3" ht="15" thickBot="1" x14ac:dyDescent="0.35">
      <c r="A492" s="5" t="s">
        <v>481</v>
      </c>
      <c r="B492">
        <v>-1</v>
      </c>
      <c r="C492" s="4"/>
    </row>
    <row r="493" spans="1:3" ht="15" thickBot="1" x14ac:dyDescent="0.35">
      <c r="A493" s="5" t="s">
        <v>482</v>
      </c>
      <c r="B493">
        <v>-1</v>
      </c>
      <c r="C493" s="4"/>
    </row>
    <row r="494" spans="1:3" ht="15" thickBot="1" x14ac:dyDescent="0.35">
      <c r="A494" s="5" t="s">
        <v>483</v>
      </c>
      <c r="B494">
        <v>-1</v>
      </c>
      <c r="C494" s="4"/>
    </row>
    <row r="495" spans="1:3" ht="15" thickBot="1" x14ac:dyDescent="0.35">
      <c r="A495" s="5" t="s">
        <v>484</v>
      </c>
      <c r="B495">
        <v>-1</v>
      </c>
      <c r="C495" s="4"/>
    </row>
    <row r="496" spans="1:3" ht="15" thickBot="1" x14ac:dyDescent="0.35">
      <c r="A496" s="5" t="s">
        <v>485</v>
      </c>
      <c r="B496">
        <v>-1</v>
      </c>
      <c r="C496" s="4"/>
    </row>
    <row r="497" spans="1:3" ht="15" thickBot="1" x14ac:dyDescent="0.35">
      <c r="A497" s="5" t="s">
        <v>486</v>
      </c>
      <c r="B497">
        <v>-1</v>
      </c>
      <c r="C497" s="4"/>
    </row>
    <row r="498" spans="1:3" ht="15" thickBot="1" x14ac:dyDescent="0.35">
      <c r="A498" s="5" t="s">
        <v>487</v>
      </c>
      <c r="B498">
        <v>-1</v>
      </c>
      <c r="C498" s="4"/>
    </row>
    <row r="499" spans="1:3" ht="15" thickBot="1" x14ac:dyDescent="0.35">
      <c r="A499" s="5" t="s">
        <v>488</v>
      </c>
      <c r="B499">
        <v>-1</v>
      </c>
      <c r="C499" s="5" t="s">
        <v>760</v>
      </c>
    </row>
    <row r="500" spans="1:3" ht="15" thickBot="1" x14ac:dyDescent="0.35">
      <c r="A500" s="5" t="s">
        <v>489</v>
      </c>
      <c r="B500">
        <v>0</v>
      </c>
      <c r="C500" s="5" t="s">
        <v>765</v>
      </c>
    </row>
    <row r="501" spans="1:3" ht="15" thickBot="1" x14ac:dyDescent="0.35">
      <c r="A501" s="5" t="s">
        <v>490</v>
      </c>
      <c r="B501">
        <v>-1</v>
      </c>
      <c r="C501" s="4"/>
    </row>
    <row r="502" spans="1:3" ht="15" thickBot="1" x14ac:dyDescent="0.35">
      <c r="A502" s="5" t="s">
        <v>491</v>
      </c>
      <c r="B502">
        <v>-1</v>
      </c>
      <c r="C502" s="4"/>
    </row>
    <row r="503" spans="1:3" ht="15" thickBot="1" x14ac:dyDescent="0.35">
      <c r="A503" s="5" t="s">
        <v>492</v>
      </c>
      <c r="B503">
        <v>-1</v>
      </c>
      <c r="C503" s="4"/>
    </row>
    <row r="504" spans="1:3" ht="15" thickBot="1" x14ac:dyDescent="0.35">
      <c r="A504" s="5" t="s">
        <v>493</v>
      </c>
      <c r="B504">
        <v>-1</v>
      </c>
      <c r="C504" s="4"/>
    </row>
    <row r="505" spans="1:3" ht="15" thickBot="1" x14ac:dyDescent="0.35">
      <c r="A505" s="5" t="s">
        <v>494</v>
      </c>
      <c r="B505">
        <v>-1</v>
      </c>
      <c r="C505" s="4"/>
    </row>
    <row r="506" spans="1:3" ht="15" thickBot="1" x14ac:dyDescent="0.35">
      <c r="A506" s="5" t="s">
        <v>495</v>
      </c>
      <c r="B506">
        <v>-1</v>
      </c>
      <c r="C506" s="4"/>
    </row>
    <row r="507" spans="1:3" ht="15" thickBot="1" x14ac:dyDescent="0.35">
      <c r="A507" s="5" t="s">
        <v>496</v>
      </c>
      <c r="B507">
        <v>-1</v>
      </c>
      <c r="C507" s="4"/>
    </row>
    <row r="508" spans="1:3" ht="15" thickBot="1" x14ac:dyDescent="0.35">
      <c r="A508" s="5" t="s">
        <v>497</v>
      </c>
      <c r="B508">
        <v>-1</v>
      </c>
      <c r="C508" s="4"/>
    </row>
    <row r="509" spans="1:3" ht="15" thickBot="1" x14ac:dyDescent="0.35">
      <c r="A509" s="5" t="s">
        <v>498</v>
      </c>
      <c r="B509">
        <v>-1</v>
      </c>
      <c r="C509" s="4"/>
    </row>
    <row r="510" spans="1:3" ht="15" thickBot="1" x14ac:dyDescent="0.35">
      <c r="A510" s="5" t="s">
        <v>499</v>
      </c>
      <c r="B510">
        <v>-1</v>
      </c>
      <c r="C510" s="4"/>
    </row>
    <row r="511" spans="1:3" ht="15" thickBot="1" x14ac:dyDescent="0.35">
      <c r="A511" s="5" t="s">
        <v>500</v>
      </c>
      <c r="B511">
        <v>-1</v>
      </c>
      <c r="C511" s="4"/>
    </row>
    <row r="512" spans="1:3" ht="15" thickBot="1" x14ac:dyDescent="0.35">
      <c r="A512" s="5" t="s">
        <v>501</v>
      </c>
      <c r="B512">
        <v>-1</v>
      </c>
      <c r="C512" s="4"/>
    </row>
    <row r="513" spans="1:3" ht="15" thickBot="1" x14ac:dyDescent="0.35">
      <c r="A513" s="5" t="s">
        <v>502</v>
      </c>
      <c r="B513">
        <v>-1</v>
      </c>
      <c r="C513" s="4"/>
    </row>
    <row r="514" spans="1:3" ht="15" thickBot="1" x14ac:dyDescent="0.35">
      <c r="A514" s="5" t="s">
        <v>503</v>
      </c>
      <c r="B514">
        <v>-1</v>
      </c>
      <c r="C514" s="4"/>
    </row>
    <row r="515" spans="1:3" ht="15" thickBot="1" x14ac:dyDescent="0.35">
      <c r="A515" s="5" t="s">
        <v>504</v>
      </c>
      <c r="B515">
        <v>-1</v>
      </c>
      <c r="C515" s="4"/>
    </row>
    <row r="516" spans="1:3" ht="15" thickBot="1" x14ac:dyDescent="0.35">
      <c r="A516" s="5" t="s">
        <v>505</v>
      </c>
      <c r="B516">
        <v>-1</v>
      </c>
      <c r="C516" s="4"/>
    </row>
    <row r="517" spans="1:3" ht="15" thickBot="1" x14ac:dyDescent="0.35">
      <c r="A517" s="5" t="s">
        <v>506</v>
      </c>
      <c r="B517">
        <v>-1</v>
      </c>
      <c r="C517" s="4"/>
    </row>
    <row r="518" spans="1:3" ht="15" thickBot="1" x14ac:dyDescent="0.35">
      <c r="A518" s="5" t="s">
        <v>507</v>
      </c>
      <c r="B518">
        <v>-1</v>
      </c>
      <c r="C518" s="4"/>
    </row>
    <row r="519" spans="1:3" ht="15" thickBot="1" x14ac:dyDescent="0.35">
      <c r="A519" s="5" t="s">
        <v>508</v>
      </c>
      <c r="B519">
        <v>-1</v>
      </c>
      <c r="C519" s="4"/>
    </row>
    <row r="520" spans="1:3" ht="15" thickBot="1" x14ac:dyDescent="0.35">
      <c r="A520" s="5" t="s">
        <v>509</v>
      </c>
      <c r="B520">
        <v>-1</v>
      </c>
      <c r="C520" s="4"/>
    </row>
    <row r="521" spans="1:3" ht="15" thickBot="1" x14ac:dyDescent="0.35">
      <c r="A521" s="5" t="s">
        <v>510</v>
      </c>
      <c r="B521">
        <v>-1</v>
      </c>
      <c r="C521" s="4"/>
    </row>
    <row r="522" spans="1:3" ht="15" thickBot="1" x14ac:dyDescent="0.35">
      <c r="A522" s="5" t="s">
        <v>511</v>
      </c>
      <c r="B522">
        <v>-1</v>
      </c>
      <c r="C522" s="4"/>
    </row>
    <row r="523" spans="1:3" ht="15" thickBot="1" x14ac:dyDescent="0.35">
      <c r="A523" s="5" t="s">
        <v>512</v>
      </c>
      <c r="B523">
        <v>-1</v>
      </c>
      <c r="C523" s="4"/>
    </row>
    <row r="524" spans="1:3" ht="15" thickBot="1" x14ac:dyDescent="0.35">
      <c r="A524" s="5" t="s">
        <v>513</v>
      </c>
      <c r="B524">
        <v>-1</v>
      </c>
      <c r="C524" s="4"/>
    </row>
    <row r="525" spans="1:3" ht="15" thickBot="1" x14ac:dyDescent="0.35">
      <c r="A525" s="5" t="s">
        <v>514</v>
      </c>
      <c r="B525">
        <v>-1</v>
      </c>
      <c r="C525" s="4"/>
    </row>
    <row r="526" spans="1:3" ht="15" thickBot="1" x14ac:dyDescent="0.35">
      <c r="A526" s="5" t="s">
        <v>515</v>
      </c>
      <c r="B526">
        <v>-1</v>
      </c>
      <c r="C526" s="4"/>
    </row>
    <row r="527" spans="1:3" ht="15" thickBot="1" x14ac:dyDescent="0.35">
      <c r="A527" s="5" t="s">
        <v>516</v>
      </c>
      <c r="B527">
        <v>-1</v>
      </c>
      <c r="C527" s="4"/>
    </row>
    <row r="528" spans="1:3" ht="15" thickBot="1" x14ac:dyDescent="0.35">
      <c r="A528" s="5" t="s">
        <v>517</v>
      </c>
      <c r="B528">
        <v>-1</v>
      </c>
      <c r="C528" s="4"/>
    </row>
    <row r="529" spans="1:3" ht="15" thickBot="1" x14ac:dyDescent="0.35">
      <c r="A529" s="5" t="s">
        <v>518</v>
      </c>
      <c r="B529">
        <v>-1</v>
      </c>
      <c r="C529" s="4"/>
    </row>
    <row r="530" spans="1:3" ht="15" thickBot="1" x14ac:dyDescent="0.35">
      <c r="A530" s="5" t="s">
        <v>519</v>
      </c>
      <c r="B530">
        <v>-1</v>
      </c>
      <c r="C530" s="4"/>
    </row>
    <row r="531" spans="1:3" ht="15" thickBot="1" x14ac:dyDescent="0.35">
      <c r="A531" s="5" t="s">
        <v>520</v>
      </c>
      <c r="B531">
        <v>-1</v>
      </c>
      <c r="C531" s="4"/>
    </row>
    <row r="532" spans="1:3" ht="15" thickBot="1" x14ac:dyDescent="0.35">
      <c r="A532" s="5" t="s">
        <v>521</v>
      </c>
      <c r="B532">
        <v>-1</v>
      </c>
      <c r="C532" s="4"/>
    </row>
    <row r="533" spans="1:3" ht="15" thickBot="1" x14ac:dyDescent="0.35">
      <c r="A533" s="5" t="s">
        <v>522</v>
      </c>
      <c r="B533">
        <v>-1</v>
      </c>
      <c r="C533" s="4"/>
    </row>
    <row r="534" spans="1:3" ht="15" thickBot="1" x14ac:dyDescent="0.35">
      <c r="A534" s="5" t="s">
        <v>523</v>
      </c>
      <c r="B534">
        <v>-1</v>
      </c>
      <c r="C534" s="4"/>
    </row>
    <row r="535" spans="1:3" ht="15" thickBot="1" x14ac:dyDescent="0.35">
      <c r="A535" s="5" t="s">
        <v>524</v>
      </c>
      <c r="B535">
        <v>-1</v>
      </c>
      <c r="C535" s="4"/>
    </row>
    <row r="536" spans="1:3" ht="15" thickBot="1" x14ac:dyDescent="0.35">
      <c r="A536" s="5" t="s">
        <v>525</v>
      </c>
      <c r="B536">
        <v>-1</v>
      </c>
      <c r="C536" s="4"/>
    </row>
    <row r="537" spans="1:3" ht="15" thickBot="1" x14ac:dyDescent="0.35">
      <c r="A537" s="5" t="s">
        <v>526</v>
      </c>
      <c r="B537">
        <v>-1</v>
      </c>
      <c r="C537" s="4"/>
    </row>
    <row r="538" spans="1:3" ht="15" thickBot="1" x14ac:dyDescent="0.35">
      <c r="A538" s="5" t="s">
        <v>527</v>
      </c>
      <c r="B538">
        <v>-1</v>
      </c>
      <c r="C538" s="4"/>
    </row>
    <row r="539" spans="1:3" ht="15" thickBot="1" x14ac:dyDescent="0.35">
      <c r="A539" s="5" t="s">
        <v>528</v>
      </c>
      <c r="B539">
        <v>-1</v>
      </c>
      <c r="C539" s="4"/>
    </row>
    <row r="540" spans="1:3" ht="15" thickBot="1" x14ac:dyDescent="0.35">
      <c r="A540" s="5" t="s">
        <v>529</v>
      </c>
      <c r="B540">
        <v>-1</v>
      </c>
      <c r="C540" s="4"/>
    </row>
    <row r="541" spans="1:3" ht="15" thickBot="1" x14ac:dyDescent="0.35">
      <c r="A541" s="5" t="s">
        <v>530</v>
      </c>
      <c r="B541">
        <v>-1</v>
      </c>
      <c r="C541" s="4"/>
    </row>
    <row r="542" spans="1:3" ht="15" thickBot="1" x14ac:dyDescent="0.35">
      <c r="A542" s="5" t="s">
        <v>531</v>
      </c>
      <c r="B542">
        <v>-1</v>
      </c>
      <c r="C542" s="4"/>
    </row>
    <row r="543" spans="1:3" ht="15" thickBot="1" x14ac:dyDescent="0.35">
      <c r="A543" s="5" t="s">
        <v>532</v>
      </c>
      <c r="B543">
        <v>-1</v>
      </c>
      <c r="C543" s="4"/>
    </row>
    <row r="544" spans="1:3" ht="15" thickBot="1" x14ac:dyDescent="0.35">
      <c r="A544" s="5" t="s">
        <v>533</v>
      </c>
      <c r="B544">
        <v>-1</v>
      </c>
      <c r="C544" s="4"/>
    </row>
    <row r="545" spans="1:3" ht="15" thickBot="1" x14ac:dyDescent="0.35">
      <c r="A545" s="5" t="s">
        <v>534</v>
      </c>
      <c r="B545">
        <v>-1</v>
      </c>
      <c r="C545" s="4"/>
    </row>
    <row r="546" spans="1:3" ht="15" thickBot="1" x14ac:dyDescent="0.35">
      <c r="A546" s="5" t="s">
        <v>535</v>
      </c>
      <c r="B546">
        <v>-1</v>
      </c>
      <c r="C546" s="4"/>
    </row>
    <row r="547" spans="1:3" ht="15" thickBot="1" x14ac:dyDescent="0.35">
      <c r="A547" s="5" t="s">
        <v>536</v>
      </c>
      <c r="B547">
        <v>-1</v>
      </c>
      <c r="C547" s="4"/>
    </row>
    <row r="548" spans="1:3" ht="15" thickBot="1" x14ac:dyDescent="0.35">
      <c r="A548" s="5" t="s">
        <v>537</v>
      </c>
      <c r="B548">
        <v>-1</v>
      </c>
      <c r="C548" s="4"/>
    </row>
    <row r="549" spans="1:3" ht="15" thickBot="1" x14ac:dyDescent="0.35">
      <c r="A549" s="5" t="s">
        <v>538</v>
      </c>
      <c r="B549">
        <v>-1</v>
      </c>
      <c r="C549" s="4"/>
    </row>
    <row r="550" spans="1:3" ht="15" thickBot="1" x14ac:dyDescent="0.35">
      <c r="A550" s="5" t="s">
        <v>539</v>
      </c>
      <c r="B550">
        <v>-1</v>
      </c>
      <c r="C550" s="4"/>
    </row>
    <row r="551" spans="1:3" ht="15" thickBot="1" x14ac:dyDescent="0.35">
      <c r="A551" s="5" t="s">
        <v>540</v>
      </c>
      <c r="B551">
        <v>-1</v>
      </c>
      <c r="C551" s="4"/>
    </row>
    <row r="552" spans="1:3" ht="15" thickBot="1" x14ac:dyDescent="0.35">
      <c r="A552" s="5" t="s">
        <v>541</v>
      </c>
      <c r="B552">
        <v>-1</v>
      </c>
      <c r="C552" s="4"/>
    </row>
    <row r="553" spans="1:3" ht="15" thickBot="1" x14ac:dyDescent="0.35">
      <c r="A553" s="5" t="s">
        <v>542</v>
      </c>
      <c r="B553">
        <v>-1</v>
      </c>
      <c r="C553" s="4"/>
    </row>
    <row r="554" spans="1:3" ht="15" thickBot="1" x14ac:dyDescent="0.35">
      <c r="A554" s="5" t="s">
        <v>543</v>
      </c>
      <c r="B554">
        <v>-1</v>
      </c>
      <c r="C554" s="4"/>
    </row>
    <row r="555" spans="1:3" ht="15" thickBot="1" x14ac:dyDescent="0.35">
      <c r="A555" s="5" t="s">
        <v>544</v>
      </c>
      <c r="B555">
        <v>-1</v>
      </c>
      <c r="C555" s="4"/>
    </row>
    <row r="556" spans="1:3" ht="15" thickBot="1" x14ac:dyDescent="0.35">
      <c r="A556" s="5" t="s">
        <v>545</v>
      </c>
      <c r="B556">
        <v>-1</v>
      </c>
      <c r="C556" s="4"/>
    </row>
    <row r="557" spans="1:3" ht="15" thickBot="1" x14ac:dyDescent="0.35">
      <c r="A557" s="5" t="s">
        <v>546</v>
      </c>
      <c r="B557">
        <v>-1</v>
      </c>
      <c r="C557" s="4"/>
    </row>
    <row r="558" spans="1:3" ht="15" thickBot="1" x14ac:dyDescent="0.35">
      <c r="A558" s="5" t="s">
        <v>547</v>
      </c>
      <c r="B558">
        <v>-1</v>
      </c>
      <c r="C558" s="4"/>
    </row>
    <row r="559" spans="1:3" ht="15" thickBot="1" x14ac:dyDescent="0.35">
      <c r="A559" s="5" t="s">
        <v>548</v>
      </c>
      <c r="B559">
        <v>-1</v>
      </c>
      <c r="C559" s="4"/>
    </row>
    <row r="560" spans="1:3" ht="15" thickBot="1" x14ac:dyDescent="0.35">
      <c r="A560" s="5" t="s">
        <v>549</v>
      </c>
      <c r="B560">
        <v>-1</v>
      </c>
      <c r="C560" s="4"/>
    </row>
    <row r="561" spans="1:3" ht="15" thickBot="1" x14ac:dyDescent="0.35">
      <c r="A561" s="5" t="s">
        <v>550</v>
      </c>
      <c r="B561">
        <v>-1</v>
      </c>
      <c r="C561" s="4"/>
    </row>
    <row r="562" spans="1:3" ht="15" thickBot="1" x14ac:dyDescent="0.35">
      <c r="A562" s="5" t="s">
        <v>551</v>
      </c>
      <c r="B562">
        <v>-1</v>
      </c>
      <c r="C562" s="4"/>
    </row>
    <row r="563" spans="1:3" ht="15" thickBot="1" x14ac:dyDescent="0.35">
      <c r="A563" s="5" t="s">
        <v>552</v>
      </c>
      <c r="B563">
        <v>0</v>
      </c>
      <c r="C563" s="5" t="s">
        <v>765</v>
      </c>
    </row>
    <row r="564" spans="1:3" ht="15" thickBot="1" x14ac:dyDescent="0.35">
      <c r="A564" s="5" t="s">
        <v>553</v>
      </c>
      <c r="B564">
        <v>-1</v>
      </c>
      <c r="C564" s="4"/>
    </row>
    <row r="565" spans="1:3" ht="15" thickBot="1" x14ac:dyDescent="0.35">
      <c r="A565" s="5" t="s">
        <v>554</v>
      </c>
      <c r="B565">
        <v>-1</v>
      </c>
      <c r="C565" s="4"/>
    </row>
    <row r="566" spans="1:3" ht="15" thickBot="1" x14ac:dyDescent="0.35">
      <c r="A566" s="5" t="s">
        <v>555</v>
      </c>
      <c r="B566">
        <v>-1</v>
      </c>
      <c r="C566" s="4"/>
    </row>
    <row r="567" spans="1:3" ht="15" thickBot="1" x14ac:dyDescent="0.35">
      <c r="A567" s="5" t="s">
        <v>556</v>
      </c>
      <c r="B567">
        <v>-1</v>
      </c>
      <c r="C567" s="4"/>
    </row>
    <row r="568" spans="1:3" ht="15" thickBot="1" x14ac:dyDescent="0.35">
      <c r="A568" s="5" t="s">
        <v>557</v>
      </c>
      <c r="B568">
        <v>-1</v>
      </c>
      <c r="C568" s="4"/>
    </row>
    <row r="569" spans="1:3" ht="15" thickBot="1" x14ac:dyDescent="0.35">
      <c r="A569" s="5" t="s">
        <v>558</v>
      </c>
      <c r="B569">
        <v>-1</v>
      </c>
      <c r="C569" s="4"/>
    </row>
    <row r="570" spans="1:3" ht="15" thickBot="1" x14ac:dyDescent="0.35">
      <c r="A570" s="5" t="s">
        <v>559</v>
      </c>
      <c r="B570">
        <v>-1</v>
      </c>
      <c r="C570" s="4"/>
    </row>
    <row r="571" spans="1:3" ht="15" thickBot="1" x14ac:dyDescent="0.35">
      <c r="A571" s="5" t="s">
        <v>560</v>
      </c>
      <c r="B571">
        <v>-1</v>
      </c>
      <c r="C571" s="4"/>
    </row>
    <row r="572" spans="1:3" ht="15" thickBot="1" x14ac:dyDescent="0.35">
      <c r="A572" s="5" t="s">
        <v>561</v>
      </c>
      <c r="B572">
        <v>-1</v>
      </c>
      <c r="C572" s="5" t="s">
        <v>760</v>
      </c>
    </row>
    <row r="573" spans="1:3" ht="15" thickBot="1" x14ac:dyDescent="0.35">
      <c r="A573" s="5" t="s">
        <v>562</v>
      </c>
      <c r="B573">
        <v>-1</v>
      </c>
      <c r="C573" s="4"/>
    </row>
    <row r="574" spans="1:3" ht="15" thickBot="1" x14ac:dyDescent="0.35">
      <c r="A574" s="5" t="s">
        <v>563</v>
      </c>
      <c r="B574">
        <v>-1</v>
      </c>
      <c r="C574" s="4"/>
    </row>
    <row r="575" spans="1:3" ht="15" thickBot="1" x14ac:dyDescent="0.35">
      <c r="A575" s="5" t="s">
        <v>564</v>
      </c>
      <c r="B575">
        <v>-1</v>
      </c>
      <c r="C575" s="4"/>
    </row>
    <row r="576" spans="1:3" ht="15" thickBot="1" x14ac:dyDescent="0.35">
      <c r="A576" s="5" t="s">
        <v>565</v>
      </c>
      <c r="B576">
        <v>-1</v>
      </c>
      <c r="C576" s="4"/>
    </row>
    <row r="577" spans="1:3" ht="15" thickBot="1" x14ac:dyDescent="0.35">
      <c r="A577" s="5" t="s">
        <v>566</v>
      </c>
      <c r="B577">
        <v>-1</v>
      </c>
      <c r="C577" s="4"/>
    </row>
    <row r="578" spans="1:3" ht="15" thickBot="1" x14ac:dyDescent="0.35">
      <c r="A578" s="5" t="s">
        <v>567</v>
      </c>
      <c r="B578">
        <v>-1</v>
      </c>
      <c r="C578" s="4"/>
    </row>
    <row r="579" spans="1:3" ht="15" thickBot="1" x14ac:dyDescent="0.35">
      <c r="A579" s="5" t="s">
        <v>568</v>
      </c>
      <c r="B579">
        <v>-1</v>
      </c>
      <c r="C579" s="4"/>
    </row>
    <row r="580" spans="1:3" ht="15" thickBot="1" x14ac:dyDescent="0.35">
      <c r="A580" s="5" t="s">
        <v>569</v>
      </c>
      <c r="B580">
        <v>-1</v>
      </c>
      <c r="C580" s="4"/>
    </row>
    <row r="581" spans="1:3" ht="15" thickBot="1" x14ac:dyDescent="0.35">
      <c r="A581" s="5" t="s">
        <v>570</v>
      </c>
      <c r="B581">
        <v>-1</v>
      </c>
      <c r="C581" s="4"/>
    </row>
    <row r="582" spans="1:3" ht="15" thickBot="1" x14ac:dyDescent="0.35">
      <c r="A582" s="5" t="s">
        <v>571</v>
      </c>
      <c r="B582">
        <v>-1</v>
      </c>
      <c r="C582" s="4"/>
    </row>
    <row r="583" spans="1:3" ht="15" thickBot="1" x14ac:dyDescent="0.35">
      <c r="A583" s="5" t="s">
        <v>572</v>
      </c>
      <c r="B583">
        <v>-1</v>
      </c>
      <c r="C583" s="4"/>
    </row>
    <row r="584" spans="1:3" ht="15" thickBot="1" x14ac:dyDescent="0.35">
      <c r="A584" s="5" t="s">
        <v>573</v>
      </c>
      <c r="B584">
        <v>-1</v>
      </c>
      <c r="C584" s="4"/>
    </row>
    <row r="585" spans="1:3" ht="15" thickBot="1" x14ac:dyDescent="0.35">
      <c r="A585" s="5" t="s">
        <v>574</v>
      </c>
      <c r="B585">
        <v>-1</v>
      </c>
      <c r="C585" s="4"/>
    </row>
    <row r="586" spans="1:3" ht="15" thickBot="1" x14ac:dyDescent="0.35">
      <c r="A586" s="5" t="s">
        <v>575</v>
      </c>
      <c r="B586">
        <v>-1</v>
      </c>
      <c r="C586" s="4"/>
    </row>
    <row r="587" spans="1:3" ht="15" thickBot="1" x14ac:dyDescent="0.35">
      <c r="A587" s="5" t="s">
        <v>576</v>
      </c>
      <c r="B587">
        <v>-1</v>
      </c>
      <c r="C587" s="4"/>
    </row>
    <row r="588" spans="1:3" ht="15" thickBot="1" x14ac:dyDescent="0.35">
      <c r="A588" s="5" t="s">
        <v>577</v>
      </c>
      <c r="B588">
        <v>-1</v>
      </c>
      <c r="C588" s="4"/>
    </row>
    <row r="589" spans="1:3" ht="15" thickBot="1" x14ac:dyDescent="0.35">
      <c r="A589" s="5" t="s">
        <v>578</v>
      </c>
      <c r="B589">
        <v>-1</v>
      </c>
      <c r="C589" s="4"/>
    </row>
    <row r="590" spans="1:3" ht="15" thickBot="1" x14ac:dyDescent="0.35">
      <c r="A590" s="5" t="s">
        <v>579</v>
      </c>
      <c r="B590">
        <v>-1</v>
      </c>
      <c r="C590" s="4"/>
    </row>
    <row r="591" spans="1:3" ht="15" thickBot="1" x14ac:dyDescent="0.35">
      <c r="A591" s="5" t="s">
        <v>580</v>
      </c>
      <c r="B591">
        <v>-1</v>
      </c>
      <c r="C591" s="4"/>
    </row>
    <row r="592" spans="1:3" ht="15" thickBot="1" x14ac:dyDescent="0.35">
      <c r="A592" s="5" t="s">
        <v>581</v>
      </c>
      <c r="B592">
        <v>-1</v>
      </c>
      <c r="C592" s="4"/>
    </row>
    <row r="593" spans="1:3" ht="15" thickBot="1" x14ac:dyDescent="0.35">
      <c r="A593" s="5" t="s">
        <v>582</v>
      </c>
      <c r="B593">
        <v>-1</v>
      </c>
      <c r="C593" s="4"/>
    </row>
    <row r="594" spans="1:3" ht="15" thickBot="1" x14ac:dyDescent="0.35">
      <c r="A594" s="5" t="s">
        <v>583</v>
      </c>
      <c r="B594">
        <v>-1</v>
      </c>
      <c r="C594" s="5" t="s">
        <v>760</v>
      </c>
    </row>
    <row r="595" spans="1:3" ht="15" thickBot="1" x14ac:dyDescent="0.35">
      <c r="A595" s="5" t="s">
        <v>583</v>
      </c>
      <c r="B595">
        <v>-1</v>
      </c>
      <c r="C595" s="5" t="s">
        <v>760</v>
      </c>
    </row>
    <row r="596" spans="1:3" ht="15" thickBot="1" x14ac:dyDescent="0.35">
      <c r="A596" s="5" t="s">
        <v>584</v>
      </c>
      <c r="B596">
        <v>1</v>
      </c>
      <c r="C596" s="5" t="s">
        <v>759</v>
      </c>
    </row>
    <row r="597" spans="1:3" ht="15" thickBot="1" x14ac:dyDescent="0.35">
      <c r="A597" s="5" t="s">
        <v>585</v>
      </c>
      <c r="B597">
        <v>-1</v>
      </c>
      <c r="C597" s="4"/>
    </row>
    <row r="598" spans="1:3" ht="15" thickBot="1" x14ac:dyDescent="0.35">
      <c r="A598" s="5" t="s">
        <v>586</v>
      </c>
      <c r="B598">
        <v>-1</v>
      </c>
      <c r="C598" s="4"/>
    </row>
    <row r="599" spans="1:3" ht="15" thickBot="1" x14ac:dyDescent="0.35">
      <c r="A599" s="5" t="s">
        <v>587</v>
      </c>
      <c r="B599">
        <v>-1</v>
      </c>
      <c r="C599" s="4"/>
    </row>
    <row r="600" spans="1:3" ht="15" thickBot="1" x14ac:dyDescent="0.35">
      <c r="A600" s="5" t="s">
        <v>588</v>
      </c>
      <c r="B600">
        <v>-1</v>
      </c>
      <c r="C600" s="4"/>
    </row>
    <row r="601" spans="1:3" ht="15" thickBot="1" x14ac:dyDescent="0.35">
      <c r="A601" s="5" t="s">
        <v>589</v>
      </c>
      <c r="B601">
        <v>-1</v>
      </c>
      <c r="C601" s="4"/>
    </row>
    <row r="602" spans="1:3" ht="15" thickBot="1" x14ac:dyDescent="0.35">
      <c r="A602" s="5" t="s">
        <v>590</v>
      </c>
      <c r="B602">
        <v>-1</v>
      </c>
      <c r="C602" s="4"/>
    </row>
    <row r="603" spans="1:3" ht="15" thickBot="1" x14ac:dyDescent="0.35">
      <c r="A603" s="5" t="s">
        <v>591</v>
      </c>
      <c r="B603">
        <v>0</v>
      </c>
      <c r="C603" s="5" t="s">
        <v>765</v>
      </c>
    </row>
    <row r="604" spans="1:3" ht="15" thickBot="1" x14ac:dyDescent="0.35">
      <c r="A604" s="5" t="s">
        <v>592</v>
      </c>
      <c r="B604">
        <v>-1</v>
      </c>
      <c r="C604" s="4"/>
    </row>
    <row r="605" spans="1:3" ht="15" thickBot="1" x14ac:dyDescent="0.35">
      <c r="A605" s="5" t="s">
        <v>593</v>
      </c>
      <c r="B605">
        <v>-1</v>
      </c>
      <c r="C605" s="4"/>
    </row>
    <row r="606" spans="1:3" ht="15" thickBot="1" x14ac:dyDescent="0.35">
      <c r="A606" s="5" t="s">
        <v>594</v>
      </c>
      <c r="B606">
        <v>-1</v>
      </c>
      <c r="C606" s="4"/>
    </row>
    <row r="607" spans="1:3" ht="15" thickBot="1" x14ac:dyDescent="0.35">
      <c r="A607" s="5" t="s">
        <v>595</v>
      </c>
      <c r="B607">
        <v>-1</v>
      </c>
      <c r="C607" s="4"/>
    </row>
    <row r="608" spans="1:3" ht="15" thickBot="1" x14ac:dyDescent="0.35">
      <c r="A608" s="5" t="s">
        <v>596</v>
      </c>
      <c r="B608">
        <v>-1</v>
      </c>
      <c r="C608" s="4"/>
    </row>
    <row r="609" spans="1:3" ht="15" thickBot="1" x14ac:dyDescent="0.35">
      <c r="A609" s="5" t="s">
        <v>597</v>
      </c>
      <c r="B609">
        <v>-1</v>
      </c>
      <c r="C609" s="4"/>
    </row>
    <row r="610" spans="1:3" ht="15" thickBot="1" x14ac:dyDescent="0.35">
      <c r="A610" s="5" t="s">
        <v>598</v>
      </c>
      <c r="B610">
        <v>-1</v>
      </c>
      <c r="C610" s="4"/>
    </row>
    <row r="611" spans="1:3" ht="15" thickBot="1" x14ac:dyDescent="0.35">
      <c r="A611" s="5" t="s">
        <v>599</v>
      </c>
      <c r="B611">
        <v>-1</v>
      </c>
      <c r="C611" s="4"/>
    </row>
    <row r="612" spans="1:3" ht="15" thickBot="1" x14ac:dyDescent="0.35">
      <c r="A612" s="5" t="s">
        <v>600</v>
      </c>
      <c r="B612">
        <v>-1</v>
      </c>
      <c r="C612" s="4"/>
    </row>
    <row r="613" spans="1:3" ht="15" thickBot="1" x14ac:dyDescent="0.35">
      <c r="A613" s="5" t="s">
        <v>601</v>
      </c>
      <c r="B613">
        <v>-1</v>
      </c>
      <c r="C613" s="4"/>
    </row>
    <row r="614" spans="1:3" ht="15" thickBot="1" x14ac:dyDescent="0.35">
      <c r="A614" s="5" t="s">
        <v>602</v>
      </c>
      <c r="B614">
        <v>-1</v>
      </c>
      <c r="C614" s="4"/>
    </row>
    <row r="615" spans="1:3" ht="15" thickBot="1" x14ac:dyDescent="0.35">
      <c r="A615" s="5" t="s">
        <v>603</v>
      </c>
      <c r="B615">
        <v>-1</v>
      </c>
      <c r="C615" s="4"/>
    </row>
    <row r="616" spans="1:3" ht="15" thickBot="1" x14ac:dyDescent="0.35">
      <c r="A616" s="5" t="s">
        <v>604</v>
      </c>
      <c r="B616">
        <v>-1</v>
      </c>
      <c r="C616" s="4"/>
    </row>
    <row r="617" spans="1:3" ht="15" thickBot="1" x14ac:dyDescent="0.35">
      <c r="A617" s="5" t="s">
        <v>605</v>
      </c>
      <c r="B617">
        <v>-1</v>
      </c>
      <c r="C617" s="4"/>
    </row>
    <row r="618" spans="1:3" ht="15" thickBot="1" x14ac:dyDescent="0.35">
      <c r="A618" s="5" t="s">
        <v>606</v>
      </c>
      <c r="B618">
        <v>-1</v>
      </c>
      <c r="C618" s="4"/>
    </row>
    <row r="619" spans="1:3" ht="15" thickBot="1" x14ac:dyDescent="0.35">
      <c r="A619" s="5" t="s">
        <v>607</v>
      </c>
      <c r="B619">
        <v>-1</v>
      </c>
      <c r="C619" s="4"/>
    </row>
    <row r="620" spans="1:3" ht="15" thickBot="1" x14ac:dyDescent="0.35">
      <c r="A620" s="5" t="s">
        <v>608</v>
      </c>
      <c r="B620">
        <v>-1</v>
      </c>
      <c r="C620" s="4"/>
    </row>
    <row r="621" spans="1:3" ht="15" thickBot="1" x14ac:dyDescent="0.35">
      <c r="A621" s="5" t="s">
        <v>609</v>
      </c>
      <c r="B621">
        <v>-1</v>
      </c>
      <c r="C621" s="4"/>
    </row>
    <row r="622" spans="1:3" ht="15" thickBot="1" x14ac:dyDescent="0.35">
      <c r="A622" s="5" t="s">
        <v>610</v>
      </c>
      <c r="B622">
        <v>-1</v>
      </c>
      <c r="C622" s="4"/>
    </row>
    <row r="623" spans="1:3" ht="15" thickBot="1" x14ac:dyDescent="0.35">
      <c r="A623" s="5" t="s">
        <v>611</v>
      </c>
      <c r="B623">
        <v>-1</v>
      </c>
      <c r="C623" s="4"/>
    </row>
    <row r="624" spans="1:3" ht="15" thickBot="1" x14ac:dyDescent="0.35">
      <c r="A624" s="5" t="s">
        <v>612</v>
      </c>
      <c r="B624">
        <v>-1</v>
      </c>
      <c r="C624" s="4"/>
    </row>
    <row r="625" spans="1:3" ht="15" thickBot="1" x14ac:dyDescent="0.35">
      <c r="A625" s="5" t="s">
        <v>613</v>
      </c>
      <c r="B625">
        <v>-1</v>
      </c>
      <c r="C625" s="4"/>
    </row>
    <row r="626" spans="1:3" ht="15" thickBot="1" x14ac:dyDescent="0.35">
      <c r="A626" s="5" t="s">
        <v>614</v>
      </c>
      <c r="B626">
        <v>-1</v>
      </c>
      <c r="C626" s="4"/>
    </row>
    <row r="627" spans="1:3" ht="15" thickBot="1" x14ac:dyDescent="0.35">
      <c r="A627" s="5" t="s">
        <v>615</v>
      </c>
      <c r="B627">
        <v>-1</v>
      </c>
      <c r="C627" s="4"/>
    </row>
    <row r="628" spans="1:3" ht="15" thickBot="1" x14ac:dyDescent="0.35">
      <c r="A628" s="5" t="s">
        <v>616</v>
      </c>
      <c r="B628">
        <v>-1</v>
      </c>
      <c r="C628" s="4"/>
    </row>
    <row r="629" spans="1:3" ht="15" thickBot="1" x14ac:dyDescent="0.35">
      <c r="A629" s="5" t="s">
        <v>617</v>
      </c>
      <c r="B629">
        <v>-1</v>
      </c>
      <c r="C629" s="4"/>
    </row>
    <row r="630" spans="1:3" ht="15" thickBot="1" x14ac:dyDescent="0.35">
      <c r="A630" s="5" t="s">
        <v>618</v>
      </c>
      <c r="B630">
        <v>0</v>
      </c>
      <c r="C630" s="5" t="s">
        <v>765</v>
      </c>
    </row>
    <row r="631" spans="1:3" ht="15" thickBot="1" x14ac:dyDescent="0.35">
      <c r="A631" s="5" t="s">
        <v>618</v>
      </c>
      <c r="B631">
        <v>0</v>
      </c>
      <c r="C631" s="5" t="s">
        <v>765</v>
      </c>
    </row>
    <row r="632" spans="1:3" ht="15" thickBot="1" x14ac:dyDescent="0.35">
      <c r="A632" s="5" t="s">
        <v>619</v>
      </c>
      <c r="B632">
        <v>-1</v>
      </c>
      <c r="C632" s="4"/>
    </row>
    <row r="633" spans="1:3" ht="15" thickBot="1" x14ac:dyDescent="0.35">
      <c r="A633" s="5" t="s">
        <v>620</v>
      </c>
      <c r="B633">
        <v>-1</v>
      </c>
      <c r="C633" s="4"/>
    </row>
    <row r="634" spans="1:3" ht="15" thickBot="1" x14ac:dyDescent="0.35">
      <c r="A634" s="5" t="s">
        <v>621</v>
      </c>
      <c r="B634">
        <v>-1</v>
      </c>
      <c r="C634" s="4"/>
    </row>
    <row r="635" spans="1:3" ht="15" thickBot="1" x14ac:dyDescent="0.35">
      <c r="A635" s="5" t="s">
        <v>622</v>
      </c>
      <c r="B635">
        <v>-1</v>
      </c>
      <c r="C635" s="4"/>
    </row>
    <row r="636" spans="1:3" ht="15" thickBot="1" x14ac:dyDescent="0.35">
      <c r="A636" s="5" t="s">
        <v>623</v>
      </c>
      <c r="B636">
        <v>-1</v>
      </c>
      <c r="C636" s="4"/>
    </row>
    <row r="637" spans="1:3" ht="15" thickBot="1" x14ac:dyDescent="0.35">
      <c r="A637" s="5" t="s">
        <v>624</v>
      </c>
      <c r="B637">
        <v>-1</v>
      </c>
      <c r="C637" s="4"/>
    </row>
    <row r="638" spans="1:3" ht="15" thickBot="1" x14ac:dyDescent="0.35">
      <c r="A638" s="5" t="s">
        <v>625</v>
      </c>
      <c r="B638">
        <v>-1</v>
      </c>
      <c r="C638" s="4"/>
    </row>
    <row r="639" spans="1:3" ht="15" thickBot="1" x14ac:dyDescent="0.35">
      <c r="A639" s="5" t="s">
        <v>626</v>
      </c>
      <c r="B639">
        <v>-1</v>
      </c>
      <c r="C639" s="4"/>
    </row>
    <row r="640" spans="1:3" ht="15" thickBot="1" x14ac:dyDescent="0.35">
      <c r="A640" s="5" t="s">
        <v>627</v>
      </c>
      <c r="B640">
        <v>-1</v>
      </c>
      <c r="C640" s="4"/>
    </row>
    <row r="641" spans="1:3" ht="15" thickBot="1" x14ac:dyDescent="0.35">
      <c r="A641" s="5" t="s">
        <v>628</v>
      </c>
      <c r="B641">
        <v>-1</v>
      </c>
      <c r="C641" s="4"/>
    </row>
    <row r="642" spans="1:3" ht="15" thickBot="1" x14ac:dyDescent="0.35">
      <c r="A642" s="5" t="s">
        <v>629</v>
      </c>
      <c r="B642">
        <v>-1</v>
      </c>
      <c r="C642" s="4"/>
    </row>
    <row r="643" spans="1:3" ht="15" thickBot="1" x14ac:dyDescent="0.35">
      <c r="A643" s="5" t="s">
        <v>630</v>
      </c>
      <c r="B643">
        <v>-1</v>
      </c>
      <c r="C643" s="4"/>
    </row>
    <row r="644" spans="1:3" ht="15" thickBot="1" x14ac:dyDescent="0.35">
      <c r="A644" s="5" t="s">
        <v>631</v>
      </c>
      <c r="B644">
        <v>-1</v>
      </c>
      <c r="C644" s="4"/>
    </row>
    <row r="645" spans="1:3" ht="15" thickBot="1" x14ac:dyDescent="0.35">
      <c r="A645" s="5" t="s">
        <v>632</v>
      </c>
      <c r="B645">
        <v>-1</v>
      </c>
      <c r="C645" s="4"/>
    </row>
    <row r="646" spans="1:3" ht="15" thickBot="1" x14ac:dyDescent="0.35">
      <c r="A646" s="5" t="s">
        <v>633</v>
      </c>
      <c r="B646">
        <v>-1</v>
      </c>
      <c r="C646" s="4"/>
    </row>
    <row r="647" spans="1:3" ht="15" thickBot="1" x14ac:dyDescent="0.35">
      <c r="A647" s="5" t="s">
        <v>634</v>
      </c>
      <c r="B647">
        <v>-1</v>
      </c>
      <c r="C647" s="4"/>
    </row>
    <row r="648" spans="1:3" ht="15" thickBot="1" x14ac:dyDescent="0.35">
      <c r="A648" s="5" t="s">
        <v>635</v>
      </c>
      <c r="B648">
        <v>-1</v>
      </c>
      <c r="C648" s="4"/>
    </row>
    <row r="649" spans="1:3" ht="15" thickBot="1" x14ac:dyDescent="0.35">
      <c r="A649" s="5" t="s">
        <v>636</v>
      </c>
      <c r="B649">
        <v>-1</v>
      </c>
      <c r="C649" s="4"/>
    </row>
    <row r="650" spans="1:3" ht="15" thickBot="1" x14ac:dyDescent="0.35">
      <c r="A650" s="5" t="s">
        <v>637</v>
      </c>
      <c r="B650">
        <v>-1</v>
      </c>
      <c r="C650" s="4"/>
    </row>
    <row r="651" spans="1:3" ht="15" thickBot="1" x14ac:dyDescent="0.35">
      <c r="A651" s="5" t="s">
        <v>638</v>
      </c>
      <c r="B651">
        <v>0</v>
      </c>
      <c r="C651" s="5" t="s">
        <v>765</v>
      </c>
    </row>
    <row r="652" spans="1:3" ht="15" thickBot="1" x14ac:dyDescent="0.35">
      <c r="A652" s="5" t="s">
        <v>638</v>
      </c>
      <c r="B652">
        <v>0</v>
      </c>
      <c r="C652" s="5" t="s">
        <v>765</v>
      </c>
    </row>
    <row r="653" spans="1:3" ht="15" thickBot="1" x14ac:dyDescent="0.35">
      <c r="A653" s="5" t="s">
        <v>639</v>
      </c>
      <c r="B653">
        <v>-1</v>
      </c>
      <c r="C653" s="4"/>
    </row>
    <row r="654" spans="1:3" ht="15" thickBot="1" x14ac:dyDescent="0.35">
      <c r="A654" s="5" t="s">
        <v>640</v>
      </c>
      <c r="B654">
        <v>-1</v>
      </c>
      <c r="C654" s="4"/>
    </row>
    <row r="655" spans="1:3" ht="15" thickBot="1" x14ac:dyDescent="0.35">
      <c r="A655" s="5" t="s">
        <v>641</v>
      </c>
      <c r="B655">
        <v>-1</v>
      </c>
      <c r="C655" s="4"/>
    </row>
    <row r="656" spans="1:3" ht="15" thickBot="1" x14ac:dyDescent="0.35">
      <c r="A656" s="5" t="s">
        <v>642</v>
      </c>
      <c r="B656">
        <v>-1</v>
      </c>
      <c r="C656" s="4"/>
    </row>
    <row r="657" spans="1:3" ht="15" thickBot="1" x14ac:dyDescent="0.35">
      <c r="A657" s="5" t="s">
        <v>643</v>
      </c>
      <c r="B657">
        <v>-1</v>
      </c>
      <c r="C657" s="4"/>
    </row>
    <row r="658" spans="1:3" ht="15" thickBot="1" x14ac:dyDescent="0.35">
      <c r="A658" s="5" t="s">
        <v>644</v>
      </c>
      <c r="B658">
        <v>-1</v>
      </c>
      <c r="C658" s="4"/>
    </row>
    <row r="659" spans="1:3" ht="15" thickBot="1" x14ac:dyDescent="0.35">
      <c r="A659" s="5" t="s">
        <v>645</v>
      </c>
      <c r="B659">
        <v>-1</v>
      </c>
      <c r="C659" s="4"/>
    </row>
    <row r="660" spans="1:3" ht="15" thickBot="1" x14ac:dyDescent="0.35">
      <c r="A660" s="5" t="s">
        <v>646</v>
      </c>
      <c r="B660">
        <v>-1</v>
      </c>
      <c r="C660" s="4"/>
    </row>
    <row r="661" spans="1:3" ht="15" thickBot="1" x14ac:dyDescent="0.35">
      <c r="A661" s="5" t="s">
        <v>647</v>
      </c>
      <c r="B661">
        <v>-1</v>
      </c>
      <c r="C661" s="4"/>
    </row>
    <row r="662" spans="1:3" ht="15" thickBot="1" x14ac:dyDescent="0.35">
      <c r="A662" s="5" t="s">
        <v>648</v>
      </c>
      <c r="B662">
        <v>-1</v>
      </c>
      <c r="C662" s="4"/>
    </row>
    <row r="663" spans="1:3" ht="15" thickBot="1" x14ac:dyDescent="0.35">
      <c r="A663" s="5" t="s">
        <v>649</v>
      </c>
      <c r="B663">
        <v>-1</v>
      </c>
      <c r="C663" s="4"/>
    </row>
    <row r="664" spans="1:3" ht="15" thickBot="1" x14ac:dyDescent="0.35">
      <c r="A664" s="5" t="s">
        <v>650</v>
      </c>
      <c r="B664">
        <v>-1</v>
      </c>
      <c r="C664" s="4"/>
    </row>
    <row r="665" spans="1:3" ht="15" thickBot="1" x14ac:dyDescent="0.35">
      <c r="A665" s="5" t="s">
        <v>651</v>
      </c>
      <c r="B665">
        <v>-1</v>
      </c>
      <c r="C665" s="4"/>
    </row>
    <row r="666" spans="1:3" ht="15" thickBot="1" x14ac:dyDescent="0.35">
      <c r="A666" s="5" t="s">
        <v>652</v>
      </c>
      <c r="B666">
        <v>-1</v>
      </c>
      <c r="C666" s="4"/>
    </row>
    <row r="667" spans="1:3" ht="15" thickBot="1" x14ac:dyDescent="0.35">
      <c r="A667" s="5" t="s">
        <v>653</v>
      </c>
      <c r="B667">
        <v>-1</v>
      </c>
      <c r="C667" s="4"/>
    </row>
    <row r="668" spans="1:3" ht="15" thickBot="1" x14ac:dyDescent="0.35">
      <c r="A668" s="5" t="s">
        <v>654</v>
      </c>
      <c r="B668">
        <v>-1</v>
      </c>
      <c r="C668" s="4"/>
    </row>
    <row r="669" spans="1:3" ht="15" thickBot="1" x14ac:dyDescent="0.35">
      <c r="A669" s="5" t="s">
        <v>655</v>
      </c>
      <c r="B669">
        <v>-1</v>
      </c>
      <c r="C669" s="4"/>
    </row>
    <row r="670" spans="1:3" ht="15" thickBot="1" x14ac:dyDescent="0.35">
      <c r="A670" s="5" t="s">
        <v>656</v>
      </c>
      <c r="B670">
        <v>-1</v>
      </c>
      <c r="C670" s="4"/>
    </row>
    <row r="671" spans="1:3" ht="15" thickBot="1" x14ac:dyDescent="0.35">
      <c r="A671" s="5" t="s">
        <v>657</v>
      </c>
      <c r="B671">
        <v>-1</v>
      </c>
      <c r="C671" s="4"/>
    </row>
    <row r="672" spans="1:3" ht="15" thickBot="1" x14ac:dyDescent="0.35">
      <c r="A672" s="5" t="s">
        <v>658</v>
      </c>
      <c r="B672">
        <v>-1</v>
      </c>
      <c r="C672" s="4"/>
    </row>
    <row r="673" spans="1:3" ht="15" thickBot="1" x14ac:dyDescent="0.35">
      <c r="A673" s="5" t="s">
        <v>659</v>
      </c>
      <c r="B673">
        <v>-1</v>
      </c>
      <c r="C673" s="4"/>
    </row>
    <row r="674" spans="1:3" ht="15" thickBot="1" x14ac:dyDescent="0.35">
      <c r="A674" s="5" t="s">
        <v>660</v>
      </c>
      <c r="B674">
        <v>-1</v>
      </c>
      <c r="C674" s="4"/>
    </row>
    <row r="675" spans="1:3" ht="15" thickBot="1" x14ac:dyDescent="0.35">
      <c r="A675" s="4"/>
      <c r="C675" s="4"/>
    </row>
    <row r="676" spans="1:3" ht="15" thickBot="1" x14ac:dyDescent="0.35">
      <c r="A676" s="4"/>
      <c r="C676" s="4"/>
    </row>
    <row r="677" spans="1:3" ht="15" thickBot="1" x14ac:dyDescent="0.35">
      <c r="A677" s="4"/>
      <c r="C677" s="4"/>
    </row>
    <row r="678" spans="1:3" ht="15" thickBot="1" x14ac:dyDescent="0.35">
      <c r="A678" s="4"/>
      <c r="C678" s="4"/>
    </row>
    <row r="679" spans="1:3" ht="15" thickBot="1" x14ac:dyDescent="0.35">
      <c r="A679" s="4"/>
      <c r="C679" s="4"/>
    </row>
    <row r="680" spans="1:3" ht="15" thickBot="1" x14ac:dyDescent="0.35">
      <c r="A680" s="4"/>
      <c r="C680" s="4"/>
    </row>
    <row r="681" spans="1:3" ht="15" thickBot="1" x14ac:dyDescent="0.35">
      <c r="A681" s="4"/>
      <c r="C681" s="4"/>
    </row>
    <row r="682" spans="1:3" ht="15" thickBot="1" x14ac:dyDescent="0.35">
      <c r="A682" s="4"/>
      <c r="C682" s="4"/>
    </row>
    <row r="683" spans="1:3" ht="15" thickBot="1" x14ac:dyDescent="0.35">
      <c r="A683" s="4"/>
      <c r="C683" s="4"/>
    </row>
    <row r="684" spans="1:3" ht="15" thickBot="1" x14ac:dyDescent="0.35">
      <c r="A684" s="4"/>
      <c r="C684" s="4"/>
    </row>
    <row r="685" spans="1:3" ht="15" thickBot="1" x14ac:dyDescent="0.35">
      <c r="A685" s="4"/>
      <c r="C685" s="4"/>
    </row>
    <row r="686" spans="1:3" ht="15" thickBot="1" x14ac:dyDescent="0.35">
      <c r="A686" s="4"/>
      <c r="C686" s="4"/>
    </row>
    <row r="687" spans="1:3" ht="15" thickBot="1" x14ac:dyDescent="0.35">
      <c r="A687" s="4"/>
      <c r="C687" s="4"/>
    </row>
    <row r="688" spans="1:3" ht="15" thickBot="1" x14ac:dyDescent="0.35">
      <c r="A688" s="4"/>
      <c r="C688" s="4"/>
    </row>
    <row r="689" spans="1:3" ht="15" thickBot="1" x14ac:dyDescent="0.35">
      <c r="A689" s="4"/>
      <c r="C689" s="4"/>
    </row>
    <row r="690" spans="1:3" ht="15" thickBot="1" x14ac:dyDescent="0.35">
      <c r="A690" s="4"/>
      <c r="C690" s="4"/>
    </row>
    <row r="691" spans="1:3" ht="15" thickBot="1" x14ac:dyDescent="0.35">
      <c r="A691" s="4"/>
      <c r="C691" s="4"/>
    </row>
    <row r="692" spans="1:3" ht="15" thickBot="1" x14ac:dyDescent="0.35">
      <c r="A692" s="4"/>
      <c r="C692" s="4"/>
    </row>
    <row r="693" spans="1:3" ht="15" thickBot="1" x14ac:dyDescent="0.35">
      <c r="A693" s="4"/>
      <c r="C693" s="4"/>
    </row>
    <row r="694" spans="1:3" ht="15" thickBot="1" x14ac:dyDescent="0.35">
      <c r="A694" s="4"/>
      <c r="C694" s="4"/>
    </row>
    <row r="695" spans="1:3" ht="15" thickBot="1" x14ac:dyDescent="0.35">
      <c r="A695" s="4"/>
      <c r="C695" s="4"/>
    </row>
    <row r="696" spans="1:3" ht="15" thickBot="1" x14ac:dyDescent="0.35">
      <c r="A696" s="4"/>
      <c r="C696" s="4"/>
    </row>
    <row r="697" spans="1:3" ht="15" thickBot="1" x14ac:dyDescent="0.35">
      <c r="A697" s="4"/>
      <c r="C697" s="4"/>
    </row>
    <row r="698" spans="1:3" ht="15" thickBot="1" x14ac:dyDescent="0.35">
      <c r="A698" s="4"/>
      <c r="C698" s="4"/>
    </row>
    <row r="699" spans="1:3" ht="15" thickBot="1" x14ac:dyDescent="0.35">
      <c r="A699" s="4"/>
      <c r="C699" s="4"/>
    </row>
    <row r="700" spans="1:3" ht="15" thickBot="1" x14ac:dyDescent="0.35">
      <c r="A700" s="4"/>
      <c r="C700" s="4"/>
    </row>
    <row r="701" spans="1:3" ht="15" thickBot="1" x14ac:dyDescent="0.35">
      <c r="A701" s="4"/>
      <c r="C701" s="4"/>
    </row>
    <row r="702" spans="1:3" ht="15" thickBot="1" x14ac:dyDescent="0.35">
      <c r="A702" s="4"/>
      <c r="C702" s="4"/>
    </row>
    <row r="703" spans="1:3" ht="15" thickBot="1" x14ac:dyDescent="0.35">
      <c r="A703" s="4"/>
      <c r="C703" s="4"/>
    </row>
    <row r="704" spans="1:3" ht="15" thickBot="1" x14ac:dyDescent="0.35">
      <c r="A704" s="4"/>
      <c r="C704" s="4"/>
    </row>
    <row r="705" spans="1:3" ht="15" thickBot="1" x14ac:dyDescent="0.35">
      <c r="A705" s="4"/>
      <c r="C705" s="4"/>
    </row>
    <row r="706" spans="1:3" ht="15" thickBot="1" x14ac:dyDescent="0.35">
      <c r="A706" s="4"/>
      <c r="C706" s="4"/>
    </row>
    <row r="707" spans="1:3" ht="15" thickBot="1" x14ac:dyDescent="0.35">
      <c r="A707" s="4"/>
      <c r="C707" s="4"/>
    </row>
    <row r="708" spans="1:3" ht="15" thickBot="1" x14ac:dyDescent="0.35">
      <c r="A708" s="4"/>
      <c r="C708" s="4"/>
    </row>
    <row r="709" spans="1:3" ht="15" thickBot="1" x14ac:dyDescent="0.35">
      <c r="A709" s="4"/>
      <c r="C709" s="4"/>
    </row>
    <row r="710" spans="1:3" ht="15" thickBot="1" x14ac:dyDescent="0.35">
      <c r="A710" s="4"/>
      <c r="C710" s="4"/>
    </row>
    <row r="711" spans="1:3" ht="15" thickBot="1" x14ac:dyDescent="0.35">
      <c r="A711" s="4"/>
      <c r="C711" s="4"/>
    </row>
    <row r="712" spans="1:3" ht="15" thickBot="1" x14ac:dyDescent="0.35">
      <c r="A712" s="4"/>
      <c r="C712" s="4"/>
    </row>
    <row r="713" spans="1:3" ht="15" thickBot="1" x14ac:dyDescent="0.35">
      <c r="A713" s="4"/>
      <c r="C713" s="4"/>
    </row>
    <row r="714" spans="1:3" ht="15" thickBot="1" x14ac:dyDescent="0.35">
      <c r="A714" s="4"/>
      <c r="C714" s="4"/>
    </row>
    <row r="715" spans="1:3" ht="15" thickBot="1" x14ac:dyDescent="0.35">
      <c r="A715" s="4"/>
      <c r="C715" s="4"/>
    </row>
    <row r="716" spans="1:3" ht="15" thickBot="1" x14ac:dyDescent="0.35">
      <c r="A716" s="4"/>
      <c r="C716" s="4"/>
    </row>
    <row r="717" spans="1:3" ht="15" thickBot="1" x14ac:dyDescent="0.35">
      <c r="A717" s="4"/>
      <c r="C717" s="4"/>
    </row>
    <row r="718" spans="1:3" ht="15" thickBot="1" x14ac:dyDescent="0.35">
      <c r="A718" s="4"/>
      <c r="C718" s="4"/>
    </row>
    <row r="719" spans="1:3" ht="15" thickBot="1" x14ac:dyDescent="0.35">
      <c r="A719" s="4"/>
      <c r="C719" s="4"/>
    </row>
    <row r="720" spans="1:3" ht="15" thickBot="1" x14ac:dyDescent="0.35">
      <c r="A720" s="4"/>
      <c r="C720" s="4"/>
    </row>
    <row r="721" spans="1:3" ht="15" thickBot="1" x14ac:dyDescent="0.35">
      <c r="A721" s="4"/>
      <c r="C721" s="4"/>
    </row>
    <row r="722" spans="1:3" ht="15" thickBot="1" x14ac:dyDescent="0.35">
      <c r="A722" s="4"/>
      <c r="C722" s="4"/>
    </row>
    <row r="723" spans="1:3" ht="15" thickBot="1" x14ac:dyDescent="0.35">
      <c r="A723" s="4"/>
      <c r="C723" s="4"/>
    </row>
    <row r="724" spans="1:3" ht="15" thickBot="1" x14ac:dyDescent="0.35">
      <c r="A724" s="4"/>
      <c r="C724" s="4"/>
    </row>
    <row r="725" spans="1:3" ht="15" thickBot="1" x14ac:dyDescent="0.35">
      <c r="A725" s="4"/>
      <c r="C725" s="4"/>
    </row>
    <row r="726" spans="1:3" ht="15" thickBot="1" x14ac:dyDescent="0.35">
      <c r="A726" s="4"/>
      <c r="C726" s="4"/>
    </row>
    <row r="727" spans="1:3" ht="15" thickBot="1" x14ac:dyDescent="0.35">
      <c r="A727" s="4"/>
      <c r="C727" s="4"/>
    </row>
    <row r="728" spans="1:3" ht="15" thickBot="1" x14ac:dyDescent="0.35">
      <c r="A728" s="4"/>
      <c r="C728" s="4"/>
    </row>
    <row r="729" spans="1:3" ht="15" thickBot="1" x14ac:dyDescent="0.35">
      <c r="A729" s="4"/>
      <c r="C729" s="4"/>
    </row>
    <row r="730" spans="1:3" ht="15" thickBot="1" x14ac:dyDescent="0.35">
      <c r="A730" s="4"/>
      <c r="C730" s="4"/>
    </row>
    <row r="731" spans="1:3" ht="15" thickBot="1" x14ac:dyDescent="0.35">
      <c r="A731" s="4"/>
      <c r="C731" s="4"/>
    </row>
    <row r="732" spans="1:3" ht="15" thickBot="1" x14ac:dyDescent="0.35">
      <c r="A732" s="4"/>
      <c r="C732" s="4"/>
    </row>
    <row r="733" spans="1:3" ht="15" thickBot="1" x14ac:dyDescent="0.35">
      <c r="A733" s="4"/>
      <c r="C733" s="4"/>
    </row>
    <row r="734" spans="1:3" ht="15" thickBot="1" x14ac:dyDescent="0.35">
      <c r="A734" s="4"/>
      <c r="C734" s="4"/>
    </row>
    <row r="735" spans="1:3" ht="15" thickBot="1" x14ac:dyDescent="0.35">
      <c r="A735" s="4"/>
      <c r="C735" s="4"/>
    </row>
    <row r="736" spans="1:3" ht="15" thickBot="1" x14ac:dyDescent="0.35">
      <c r="A736" s="4"/>
      <c r="C736" s="4"/>
    </row>
    <row r="737" spans="1:3" ht="15" thickBot="1" x14ac:dyDescent="0.35">
      <c r="A737" s="4"/>
      <c r="C737" s="4"/>
    </row>
    <row r="738" spans="1:3" ht="15" thickBot="1" x14ac:dyDescent="0.35">
      <c r="A738" s="4"/>
      <c r="C738" s="4"/>
    </row>
    <row r="739" spans="1:3" ht="15" thickBot="1" x14ac:dyDescent="0.35">
      <c r="A739" s="4"/>
      <c r="C739" s="4"/>
    </row>
    <row r="740" spans="1:3" ht="15" thickBot="1" x14ac:dyDescent="0.35">
      <c r="A740" s="4"/>
      <c r="C740" s="4"/>
    </row>
    <row r="741" spans="1:3" ht="15" thickBot="1" x14ac:dyDescent="0.35">
      <c r="A741" s="4"/>
      <c r="C741" s="4"/>
    </row>
    <row r="742" spans="1:3" ht="15" thickBot="1" x14ac:dyDescent="0.35">
      <c r="A742" s="4"/>
      <c r="C742" s="4"/>
    </row>
    <row r="743" spans="1:3" ht="15" thickBot="1" x14ac:dyDescent="0.35">
      <c r="A743" s="4"/>
      <c r="C743" s="4"/>
    </row>
    <row r="744" spans="1:3" ht="15" thickBot="1" x14ac:dyDescent="0.35">
      <c r="A744" s="4"/>
      <c r="C744" s="4"/>
    </row>
    <row r="745" spans="1:3" ht="15" thickBot="1" x14ac:dyDescent="0.35">
      <c r="A745" s="4"/>
      <c r="C745" s="4"/>
    </row>
    <row r="746" spans="1:3" ht="15" thickBot="1" x14ac:dyDescent="0.35">
      <c r="A746" s="4"/>
      <c r="C746" s="4"/>
    </row>
    <row r="747" spans="1:3" ht="15" thickBot="1" x14ac:dyDescent="0.35">
      <c r="A747" s="4"/>
      <c r="C747" s="4"/>
    </row>
    <row r="748" spans="1:3" ht="15" thickBot="1" x14ac:dyDescent="0.35">
      <c r="A748" s="4"/>
      <c r="C748" s="4"/>
    </row>
    <row r="749" spans="1:3" ht="15" thickBot="1" x14ac:dyDescent="0.35">
      <c r="A749" s="4"/>
      <c r="C749" s="4"/>
    </row>
    <row r="750" spans="1:3" ht="15" thickBot="1" x14ac:dyDescent="0.35">
      <c r="A750" s="4"/>
      <c r="C750" s="4"/>
    </row>
    <row r="751" spans="1:3" ht="15" thickBot="1" x14ac:dyDescent="0.35">
      <c r="A751" s="4"/>
      <c r="C751" s="4"/>
    </row>
    <row r="752" spans="1:3" ht="15" thickBot="1" x14ac:dyDescent="0.35">
      <c r="A752" s="4"/>
      <c r="C752" s="4"/>
    </row>
    <row r="753" spans="1:3" ht="15" thickBot="1" x14ac:dyDescent="0.35">
      <c r="A753" s="4"/>
      <c r="C753" s="4"/>
    </row>
    <row r="754" spans="1:3" ht="15" thickBot="1" x14ac:dyDescent="0.35">
      <c r="A754" s="4"/>
      <c r="C754" s="4"/>
    </row>
    <row r="755" spans="1:3" ht="15" thickBot="1" x14ac:dyDescent="0.35">
      <c r="A755" s="4"/>
      <c r="C755" s="4"/>
    </row>
    <row r="756" spans="1:3" ht="15" thickBot="1" x14ac:dyDescent="0.35">
      <c r="A756" s="4"/>
      <c r="C756" s="4"/>
    </row>
    <row r="757" spans="1:3" ht="15" thickBot="1" x14ac:dyDescent="0.35">
      <c r="A757" s="4"/>
      <c r="C757" s="4"/>
    </row>
    <row r="758" spans="1:3" ht="15" thickBot="1" x14ac:dyDescent="0.35">
      <c r="A758" s="4"/>
      <c r="C758" s="4"/>
    </row>
    <row r="759" spans="1:3" ht="15" thickBot="1" x14ac:dyDescent="0.35">
      <c r="A759" s="4"/>
      <c r="C759" s="4"/>
    </row>
    <row r="760" spans="1:3" ht="15" thickBot="1" x14ac:dyDescent="0.35">
      <c r="A760" s="4"/>
      <c r="C760" s="4"/>
    </row>
    <row r="761" spans="1:3" ht="15" thickBot="1" x14ac:dyDescent="0.35">
      <c r="A761" s="4"/>
      <c r="C761" s="4"/>
    </row>
    <row r="762" spans="1:3" ht="15" thickBot="1" x14ac:dyDescent="0.35">
      <c r="A762" s="4"/>
      <c r="C762" s="4"/>
    </row>
    <row r="763" spans="1:3" ht="15" thickBot="1" x14ac:dyDescent="0.35">
      <c r="A763" s="4"/>
      <c r="C763" s="4"/>
    </row>
    <row r="764" spans="1:3" ht="15" thickBot="1" x14ac:dyDescent="0.35">
      <c r="A764" s="4"/>
      <c r="C764" s="4"/>
    </row>
    <row r="765" spans="1:3" ht="15" thickBot="1" x14ac:dyDescent="0.35">
      <c r="A765" s="4"/>
      <c r="C765" s="4"/>
    </row>
    <row r="766" spans="1:3" ht="15" thickBot="1" x14ac:dyDescent="0.35">
      <c r="A766" s="4"/>
      <c r="C766" s="4"/>
    </row>
    <row r="767" spans="1:3" ht="15" thickBot="1" x14ac:dyDescent="0.35">
      <c r="A767" s="4"/>
      <c r="C767" s="4"/>
    </row>
    <row r="768" spans="1:3" ht="15" thickBot="1" x14ac:dyDescent="0.35">
      <c r="A768" s="4"/>
      <c r="C768" s="4"/>
    </row>
    <row r="769" spans="1:3" ht="15" thickBot="1" x14ac:dyDescent="0.35">
      <c r="A769" s="4"/>
      <c r="C769" s="4"/>
    </row>
    <row r="770" spans="1:3" ht="15" thickBot="1" x14ac:dyDescent="0.35">
      <c r="A770" s="4"/>
      <c r="C770" s="4"/>
    </row>
    <row r="771" spans="1:3" ht="15" thickBot="1" x14ac:dyDescent="0.35">
      <c r="A771" s="4"/>
      <c r="C771" s="4"/>
    </row>
    <row r="772" spans="1:3" ht="15" thickBot="1" x14ac:dyDescent="0.35">
      <c r="A772" s="4"/>
      <c r="C772" s="4"/>
    </row>
    <row r="773" spans="1:3" ht="15" thickBot="1" x14ac:dyDescent="0.35">
      <c r="A773" s="4"/>
      <c r="C773" s="4"/>
    </row>
    <row r="774" spans="1:3" ht="15" thickBot="1" x14ac:dyDescent="0.35">
      <c r="A774" s="4"/>
      <c r="C774" s="4"/>
    </row>
    <row r="775" spans="1:3" ht="15" thickBot="1" x14ac:dyDescent="0.35">
      <c r="A775" s="4"/>
      <c r="C775" s="4"/>
    </row>
    <row r="776" spans="1:3" ht="15" thickBot="1" x14ac:dyDescent="0.35">
      <c r="A776" s="4"/>
      <c r="C776" s="4"/>
    </row>
    <row r="777" spans="1:3" ht="15" thickBot="1" x14ac:dyDescent="0.35">
      <c r="A777" s="4"/>
      <c r="C777" s="4"/>
    </row>
    <row r="778" spans="1:3" ht="15" thickBot="1" x14ac:dyDescent="0.35">
      <c r="A778" s="4"/>
      <c r="C778" s="4"/>
    </row>
    <row r="779" spans="1:3" ht="15" thickBot="1" x14ac:dyDescent="0.35">
      <c r="A779" s="4"/>
      <c r="C779" s="4"/>
    </row>
    <row r="780" spans="1:3" ht="15" thickBot="1" x14ac:dyDescent="0.35">
      <c r="A780" s="4"/>
      <c r="C780" s="4"/>
    </row>
    <row r="781" spans="1:3" ht="15" thickBot="1" x14ac:dyDescent="0.35">
      <c r="A781" s="4"/>
      <c r="C781" s="4"/>
    </row>
    <row r="782" spans="1:3" ht="15" thickBot="1" x14ac:dyDescent="0.35">
      <c r="A782" s="4"/>
      <c r="C782" s="4"/>
    </row>
    <row r="783" spans="1:3" ht="15" thickBot="1" x14ac:dyDescent="0.35">
      <c r="A783" s="4"/>
      <c r="C783" s="4"/>
    </row>
    <row r="784" spans="1:3" ht="15" thickBot="1" x14ac:dyDescent="0.35">
      <c r="A784" s="4"/>
      <c r="C784" s="4"/>
    </row>
    <row r="785" spans="1:3" ht="15" thickBot="1" x14ac:dyDescent="0.35">
      <c r="A785" s="4"/>
      <c r="C785" s="4"/>
    </row>
    <row r="786" spans="1:3" ht="15" thickBot="1" x14ac:dyDescent="0.35">
      <c r="A786" s="4"/>
      <c r="C786" s="4"/>
    </row>
    <row r="787" spans="1:3" ht="15" thickBot="1" x14ac:dyDescent="0.35">
      <c r="A787" s="4"/>
      <c r="C787" s="4"/>
    </row>
    <row r="788" spans="1:3" ht="15" thickBot="1" x14ac:dyDescent="0.35">
      <c r="A788" s="4"/>
      <c r="C788" s="4"/>
    </row>
    <row r="789" spans="1:3" ht="15" thickBot="1" x14ac:dyDescent="0.35">
      <c r="A789" s="4"/>
      <c r="C789" s="4"/>
    </row>
    <row r="790" spans="1:3" ht="15" thickBot="1" x14ac:dyDescent="0.35">
      <c r="A790" s="4"/>
      <c r="C790" s="4"/>
    </row>
    <row r="791" spans="1:3" ht="15" thickBot="1" x14ac:dyDescent="0.35">
      <c r="A791" s="4"/>
      <c r="C791" s="4"/>
    </row>
    <row r="792" spans="1:3" ht="15" thickBot="1" x14ac:dyDescent="0.35">
      <c r="A792" s="4"/>
      <c r="C792" s="4"/>
    </row>
    <row r="793" spans="1:3" ht="15" thickBot="1" x14ac:dyDescent="0.35">
      <c r="A793" s="4"/>
      <c r="C793" s="4"/>
    </row>
    <row r="794" spans="1:3" ht="15" thickBot="1" x14ac:dyDescent="0.35">
      <c r="A794" s="4"/>
      <c r="C794" s="4"/>
    </row>
    <row r="795" spans="1:3" ht="15" thickBot="1" x14ac:dyDescent="0.35">
      <c r="A795" s="4"/>
      <c r="C795" s="4"/>
    </row>
    <row r="796" spans="1:3" ht="15" thickBot="1" x14ac:dyDescent="0.35">
      <c r="A796" s="4"/>
      <c r="C796" s="4"/>
    </row>
    <row r="797" spans="1:3" ht="15" thickBot="1" x14ac:dyDescent="0.35">
      <c r="A797" s="4"/>
      <c r="C797" s="4"/>
    </row>
    <row r="798" spans="1:3" ht="15" thickBot="1" x14ac:dyDescent="0.35">
      <c r="A798" s="4"/>
      <c r="C798" s="4"/>
    </row>
    <row r="799" spans="1:3" ht="15" thickBot="1" x14ac:dyDescent="0.35">
      <c r="A799" s="4"/>
      <c r="C799" s="4"/>
    </row>
    <row r="800" spans="1:3" ht="15" thickBot="1" x14ac:dyDescent="0.35">
      <c r="A800" s="4"/>
      <c r="C800" s="4"/>
    </row>
    <row r="801" spans="1:3" ht="15" thickBot="1" x14ac:dyDescent="0.35">
      <c r="A801" s="4"/>
      <c r="C801" s="4"/>
    </row>
    <row r="802" spans="1:3" ht="15" thickBot="1" x14ac:dyDescent="0.35">
      <c r="A802" s="4"/>
      <c r="C802" s="4"/>
    </row>
    <row r="803" spans="1:3" ht="15" thickBot="1" x14ac:dyDescent="0.35">
      <c r="A803" s="4"/>
      <c r="C803" s="4"/>
    </row>
    <row r="804" spans="1:3" ht="15" thickBot="1" x14ac:dyDescent="0.35">
      <c r="A804" s="4"/>
      <c r="C804" s="4"/>
    </row>
    <row r="805" spans="1:3" ht="15" thickBot="1" x14ac:dyDescent="0.35">
      <c r="A805" s="4"/>
      <c r="C805" s="4"/>
    </row>
    <row r="806" spans="1:3" ht="15" thickBot="1" x14ac:dyDescent="0.35">
      <c r="A806" s="4"/>
      <c r="C806" s="4"/>
    </row>
    <row r="807" spans="1:3" ht="15" thickBot="1" x14ac:dyDescent="0.35">
      <c r="A807" s="4"/>
      <c r="C807" s="4"/>
    </row>
    <row r="808" spans="1:3" ht="15" thickBot="1" x14ac:dyDescent="0.35">
      <c r="A808" s="4"/>
      <c r="C808" s="4"/>
    </row>
    <row r="809" spans="1:3" ht="15" thickBot="1" x14ac:dyDescent="0.35">
      <c r="A809" s="4"/>
      <c r="C809" s="4"/>
    </row>
    <row r="810" spans="1:3" ht="15" thickBot="1" x14ac:dyDescent="0.35">
      <c r="A810" s="4"/>
      <c r="C810" s="4"/>
    </row>
    <row r="811" spans="1:3" ht="15" thickBot="1" x14ac:dyDescent="0.35">
      <c r="A811" s="4"/>
      <c r="C811" s="4"/>
    </row>
    <row r="812" spans="1:3" ht="15" thickBot="1" x14ac:dyDescent="0.35">
      <c r="A812" s="4"/>
      <c r="C812" s="4"/>
    </row>
    <row r="813" spans="1:3" ht="15" thickBot="1" x14ac:dyDescent="0.35">
      <c r="A813" s="4"/>
      <c r="C813" s="4"/>
    </row>
    <row r="814" spans="1:3" ht="15" thickBot="1" x14ac:dyDescent="0.35">
      <c r="A814" s="4"/>
      <c r="C814" s="4"/>
    </row>
    <row r="815" spans="1:3" ht="15" thickBot="1" x14ac:dyDescent="0.35">
      <c r="A815" s="4"/>
      <c r="C815" s="4"/>
    </row>
    <row r="816" spans="1:3" ht="15" thickBot="1" x14ac:dyDescent="0.35">
      <c r="A816" s="4"/>
      <c r="C816" s="4"/>
    </row>
    <row r="817" spans="1:3" ht="15" thickBot="1" x14ac:dyDescent="0.35">
      <c r="A817" s="4"/>
      <c r="C817" s="4"/>
    </row>
    <row r="818" spans="1:3" ht="15" thickBot="1" x14ac:dyDescent="0.35">
      <c r="A818" s="4"/>
      <c r="C818" s="4"/>
    </row>
    <row r="819" spans="1:3" ht="15" thickBot="1" x14ac:dyDescent="0.35">
      <c r="A819" s="4"/>
      <c r="C819" s="4"/>
    </row>
    <row r="820" spans="1:3" ht="15" thickBot="1" x14ac:dyDescent="0.35">
      <c r="A820" s="4"/>
      <c r="C820" s="4"/>
    </row>
    <row r="821" spans="1:3" ht="15" thickBot="1" x14ac:dyDescent="0.35">
      <c r="A821" s="4"/>
      <c r="C821" s="4"/>
    </row>
    <row r="822" spans="1:3" ht="15" thickBot="1" x14ac:dyDescent="0.35">
      <c r="A822" s="4"/>
      <c r="C822" s="4"/>
    </row>
    <row r="823" spans="1:3" ht="15" thickBot="1" x14ac:dyDescent="0.35">
      <c r="A823" s="4"/>
      <c r="C823" s="4"/>
    </row>
    <row r="824" spans="1:3" ht="15" thickBot="1" x14ac:dyDescent="0.35">
      <c r="A824" s="4"/>
      <c r="C824" s="4"/>
    </row>
    <row r="825" spans="1:3" ht="15" thickBot="1" x14ac:dyDescent="0.35">
      <c r="A825" s="4"/>
      <c r="C825" s="4"/>
    </row>
    <row r="826" spans="1:3" ht="15" thickBot="1" x14ac:dyDescent="0.35">
      <c r="A826" s="4"/>
      <c r="C826" s="4"/>
    </row>
    <row r="827" spans="1:3" ht="15" thickBot="1" x14ac:dyDescent="0.35">
      <c r="A827" s="4"/>
      <c r="C827" s="4"/>
    </row>
    <row r="828" spans="1:3" ht="15" thickBot="1" x14ac:dyDescent="0.35">
      <c r="A828" s="4"/>
      <c r="C828" s="4"/>
    </row>
    <row r="829" spans="1:3" ht="15" thickBot="1" x14ac:dyDescent="0.35">
      <c r="A829" s="4"/>
      <c r="C829" s="4"/>
    </row>
    <row r="830" spans="1:3" ht="15" thickBot="1" x14ac:dyDescent="0.35">
      <c r="A830" s="4"/>
      <c r="C830" s="4"/>
    </row>
    <row r="831" spans="1:3" ht="15" thickBot="1" x14ac:dyDescent="0.35">
      <c r="A831" s="4"/>
      <c r="C831" s="4"/>
    </row>
    <row r="832" spans="1:3" ht="15" thickBot="1" x14ac:dyDescent="0.35">
      <c r="A832" s="4"/>
      <c r="C832" s="4"/>
    </row>
    <row r="833" spans="1:3" ht="15" thickBot="1" x14ac:dyDescent="0.35">
      <c r="A833" s="4"/>
      <c r="C833" s="4"/>
    </row>
    <row r="834" spans="1:3" ht="15" thickBot="1" x14ac:dyDescent="0.35">
      <c r="A834" s="4"/>
      <c r="C834" s="4"/>
    </row>
    <row r="835" spans="1:3" ht="15" thickBot="1" x14ac:dyDescent="0.35">
      <c r="A835" s="4"/>
      <c r="C835" s="4"/>
    </row>
    <row r="836" spans="1:3" ht="15" thickBot="1" x14ac:dyDescent="0.35">
      <c r="A836" s="4"/>
      <c r="C836" s="4"/>
    </row>
    <row r="837" spans="1:3" ht="15" thickBot="1" x14ac:dyDescent="0.35">
      <c r="A837" s="4"/>
      <c r="C837" s="4"/>
    </row>
    <row r="838" spans="1:3" ht="15" thickBot="1" x14ac:dyDescent="0.35">
      <c r="A838" s="4"/>
      <c r="C838" s="4"/>
    </row>
    <row r="839" spans="1:3" ht="15" thickBot="1" x14ac:dyDescent="0.35">
      <c r="A839" s="4"/>
      <c r="C839" s="4"/>
    </row>
    <row r="840" spans="1:3" ht="15" thickBot="1" x14ac:dyDescent="0.35">
      <c r="A840" s="4"/>
      <c r="C840" s="4"/>
    </row>
    <row r="841" spans="1:3" ht="15" thickBot="1" x14ac:dyDescent="0.35">
      <c r="A841" s="4"/>
      <c r="C841" s="4"/>
    </row>
    <row r="842" spans="1:3" ht="15" thickBot="1" x14ac:dyDescent="0.35">
      <c r="A842" s="4"/>
      <c r="C842" s="4"/>
    </row>
    <row r="843" spans="1:3" ht="15" thickBot="1" x14ac:dyDescent="0.35">
      <c r="A843" s="4"/>
      <c r="C843" s="4"/>
    </row>
    <row r="844" spans="1:3" ht="15" thickBot="1" x14ac:dyDescent="0.35">
      <c r="A844" s="4"/>
      <c r="C844" s="4"/>
    </row>
    <row r="845" spans="1:3" ht="15" thickBot="1" x14ac:dyDescent="0.35">
      <c r="A845" s="4"/>
      <c r="C845" s="4"/>
    </row>
    <row r="846" spans="1:3" ht="15" thickBot="1" x14ac:dyDescent="0.35">
      <c r="A846" s="4"/>
      <c r="C846" s="4"/>
    </row>
    <row r="847" spans="1:3" ht="15" thickBot="1" x14ac:dyDescent="0.35">
      <c r="A847" s="4"/>
      <c r="C847" s="4"/>
    </row>
    <row r="848" spans="1:3" ht="15" thickBot="1" x14ac:dyDescent="0.35">
      <c r="A848" s="4"/>
      <c r="C848" s="4"/>
    </row>
    <row r="849" spans="1:3" ht="15" thickBot="1" x14ac:dyDescent="0.35">
      <c r="A849" s="4"/>
      <c r="C849" s="4"/>
    </row>
    <row r="850" spans="1:3" ht="15" thickBot="1" x14ac:dyDescent="0.35">
      <c r="A850" s="4"/>
      <c r="C850" s="4"/>
    </row>
    <row r="851" spans="1:3" ht="15" thickBot="1" x14ac:dyDescent="0.35">
      <c r="A851" s="4"/>
      <c r="C851" s="4"/>
    </row>
    <row r="852" spans="1:3" ht="15" thickBot="1" x14ac:dyDescent="0.35">
      <c r="A852" s="4"/>
      <c r="C852" s="4"/>
    </row>
    <row r="853" spans="1:3" ht="15" thickBot="1" x14ac:dyDescent="0.35">
      <c r="A853" s="4"/>
      <c r="C853" s="4"/>
    </row>
    <row r="854" spans="1:3" ht="15" thickBot="1" x14ac:dyDescent="0.35">
      <c r="A854" s="4"/>
      <c r="C854" s="4"/>
    </row>
    <row r="855" spans="1:3" ht="15" thickBot="1" x14ac:dyDescent="0.35">
      <c r="A855" s="4"/>
      <c r="C855" s="4"/>
    </row>
    <row r="856" spans="1:3" ht="15" thickBot="1" x14ac:dyDescent="0.35">
      <c r="A856" s="4"/>
      <c r="C856" s="4"/>
    </row>
    <row r="857" spans="1:3" ht="15" thickBot="1" x14ac:dyDescent="0.35">
      <c r="A857" s="4"/>
      <c r="C857" s="4"/>
    </row>
    <row r="858" spans="1:3" ht="15" thickBot="1" x14ac:dyDescent="0.35">
      <c r="A858" s="4"/>
      <c r="C858" s="4"/>
    </row>
    <row r="859" spans="1:3" ht="15" thickBot="1" x14ac:dyDescent="0.35">
      <c r="A859" s="4"/>
      <c r="C859" s="4"/>
    </row>
    <row r="860" spans="1:3" ht="15" thickBot="1" x14ac:dyDescent="0.35">
      <c r="A860" s="4"/>
      <c r="C860" s="4"/>
    </row>
    <row r="861" spans="1:3" ht="15" thickBot="1" x14ac:dyDescent="0.35">
      <c r="A861" s="4"/>
      <c r="C861" s="4"/>
    </row>
    <row r="862" spans="1:3" ht="15" thickBot="1" x14ac:dyDescent="0.35">
      <c r="A862" s="4"/>
      <c r="C862" s="4"/>
    </row>
    <row r="863" spans="1:3" ht="15" thickBot="1" x14ac:dyDescent="0.35">
      <c r="A863" s="4"/>
      <c r="C863" s="4"/>
    </row>
    <row r="864" spans="1:3" ht="15" thickBot="1" x14ac:dyDescent="0.35">
      <c r="A864" s="4"/>
      <c r="C864" s="4"/>
    </row>
    <row r="865" spans="1:3" ht="15" thickBot="1" x14ac:dyDescent="0.35">
      <c r="A865" s="4"/>
      <c r="C865" s="4"/>
    </row>
    <row r="866" spans="1:3" ht="15" thickBot="1" x14ac:dyDescent="0.35">
      <c r="A866" s="4"/>
      <c r="C866" s="4"/>
    </row>
    <row r="867" spans="1:3" ht="15" thickBot="1" x14ac:dyDescent="0.35">
      <c r="A867" s="4"/>
      <c r="C867" s="4"/>
    </row>
    <row r="868" spans="1:3" ht="15" thickBot="1" x14ac:dyDescent="0.35">
      <c r="A868" s="4"/>
      <c r="C868" s="4"/>
    </row>
    <row r="869" spans="1:3" ht="15" thickBot="1" x14ac:dyDescent="0.35">
      <c r="A869" s="4"/>
      <c r="C869" s="4"/>
    </row>
    <row r="870" spans="1:3" ht="15" thickBot="1" x14ac:dyDescent="0.35">
      <c r="A870" s="4"/>
      <c r="C870" s="4"/>
    </row>
    <row r="871" spans="1:3" ht="15" thickBot="1" x14ac:dyDescent="0.35">
      <c r="A871" s="4"/>
      <c r="C871" s="4"/>
    </row>
    <row r="872" spans="1:3" ht="15" thickBot="1" x14ac:dyDescent="0.35">
      <c r="A872" s="4"/>
      <c r="C872" s="4"/>
    </row>
    <row r="873" spans="1:3" ht="15" thickBot="1" x14ac:dyDescent="0.35">
      <c r="A873" s="4"/>
      <c r="C873" s="4"/>
    </row>
    <row r="874" spans="1:3" ht="15" thickBot="1" x14ac:dyDescent="0.35">
      <c r="A874" s="4"/>
      <c r="C874" s="4"/>
    </row>
    <row r="875" spans="1:3" ht="15" thickBot="1" x14ac:dyDescent="0.35">
      <c r="A875" s="4"/>
      <c r="C875" s="4"/>
    </row>
    <row r="876" spans="1:3" ht="15" thickBot="1" x14ac:dyDescent="0.35">
      <c r="A876" s="4"/>
      <c r="C876" s="4"/>
    </row>
    <row r="877" spans="1:3" ht="15" thickBot="1" x14ac:dyDescent="0.35">
      <c r="A877" s="4"/>
      <c r="C877" s="4"/>
    </row>
    <row r="878" spans="1:3" ht="15" thickBot="1" x14ac:dyDescent="0.35">
      <c r="A878" s="4"/>
      <c r="C878" s="4"/>
    </row>
    <row r="879" spans="1:3" ht="15" thickBot="1" x14ac:dyDescent="0.35">
      <c r="A879" s="4"/>
      <c r="C879" s="4"/>
    </row>
    <row r="880" spans="1:3" ht="15" thickBot="1" x14ac:dyDescent="0.35">
      <c r="A880" s="4"/>
      <c r="C880" s="4"/>
    </row>
    <row r="881" spans="1:3" ht="15" thickBot="1" x14ac:dyDescent="0.35">
      <c r="A881" s="4"/>
      <c r="C881" s="4"/>
    </row>
    <row r="882" spans="1:3" ht="15" thickBot="1" x14ac:dyDescent="0.35">
      <c r="A882" s="4"/>
      <c r="C882" s="4"/>
    </row>
    <row r="883" spans="1:3" ht="15" thickBot="1" x14ac:dyDescent="0.35">
      <c r="A883" s="4"/>
      <c r="C883" s="4"/>
    </row>
    <row r="884" spans="1:3" ht="15" thickBot="1" x14ac:dyDescent="0.35">
      <c r="A884" s="4"/>
      <c r="C884" s="4"/>
    </row>
    <row r="885" spans="1:3" ht="15" thickBot="1" x14ac:dyDescent="0.35">
      <c r="A885" s="4"/>
      <c r="C885" s="4"/>
    </row>
    <row r="886" spans="1:3" ht="15" thickBot="1" x14ac:dyDescent="0.35">
      <c r="A886" s="4"/>
      <c r="C886" s="4"/>
    </row>
    <row r="887" spans="1:3" ht="15" thickBot="1" x14ac:dyDescent="0.35">
      <c r="A887" s="4"/>
      <c r="C887" s="4"/>
    </row>
    <row r="888" spans="1:3" ht="15" thickBot="1" x14ac:dyDescent="0.35">
      <c r="A888" s="4"/>
      <c r="C888" s="4"/>
    </row>
    <row r="889" spans="1:3" ht="15" thickBot="1" x14ac:dyDescent="0.35">
      <c r="A889" s="4"/>
      <c r="C889" s="4"/>
    </row>
    <row r="890" spans="1:3" ht="15" thickBot="1" x14ac:dyDescent="0.35">
      <c r="A890" s="4"/>
      <c r="C890" s="4"/>
    </row>
    <row r="891" spans="1:3" ht="15" thickBot="1" x14ac:dyDescent="0.35">
      <c r="A891" s="4"/>
      <c r="C891" s="4"/>
    </row>
    <row r="892" spans="1:3" ht="15" thickBot="1" x14ac:dyDescent="0.35">
      <c r="A892" s="4"/>
      <c r="C892" s="4"/>
    </row>
    <row r="893" spans="1:3" ht="15" thickBot="1" x14ac:dyDescent="0.35">
      <c r="A893" s="4"/>
      <c r="C893" s="4"/>
    </row>
    <row r="894" spans="1:3" ht="15" thickBot="1" x14ac:dyDescent="0.35">
      <c r="A894" s="4"/>
      <c r="C894" s="4"/>
    </row>
    <row r="895" spans="1:3" ht="15" thickBot="1" x14ac:dyDescent="0.35">
      <c r="A895" s="4"/>
      <c r="C895" s="4"/>
    </row>
    <row r="896" spans="1:3" ht="15" thickBot="1" x14ac:dyDescent="0.35">
      <c r="A896" s="4"/>
      <c r="C896" s="4"/>
    </row>
    <row r="897" spans="1:3" ht="15" thickBot="1" x14ac:dyDescent="0.35">
      <c r="A897" s="4"/>
      <c r="C897" s="4"/>
    </row>
    <row r="898" spans="1:3" ht="15" thickBot="1" x14ac:dyDescent="0.35">
      <c r="A898" s="4"/>
      <c r="C898" s="4"/>
    </row>
    <row r="899" spans="1:3" ht="15" thickBot="1" x14ac:dyDescent="0.35">
      <c r="A899" s="4"/>
      <c r="C899" s="4"/>
    </row>
    <row r="900" spans="1:3" ht="15" thickBot="1" x14ac:dyDescent="0.35">
      <c r="A900" s="4"/>
      <c r="C900" s="4"/>
    </row>
    <row r="901" spans="1:3" ht="15" thickBot="1" x14ac:dyDescent="0.35">
      <c r="A901" s="4"/>
      <c r="C901" s="4"/>
    </row>
    <row r="902" spans="1:3" ht="15" thickBot="1" x14ac:dyDescent="0.35">
      <c r="A902" s="4"/>
      <c r="C902" s="4"/>
    </row>
    <row r="903" spans="1:3" ht="15" thickBot="1" x14ac:dyDescent="0.35">
      <c r="A903" s="4"/>
      <c r="C903" s="4"/>
    </row>
    <row r="904" spans="1:3" ht="15" thickBot="1" x14ac:dyDescent="0.35">
      <c r="A904" s="4"/>
      <c r="C904" s="4"/>
    </row>
    <row r="905" spans="1:3" ht="15" thickBot="1" x14ac:dyDescent="0.35">
      <c r="A905" s="4"/>
      <c r="C905" s="4"/>
    </row>
    <row r="906" spans="1:3" ht="15" thickBot="1" x14ac:dyDescent="0.35">
      <c r="A906" s="4"/>
      <c r="C906" s="4"/>
    </row>
    <row r="907" spans="1:3" ht="15" thickBot="1" x14ac:dyDescent="0.35">
      <c r="A907" s="4"/>
      <c r="C907" s="4"/>
    </row>
    <row r="908" spans="1:3" ht="15" thickBot="1" x14ac:dyDescent="0.35">
      <c r="A908" s="4"/>
      <c r="C908" s="4"/>
    </row>
    <row r="909" spans="1:3" ht="15" thickBot="1" x14ac:dyDescent="0.35">
      <c r="A909" s="4"/>
      <c r="C909" s="4"/>
    </row>
    <row r="910" spans="1:3" ht="15" thickBot="1" x14ac:dyDescent="0.35">
      <c r="A910" s="4"/>
      <c r="C910" s="4"/>
    </row>
    <row r="911" spans="1:3" ht="15" thickBot="1" x14ac:dyDescent="0.35">
      <c r="A911" s="4"/>
      <c r="C911" s="4"/>
    </row>
    <row r="912" spans="1:3" ht="15" thickBot="1" x14ac:dyDescent="0.35">
      <c r="A912" s="4"/>
      <c r="C912" s="4"/>
    </row>
    <row r="913" spans="1:3" ht="15" thickBot="1" x14ac:dyDescent="0.35">
      <c r="A913" s="4"/>
      <c r="C913" s="4"/>
    </row>
    <row r="914" spans="1:3" ht="15" thickBot="1" x14ac:dyDescent="0.35">
      <c r="A914" s="4"/>
      <c r="C914" s="4"/>
    </row>
    <row r="915" spans="1:3" ht="15" thickBot="1" x14ac:dyDescent="0.35">
      <c r="A915" s="4"/>
      <c r="C915" s="4"/>
    </row>
    <row r="916" spans="1:3" ht="15" thickBot="1" x14ac:dyDescent="0.35">
      <c r="A916" s="4"/>
      <c r="C916" s="4"/>
    </row>
    <row r="917" spans="1:3" ht="15" thickBot="1" x14ac:dyDescent="0.35">
      <c r="A917" s="4"/>
      <c r="C917" s="4"/>
    </row>
    <row r="918" spans="1:3" ht="15" thickBot="1" x14ac:dyDescent="0.35">
      <c r="A918" s="4"/>
      <c r="C918" s="4"/>
    </row>
    <row r="919" spans="1:3" ht="15" thickBot="1" x14ac:dyDescent="0.35">
      <c r="A919" s="4"/>
      <c r="C919" s="4"/>
    </row>
    <row r="920" spans="1:3" ht="15" thickBot="1" x14ac:dyDescent="0.35">
      <c r="A920" s="4"/>
      <c r="C920" s="4"/>
    </row>
    <row r="921" spans="1:3" ht="15" thickBot="1" x14ac:dyDescent="0.35">
      <c r="A921" s="4"/>
      <c r="C921" s="4"/>
    </row>
    <row r="922" spans="1:3" ht="15" thickBot="1" x14ac:dyDescent="0.35">
      <c r="A922" s="4"/>
      <c r="C922" s="4"/>
    </row>
    <row r="923" spans="1:3" ht="15" thickBot="1" x14ac:dyDescent="0.35">
      <c r="A923" s="4"/>
      <c r="C923" s="4"/>
    </row>
    <row r="924" spans="1:3" ht="15" thickBot="1" x14ac:dyDescent="0.35">
      <c r="A924" s="4"/>
      <c r="C924" s="4"/>
    </row>
    <row r="925" spans="1:3" ht="15" thickBot="1" x14ac:dyDescent="0.35">
      <c r="A925" s="4"/>
      <c r="C925" s="4"/>
    </row>
    <row r="926" spans="1:3" ht="15" thickBot="1" x14ac:dyDescent="0.35">
      <c r="A926" s="4"/>
      <c r="C926" s="4"/>
    </row>
    <row r="927" spans="1:3" ht="15" thickBot="1" x14ac:dyDescent="0.35">
      <c r="A927" s="4"/>
      <c r="C927" s="4"/>
    </row>
    <row r="928" spans="1:3" ht="15" thickBot="1" x14ac:dyDescent="0.35">
      <c r="A928" s="4"/>
      <c r="C928" s="4"/>
    </row>
    <row r="929" spans="1:3" ht="15" thickBot="1" x14ac:dyDescent="0.35">
      <c r="A929" s="4"/>
      <c r="C929" s="4"/>
    </row>
    <row r="930" spans="1:3" ht="15" thickBot="1" x14ac:dyDescent="0.35">
      <c r="A930" s="4"/>
      <c r="C930" s="4"/>
    </row>
    <row r="931" spans="1:3" ht="15" thickBot="1" x14ac:dyDescent="0.35">
      <c r="A931" s="4"/>
      <c r="C931" s="4"/>
    </row>
    <row r="932" spans="1:3" ht="15" thickBot="1" x14ac:dyDescent="0.35">
      <c r="A932" s="4"/>
      <c r="C932" s="4"/>
    </row>
    <row r="933" spans="1:3" ht="15" thickBot="1" x14ac:dyDescent="0.35">
      <c r="A933" s="4"/>
      <c r="C933" s="4"/>
    </row>
    <row r="934" spans="1:3" ht="15" thickBot="1" x14ac:dyDescent="0.35">
      <c r="A934" s="4"/>
      <c r="C934" s="4"/>
    </row>
    <row r="935" spans="1:3" ht="15" thickBot="1" x14ac:dyDescent="0.35">
      <c r="A935" s="4"/>
      <c r="C935" s="4"/>
    </row>
    <row r="936" spans="1:3" ht="15" thickBot="1" x14ac:dyDescent="0.35">
      <c r="A936" s="4"/>
      <c r="C936" s="4"/>
    </row>
    <row r="937" spans="1:3" ht="15" thickBot="1" x14ac:dyDescent="0.35">
      <c r="A937" s="4"/>
      <c r="C937" s="4"/>
    </row>
    <row r="938" spans="1:3" ht="15" thickBot="1" x14ac:dyDescent="0.35">
      <c r="A938" s="4"/>
      <c r="C938" s="4"/>
    </row>
    <row r="939" spans="1:3" ht="15" thickBot="1" x14ac:dyDescent="0.35">
      <c r="A939" s="4"/>
      <c r="C939" s="4"/>
    </row>
    <row r="940" spans="1:3" ht="15" thickBot="1" x14ac:dyDescent="0.35">
      <c r="A940" s="4"/>
      <c r="C940" s="4"/>
    </row>
    <row r="941" spans="1:3" ht="15" thickBot="1" x14ac:dyDescent="0.35">
      <c r="A941" s="4"/>
      <c r="C941" s="4"/>
    </row>
    <row r="942" spans="1:3" ht="15" thickBot="1" x14ac:dyDescent="0.35">
      <c r="A942" s="4"/>
      <c r="C942" s="4"/>
    </row>
    <row r="943" spans="1:3" ht="15" thickBot="1" x14ac:dyDescent="0.35">
      <c r="A943" s="4"/>
      <c r="C943" s="4"/>
    </row>
    <row r="944" spans="1:3" ht="15" thickBot="1" x14ac:dyDescent="0.35">
      <c r="A944" s="4"/>
      <c r="C944" s="4"/>
    </row>
    <row r="945" spans="1:3" ht="15" thickBot="1" x14ac:dyDescent="0.35">
      <c r="A945" s="4"/>
      <c r="C945" s="4"/>
    </row>
    <row r="946" spans="1:3" ht="15" thickBot="1" x14ac:dyDescent="0.35">
      <c r="A946" s="4"/>
      <c r="C946" s="4"/>
    </row>
    <row r="947" spans="1:3" ht="15" thickBot="1" x14ac:dyDescent="0.35">
      <c r="A947" s="4"/>
      <c r="C947" s="4"/>
    </row>
    <row r="948" spans="1:3" ht="15" thickBot="1" x14ac:dyDescent="0.35">
      <c r="A948" s="4"/>
      <c r="C948" s="4"/>
    </row>
    <row r="949" spans="1:3" ht="15" thickBot="1" x14ac:dyDescent="0.35">
      <c r="A949" s="4"/>
      <c r="C949" s="4"/>
    </row>
    <row r="950" spans="1:3" ht="15" thickBot="1" x14ac:dyDescent="0.35">
      <c r="A950" s="4"/>
      <c r="C950" s="4"/>
    </row>
    <row r="951" spans="1:3" ht="15" thickBot="1" x14ac:dyDescent="0.35">
      <c r="A951" s="4"/>
      <c r="C951" s="4"/>
    </row>
    <row r="952" spans="1:3" ht="15" thickBot="1" x14ac:dyDescent="0.35">
      <c r="A952" s="4"/>
      <c r="C952" s="4"/>
    </row>
    <row r="953" spans="1:3" ht="15" thickBot="1" x14ac:dyDescent="0.35">
      <c r="A953" s="4"/>
      <c r="C953" s="4"/>
    </row>
    <row r="954" spans="1:3" ht="15" thickBot="1" x14ac:dyDescent="0.35">
      <c r="A954" s="4"/>
      <c r="C954" s="4"/>
    </row>
    <row r="955" spans="1:3" ht="15" thickBot="1" x14ac:dyDescent="0.35">
      <c r="A955" s="4"/>
      <c r="C955" s="4"/>
    </row>
    <row r="956" spans="1:3" ht="15" thickBot="1" x14ac:dyDescent="0.35">
      <c r="A956" s="4"/>
      <c r="C956" s="4"/>
    </row>
    <row r="957" spans="1:3" ht="15" thickBot="1" x14ac:dyDescent="0.35">
      <c r="A957" s="4"/>
      <c r="C957" s="4"/>
    </row>
    <row r="958" spans="1:3" ht="15" thickBot="1" x14ac:dyDescent="0.35">
      <c r="A958" s="4"/>
      <c r="C958" s="4"/>
    </row>
    <row r="959" spans="1:3" ht="15" thickBot="1" x14ac:dyDescent="0.35">
      <c r="A959" s="4"/>
      <c r="C959" s="4"/>
    </row>
    <row r="960" spans="1:3" ht="15" thickBot="1" x14ac:dyDescent="0.35">
      <c r="A960" s="4"/>
      <c r="C960" s="4"/>
    </row>
    <row r="961" spans="1:3" ht="15" thickBot="1" x14ac:dyDescent="0.35">
      <c r="A961" s="4"/>
      <c r="C961" s="4"/>
    </row>
    <row r="962" spans="1:3" ht="15" thickBot="1" x14ac:dyDescent="0.35">
      <c r="A962" s="4"/>
      <c r="C962" s="4"/>
    </row>
    <row r="963" spans="1:3" ht="15" thickBot="1" x14ac:dyDescent="0.35">
      <c r="A963" s="4"/>
      <c r="C963" s="4"/>
    </row>
    <row r="964" spans="1:3" ht="15" thickBot="1" x14ac:dyDescent="0.35">
      <c r="A964" s="4"/>
      <c r="C964" s="4"/>
    </row>
    <row r="965" spans="1:3" ht="15" thickBot="1" x14ac:dyDescent="0.35">
      <c r="A965" s="4"/>
      <c r="C965" s="4"/>
    </row>
    <row r="966" spans="1:3" ht="15" thickBot="1" x14ac:dyDescent="0.35">
      <c r="A966" s="4"/>
      <c r="C966" s="4"/>
    </row>
    <row r="967" spans="1:3" ht="15" thickBot="1" x14ac:dyDescent="0.35">
      <c r="A967" s="4"/>
      <c r="C967" s="4"/>
    </row>
    <row r="968" spans="1:3" ht="15" thickBot="1" x14ac:dyDescent="0.35">
      <c r="A968" s="4"/>
      <c r="C968" s="4"/>
    </row>
    <row r="969" spans="1:3" ht="15" thickBot="1" x14ac:dyDescent="0.35">
      <c r="A969" s="4"/>
      <c r="C969" s="4"/>
    </row>
    <row r="970" spans="1:3" ht="15" thickBot="1" x14ac:dyDescent="0.35">
      <c r="A970" s="4"/>
      <c r="C970" s="4"/>
    </row>
    <row r="971" spans="1:3" ht="15" thickBot="1" x14ac:dyDescent="0.35">
      <c r="A971" s="4"/>
      <c r="C971" s="4"/>
    </row>
    <row r="972" spans="1:3" ht="15" thickBot="1" x14ac:dyDescent="0.35">
      <c r="A972" s="4"/>
      <c r="C972" s="4"/>
    </row>
    <row r="973" spans="1:3" ht="15" thickBot="1" x14ac:dyDescent="0.35">
      <c r="A973" s="4"/>
      <c r="C973" s="4"/>
    </row>
    <row r="974" spans="1:3" ht="15" thickBot="1" x14ac:dyDescent="0.35">
      <c r="A974" s="4"/>
      <c r="C974" s="4"/>
    </row>
    <row r="975" spans="1:3" ht="15" thickBot="1" x14ac:dyDescent="0.35">
      <c r="A975" s="4"/>
      <c r="C975" s="4"/>
    </row>
    <row r="976" spans="1:3" ht="15" thickBot="1" x14ac:dyDescent="0.35">
      <c r="A976" s="4"/>
      <c r="C976" s="4"/>
    </row>
    <row r="977" spans="1:3" ht="15" thickBot="1" x14ac:dyDescent="0.35">
      <c r="A977" s="4"/>
      <c r="C977" s="4"/>
    </row>
    <row r="978" spans="1:3" ht="15" thickBot="1" x14ac:dyDescent="0.35">
      <c r="A978" s="4"/>
      <c r="C978" s="4"/>
    </row>
    <row r="979" spans="1:3" ht="15" thickBot="1" x14ac:dyDescent="0.35">
      <c r="A979" s="4"/>
      <c r="C979" s="4"/>
    </row>
    <row r="980" spans="1:3" ht="15" thickBot="1" x14ac:dyDescent="0.35">
      <c r="A980" s="4"/>
      <c r="C980" s="4"/>
    </row>
    <row r="981" spans="1:3" ht="15" thickBot="1" x14ac:dyDescent="0.35">
      <c r="A981" s="4"/>
      <c r="C981" s="4"/>
    </row>
    <row r="982" spans="1:3" ht="15" thickBot="1" x14ac:dyDescent="0.35">
      <c r="A982" s="4"/>
      <c r="C982" s="4"/>
    </row>
    <row r="983" spans="1:3" ht="15" thickBot="1" x14ac:dyDescent="0.35">
      <c r="A983" s="4"/>
      <c r="C983" s="4"/>
    </row>
    <row r="984" spans="1:3" ht="15" thickBot="1" x14ac:dyDescent="0.35">
      <c r="A984" s="4"/>
      <c r="C984" s="4"/>
    </row>
    <row r="985" spans="1:3" ht="15" thickBot="1" x14ac:dyDescent="0.35">
      <c r="A985" s="4"/>
      <c r="C985" s="4"/>
    </row>
    <row r="986" spans="1:3" ht="15" thickBot="1" x14ac:dyDescent="0.35">
      <c r="A986" s="4"/>
      <c r="C986" s="4"/>
    </row>
    <row r="987" spans="1:3" ht="15" thickBot="1" x14ac:dyDescent="0.35">
      <c r="A987" s="4"/>
      <c r="C987" s="4"/>
    </row>
    <row r="988" spans="1:3" ht="15" thickBot="1" x14ac:dyDescent="0.35">
      <c r="A988" s="4"/>
      <c r="C988" s="4"/>
    </row>
    <row r="989" spans="1:3" ht="15" thickBot="1" x14ac:dyDescent="0.35">
      <c r="A989" s="4"/>
      <c r="C989" s="4"/>
    </row>
    <row r="990" spans="1:3" ht="15" thickBot="1" x14ac:dyDescent="0.35">
      <c r="A990" s="4"/>
      <c r="C990" s="4"/>
    </row>
    <row r="991" spans="1:3" ht="15" thickBot="1" x14ac:dyDescent="0.35">
      <c r="A991" s="4"/>
      <c r="C991" s="4"/>
    </row>
    <row r="992" spans="1:3" ht="15" thickBot="1" x14ac:dyDescent="0.35">
      <c r="A992" s="4"/>
      <c r="C992" s="4"/>
    </row>
    <row r="993" spans="1:3" ht="15" thickBot="1" x14ac:dyDescent="0.35">
      <c r="A993" s="4"/>
      <c r="C993" s="4"/>
    </row>
    <row r="994" spans="1:3" ht="15" thickBot="1" x14ac:dyDescent="0.35">
      <c r="A994" s="4"/>
      <c r="C994" s="4"/>
    </row>
    <row r="995" spans="1:3" ht="15" thickBot="1" x14ac:dyDescent="0.35">
      <c r="A995" s="4"/>
      <c r="C995" s="4"/>
    </row>
    <row r="996" spans="1:3" ht="15" thickBot="1" x14ac:dyDescent="0.35">
      <c r="A996" s="4"/>
      <c r="C996" s="4"/>
    </row>
    <row r="997" spans="1:3" ht="15" thickBot="1" x14ac:dyDescent="0.35">
      <c r="A997" s="4"/>
      <c r="C997" s="4"/>
    </row>
    <row r="998" spans="1:3" ht="15" thickBot="1" x14ac:dyDescent="0.35">
      <c r="A998" s="4"/>
      <c r="C998" s="4"/>
    </row>
    <row r="999" spans="1:3" ht="15" thickBot="1" x14ac:dyDescent="0.35">
      <c r="A999" s="4"/>
      <c r="C999" s="4"/>
    </row>
    <row r="1000" spans="1:3" ht="15" thickBot="1" x14ac:dyDescent="0.35">
      <c r="A1000" s="4"/>
      <c r="C1000" s="4"/>
    </row>
  </sheetData>
  <autoFilter ref="A1:D1000" xr:uid="{7709C753-C571-4F81-9EAB-E52ED016F81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1DF0-B5A7-476A-B087-A8375588456C}">
  <dimension ref="A1:J1422"/>
  <sheetViews>
    <sheetView tabSelected="1" workbookViewId="0">
      <selection activeCell="I22" sqref="I22"/>
    </sheetView>
  </sheetViews>
  <sheetFormatPr defaultRowHeight="14.4" x14ac:dyDescent="0.3"/>
  <cols>
    <col min="1" max="1" width="52" customWidth="1"/>
    <col min="2" max="2" width="23.21875" bestFit="1" customWidth="1"/>
    <col min="3" max="3" width="24.5546875" style="10" customWidth="1"/>
    <col min="4" max="4" width="8.88671875" style="10"/>
    <col min="5" max="5" width="16.33203125" style="10" bestFit="1" customWidth="1"/>
    <col min="6" max="6" width="16.6640625" style="10" bestFit="1" customWidth="1"/>
  </cols>
  <sheetData>
    <row r="1" spans="1:10" x14ac:dyDescent="0.3">
      <c r="A1" s="11" t="str" cm="1">
        <f t="array" ref="A1">IF(ROW()&lt;=COUNTA(Sheet1!A:A), INDEX(Sheet1!A:A, ROW()),
INDEX(Sheet4!A:A, ROW()-COUNTA(Sheet1!A:A)))</f>
        <v>Alloy</v>
      </c>
      <c r="B1" s="11" t="s">
        <v>768</v>
      </c>
      <c r="C1" s="11" t="s">
        <v>767</v>
      </c>
      <c r="D1" s="11" t="s">
        <v>755</v>
      </c>
      <c r="E1" s="11" t="s">
        <v>769</v>
      </c>
      <c r="F1" s="11" t="s">
        <v>770</v>
      </c>
      <c r="G1" s="12" t="s">
        <v>1</v>
      </c>
      <c r="H1" s="12" t="s">
        <v>2</v>
      </c>
      <c r="I1" s="12" t="s">
        <v>3</v>
      </c>
      <c r="J1" s="12" t="s">
        <v>4</v>
      </c>
    </row>
    <row r="2" spans="1:10" x14ac:dyDescent="0.3">
      <c r="A2" t="str" cm="1">
        <f t="array" ref="A2">IF(ROW()&lt;=COUNTA(Sheet1!A:A), INDEX(Sheet1!A:A, ROW()),
INDEX(Sheet4!A:A, ROW()-COUNTA(Sheet1!A:A)))</f>
        <v>Al0.1CoCr3Fe5Ni</v>
      </c>
      <c r="B2" s="10">
        <f>_xlfn.XLOOKUP(A2, Sheet4!A:A, Sheet4!C:C)</f>
        <v>0</v>
      </c>
      <c r="C2" s="10">
        <v>-1</v>
      </c>
      <c r="D2" s="10">
        <f>_xlfn.XLOOKUP(A2, Sheet2!A:A, Sheet2!B:B)</f>
        <v>7.6535000000000002</v>
      </c>
      <c r="E2" s="10">
        <f>_xlfn.XLOOKUP(A2, Sheet1!A:A, Sheet1!G:G)</f>
        <v>-1</v>
      </c>
      <c r="F2" s="10">
        <f>IF(OR(C2=1, E2=1), 1,
   IF(OR(C2=0, E2=0), 0,
      -1))</f>
        <v>-1</v>
      </c>
      <c r="G2" cm="1">
        <f t="array" ref="G2:J2">_xlfn.XLOOKUP(A2, Sheet1!A:A, Sheet1!C:F)</f>
        <v>9.9009900989999995</v>
      </c>
      <c r="H2">
        <v>29.7029703</v>
      </c>
      <c r="I2">
        <v>49.5049505</v>
      </c>
      <c r="J2">
        <v>9.9009900989999995</v>
      </c>
    </row>
    <row r="3" spans="1:10" x14ac:dyDescent="0.3">
      <c r="A3" t="str" cm="1">
        <f t="array" ref="A3">IF(ROW()&lt;=COUNTA(Sheet1!A:A), INDEX(Sheet1!A:A, ROW()),
INDEX(Sheet4!A:A, ROW()-COUNTA(Sheet1!A:A)))</f>
        <v>Al0.2CoCr3Fe5Ni</v>
      </c>
      <c r="B3" s="10">
        <f>_xlfn.XLOOKUP(A3, Sheet4!A:A, Sheet4!C:C)</f>
        <v>0</v>
      </c>
      <c r="C3" s="10">
        <v>-1</v>
      </c>
      <c r="D3" s="10">
        <f>_xlfn.XLOOKUP(A3, Sheet2!A:A, Sheet2!B:B)</f>
        <v>7.6078000000000001</v>
      </c>
      <c r="E3" s="10">
        <f>_xlfn.XLOOKUP(A3, Sheet1!A:A, Sheet1!G:G)</f>
        <v>-1</v>
      </c>
      <c r="F3" s="10">
        <f t="shared" ref="F3:F66" si="0">IF(OR(C3=1, E3=1), 1,
   IF(OR(C3=0, E3=0), 0,
      -1))</f>
        <v>-1</v>
      </c>
      <c r="G3" cm="1">
        <f t="array" ref="G3:J3">_xlfn.XLOOKUP(A3, Sheet1!A:A, Sheet1!C:F)</f>
        <v>9.8039215689999999</v>
      </c>
      <c r="H3">
        <v>29.41176471</v>
      </c>
      <c r="I3">
        <v>49.019607839999999</v>
      </c>
      <c r="J3">
        <v>9.8039215689999999</v>
      </c>
    </row>
    <row r="4" spans="1:10" x14ac:dyDescent="0.3">
      <c r="A4" t="str" cm="1">
        <f t="array" ref="A4">IF(ROW()&lt;=COUNTA(Sheet1!A:A), INDEX(Sheet1!A:A, ROW()),
INDEX(Sheet4!A:A, ROW()-COUNTA(Sheet1!A:A)))</f>
        <v>Al2.4Co24.4Cr24.4Fe24.4Ni24.4</v>
      </c>
      <c r="B4" s="10" t="str">
        <f>_xlfn.XLOOKUP(A4, Sheet4!A:A, Sheet4!C:C)</f>
        <v>FCC</v>
      </c>
      <c r="C4" s="10">
        <v>0</v>
      </c>
      <c r="D4" s="10">
        <f>_xlfn.XLOOKUP(A4, Sheet2!A:A, Sheet2!B:B)</f>
        <v>8.1240000000000006</v>
      </c>
      <c r="E4" s="10">
        <f>_xlfn.XLOOKUP(A4, Sheet1!A:A, Sheet1!G:G)</f>
        <v>-1</v>
      </c>
      <c r="F4" s="10">
        <f t="shared" si="0"/>
        <v>0</v>
      </c>
      <c r="G4" cm="1">
        <f t="array" ref="G4:J4">_xlfn.XLOOKUP(A4, Sheet1!A:A, Sheet1!C:F)</f>
        <v>24.4</v>
      </c>
      <c r="H4">
        <v>24.4</v>
      </c>
      <c r="I4">
        <v>24.4</v>
      </c>
      <c r="J4">
        <v>24.4</v>
      </c>
    </row>
    <row r="5" spans="1:10" x14ac:dyDescent="0.3">
      <c r="A5" t="str" cm="1">
        <f t="array" ref="A5">IF(ROW()&lt;=COUNTA(Sheet1!A:A), INDEX(Sheet1!A:A, ROW()),
INDEX(Sheet4!A:A, ROW()-COUNTA(Sheet1!A:A)))</f>
        <v>Al0.1CoCrFeNi</v>
      </c>
      <c r="B5" s="10" t="str">
        <f>_xlfn.XLOOKUP(A5, Sheet4!A:A, Sheet4!C:C)</f>
        <v>FCC</v>
      </c>
      <c r="C5" s="10">
        <v>0</v>
      </c>
      <c r="D5" s="10">
        <f>_xlfn.XLOOKUP(A5, Sheet2!A:A, Sheet2!B:B)</f>
        <v>8.1219999999999999</v>
      </c>
      <c r="E5" s="10">
        <f>_xlfn.XLOOKUP(A5, Sheet1!A:A, Sheet1!G:G)</f>
        <v>-1</v>
      </c>
      <c r="F5" s="10">
        <f t="shared" si="0"/>
        <v>0</v>
      </c>
      <c r="G5" cm="1">
        <f t="array" ref="G5:J5">_xlfn.XLOOKUP(A5, Sheet1!A:A, Sheet1!C:F)</f>
        <v>24.390243900000002</v>
      </c>
      <c r="H5">
        <v>24.390243900000002</v>
      </c>
      <c r="I5">
        <v>24.390243900000002</v>
      </c>
      <c r="J5">
        <v>24.390243900000002</v>
      </c>
    </row>
    <row r="6" spans="1:10" x14ac:dyDescent="0.3">
      <c r="A6" t="str" cm="1">
        <f t="array" ref="A6">IF(ROW()&lt;=COUNTA(Sheet1!A:A), INDEX(Sheet1!A:A, ROW()),
INDEX(Sheet4!A:A, ROW()-COUNTA(Sheet1!A:A)))</f>
        <v>Al0.1CoFeNiCr0.9</v>
      </c>
      <c r="B6" s="10">
        <f>_xlfn.XLOOKUP(A6, Sheet4!A:A, Sheet4!C:C)</f>
        <v>0</v>
      </c>
      <c r="C6" s="10">
        <v>-1</v>
      </c>
      <c r="D6" s="10">
        <f>_xlfn.XLOOKUP(A6, Sheet2!A:A, Sheet2!B:B)</f>
        <v>8.1750000000000007</v>
      </c>
      <c r="E6" s="10">
        <f>_xlfn.XLOOKUP(A6, Sheet1!A:A, Sheet1!G:G)</f>
        <v>-1</v>
      </c>
      <c r="F6" s="10">
        <f t="shared" si="0"/>
        <v>-1</v>
      </c>
      <c r="G6" cm="1">
        <f t="array" ref="G6:J6">_xlfn.XLOOKUP(A6, Sheet1!A:A, Sheet1!C:F)</f>
        <v>25</v>
      </c>
      <c r="H6">
        <v>22.5</v>
      </c>
      <c r="I6">
        <v>25</v>
      </c>
      <c r="J6">
        <v>25</v>
      </c>
    </row>
    <row r="7" spans="1:10" x14ac:dyDescent="0.3">
      <c r="A7" t="str" cm="1">
        <f t="array" ref="A7">IF(ROW()&lt;=COUNTA(Sheet1!A:A), INDEX(Sheet1!A:A, ROW()),
INDEX(Sheet4!A:A, ROW()-COUNTA(Sheet1!A:A)))</f>
        <v>Al0.3CoCr3Fe5Ni</v>
      </c>
      <c r="B7" s="10">
        <f>_xlfn.XLOOKUP(A7, Sheet4!A:A, Sheet4!C:C)</f>
        <v>0</v>
      </c>
      <c r="C7" s="10">
        <v>-1</v>
      </c>
      <c r="D7" s="10">
        <f>_xlfn.XLOOKUP(A7, Sheet2!A:A, Sheet2!B:B)</f>
        <v>7.5631000000000004</v>
      </c>
      <c r="E7" s="10">
        <f>_xlfn.XLOOKUP(A7, Sheet1!A:A, Sheet1!G:G)</f>
        <v>-1</v>
      </c>
      <c r="F7" s="10">
        <f t="shared" si="0"/>
        <v>-1</v>
      </c>
      <c r="G7" cm="1">
        <f t="array" ref="G7:J7">_xlfn.XLOOKUP(A7, Sheet1!A:A, Sheet1!C:F)</f>
        <v>9.7087378639999997</v>
      </c>
      <c r="H7">
        <v>29.126213589999999</v>
      </c>
      <c r="I7">
        <v>48.543689319999999</v>
      </c>
      <c r="J7">
        <v>9.7087378639999997</v>
      </c>
    </row>
    <row r="8" spans="1:10" x14ac:dyDescent="0.3">
      <c r="A8" t="str" cm="1">
        <f t="array" ref="A8">IF(ROW()&lt;=COUNTA(Sheet1!A:A), INDEX(Sheet1!A:A, ROW()),
INDEX(Sheet4!A:A, ROW()-COUNTA(Sheet1!A:A)))</f>
        <v>Al0.2CoCrFeNi</v>
      </c>
      <c r="B8" s="10" t="str">
        <f>_xlfn.XLOOKUP(A8, Sheet4!A:A, Sheet4!C:C)</f>
        <v>BCC1+B2(ordered BCC)</v>
      </c>
      <c r="C8" s="10">
        <v>1</v>
      </c>
      <c r="D8" s="10">
        <f>_xlfn.XLOOKUP(A8, Sheet2!A:A, Sheet2!B:B)</f>
        <v>8</v>
      </c>
      <c r="E8" s="10">
        <f>_xlfn.XLOOKUP(A8, Sheet1!A:A, Sheet1!G:G)</f>
        <v>-1</v>
      </c>
      <c r="F8" s="10">
        <f t="shared" si="0"/>
        <v>1</v>
      </c>
      <c r="G8" cm="1">
        <f t="array" ref="G8:J8">_xlfn.XLOOKUP(A8, Sheet1!A:A, Sheet1!C:F)</f>
        <v>23.809523810000002</v>
      </c>
      <c r="H8">
        <v>23.809523810000002</v>
      </c>
      <c r="I8">
        <v>23.809523810000002</v>
      </c>
      <c r="J8">
        <v>23.809523810000002</v>
      </c>
    </row>
    <row r="9" spans="1:10" x14ac:dyDescent="0.3">
      <c r="A9" t="str" cm="1">
        <f t="array" ref="A9">IF(ROW()&lt;=COUNTA(Sheet1!A:A), INDEX(Sheet1!A:A, ROW()),
INDEX(Sheet4!A:A, ROW()-COUNTA(Sheet1!A:A)))</f>
        <v>Al0.2CoFeNiCr0.8</v>
      </c>
      <c r="B9" s="10">
        <f>_xlfn.XLOOKUP(A9, Sheet4!A:A, Sheet4!C:C)</f>
        <v>0</v>
      </c>
      <c r="C9" s="10">
        <v>-1</v>
      </c>
      <c r="D9" s="10">
        <f>_xlfn.XLOOKUP(A9, Sheet2!A:A, Sheet2!B:B)</f>
        <v>8.1</v>
      </c>
      <c r="E9" s="10">
        <f>_xlfn.XLOOKUP(A9, Sheet1!A:A, Sheet1!G:G)</f>
        <v>-1</v>
      </c>
      <c r="F9" s="10">
        <f t="shared" si="0"/>
        <v>-1</v>
      </c>
      <c r="G9" cm="1">
        <f t="array" ref="G9:J9">_xlfn.XLOOKUP(A9, Sheet1!A:A, Sheet1!C:F)</f>
        <v>25</v>
      </c>
      <c r="H9">
        <v>20</v>
      </c>
      <c r="I9">
        <v>25</v>
      </c>
      <c r="J9">
        <v>25</v>
      </c>
    </row>
    <row r="10" spans="1:10" x14ac:dyDescent="0.3">
      <c r="A10" t="str" cm="1">
        <f t="array" ref="A10">IF(ROW()&lt;=COUNTA(Sheet1!A:A), INDEX(Sheet1!A:A, ROW()),
INDEX(Sheet4!A:A, ROW()-COUNTA(Sheet1!A:A)))</f>
        <v>Al0.3CoCr2FeNi</v>
      </c>
      <c r="B10" s="10">
        <f>_xlfn.XLOOKUP(A10, Sheet4!A:A, Sheet4!C:C)</f>
        <v>0</v>
      </c>
      <c r="C10" s="10">
        <v>-1</v>
      </c>
      <c r="D10" s="10">
        <f>_xlfn.XLOOKUP(A10, Sheet2!A:A, Sheet2!B:B)</f>
        <v>7.5282999999999998</v>
      </c>
      <c r="E10" s="10">
        <f>_xlfn.XLOOKUP(A10, Sheet1!A:A, Sheet1!G:G)</f>
        <v>-1</v>
      </c>
      <c r="F10" s="10">
        <f t="shared" si="0"/>
        <v>-1</v>
      </c>
      <c r="G10" cm="1">
        <f t="array" ref="G10:J10">_xlfn.XLOOKUP(A10, Sheet1!A:A, Sheet1!C:F)</f>
        <v>18.86792453</v>
      </c>
      <c r="H10">
        <v>37.73584906</v>
      </c>
      <c r="I10">
        <v>18.86792453</v>
      </c>
      <c r="J10">
        <v>18.86792453</v>
      </c>
    </row>
    <row r="11" spans="1:10" x14ac:dyDescent="0.3">
      <c r="A11" t="str" cm="1">
        <f t="array" ref="A11">IF(ROW()&lt;=COUNTA(Sheet1!A:A), INDEX(Sheet1!A:A, ROW()),
INDEX(Sheet4!A:A, ROW()-COUNTA(Sheet1!A:A)))</f>
        <v>Al0.25CoCrFeNi</v>
      </c>
      <c r="B11" s="10" t="str">
        <f>_xlfn.XLOOKUP(A11, Sheet4!A:A, Sheet4!C:C)</f>
        <v>FCC</v>
      </c>
      <c r="C11" s="10">
        <v>0</v>
      </c>
      <c r="D11" s="10">
        <f>_xlfn.XLOOKUP(A11, Sheet2!A:A, Sheet2!B:B)</f>
        <v>7.9412000000000003</v>
      </c>
      <c r="E11" s="10">
        <f>_xlfn.XLOOKUP(A11, Sheet1!A:A, Sheet1!G:G)</f>
        <v>-1</v>
      </c>
      <c r="F11" s="10">
        <f t="shared" si="0"/>
        <v>0</v>
      </c>
      <c r="G11" cm="1">
        <f t="array" ref="G11:J11">_xlfn.XLOOKUP(A11, Sheet1!A:A, Sheet1!C:F)</f>
        <v>23.529411759999999</v>
      </c>
      <c r="H11">
        <v>23.529411759999999</v>
      </c>
      <c r="I11">
        <v>23.529411759999999</v>
      </c>
      <c r="J11">
        <v>23.529411759999999</v>
      </c>
    </row>
    <row r="12" spans="1:10" x14ac:dyDescent="0.3">
      <c r="A12" t="str" cm="1">
        <f t="array" ref="A12">IF(ROW()&lt;=COUNTA(Sheet1!A:A), INDEX(Sheet1!A:A, ROW()),
INDEX(Sheet4!A:A, ROW()-COUNTA(Sheet1!A:A)))</f>
        <v>Al0.3CoCrFeNi</v>
      </c>
      <c r="B12" s="10" t="str">
        <f>_xlfn.XLOOKUP(A12, Sheet4!A:A, Sheet4!C:C)</f>
        <v>IM</v>
      </c>
      <c r="C12" s="10">
        <v>-1</v>
      </c>
      <c r="D12" s="10">
        <f>_xlfn.XLOOKUP(A12, Sheet2!A:A, Sheet2!B:B)</f>
        <v>7.8837000000000002</v>
      </c>
      <c r="E12" s="10">
        <f>_xlfn.XLOOKUP(A12, Sheet1!A:A, Sheet1!G:G)</f>
        <v>-1</v>
      </c>
      <c r="F12" s="10">
        <f t="shared" si="0"/>
        <v>-1</v>
      </c>
      <c r="G12" cm="1">
        <f t="array" ref="G12:J12">_xlfn.XLOOKUP(A12, Sheet1!A:A, Sheet1!C:F)</f>
        <v>23.529411759999999</v>
      </c>
      <c r="H12">
        <v>23.529411759999999</v>
      </c>
      <c r="I12">
        <v>23.529411759999999</v>
      </c>
      <c r="J12">
        <v>23.529411759999999</v>
      </c>
    </row>
    <row r="13" spans="1:10" x14ac:dyDescent="0.3">
      <c r="A13" t="str" cm="1">
        <f t="array" ref="A13">IF(ROW()&lt;=COUNTA(Sheet1!A:A), INDEX(Sheet1!A:A, ROW()),
INDEX(Sheet4!A:A, ROW()-COUNTA(Sheet1!A:A)))</f>
        <v>Al7.0536Cr9.5224Fe15.749Co32.895Ni34.78</v>
      </c>
      <c r="B13" s="10">
        <f>_xlfn.XLOOKUP(A13, Sheet4!A:A, Sheet4!C:C)</f>
        <v>0</v>
      </c>
      <c r="C13" s="10">
        <v>-1</v>
      </c>
      <c r="D13" s="10">
        <f>_xlfn.XLOOKUP(A13, Sheet2!A:A, Sheet2!B:B)</f>
        <v>8.4814000000000007</v>
      </c>
      <c r="E13" s="10">
        <f>_xlfn.XLOOKUP(A13, Sheet1!A:A, Sheet1!G:G)</f>
        <v>-1</v>
      </c>
      <c r="F13" s="10">
        <f t="shared" si="0"/>
        <v>-1</v>
      </c>
      <c r="G13" cm="1">
        <f t="array" ref="G13:J13">_xlfn.XLOOKUP(A13, Sheet1!A:A, Sheet1!C:F)</f>
        <v>23.25581395</v>
      </c>
      <c r="H13">
        <v>23.25581395</v>
      </c>
      <c r="I13">
        <v>23.25581395</v>
      </c>
      <c r="J13">
        <v>23.25581395</v>
      </c>
    </row>
    <row r="14" spans="1:10" x14ac:dyDescent="0.3">
      <c r="A14" t="str" cm="1">
        <f t="array" ref="A14">IF(ROW()&lt;=COUNTA(Sheet1!A:A), INDEX(Sheet1!A:A, ROW()),
INDEX(Sheet4!A:A, ROW()-COUNTA(Sheet1!A:A)))</f>
        <v>Al7.1Cr9.5Fe15.7Co32.9Ni34.8</v>
      </c>
      <c r="B14" s="10">
        <f>_xlfn.XLOOKUP(A14, Sheet4!A:A, Sheet4!C:C)</f>
        <v>0</v>
      </c>
      <c r="C14" s="10">
        <v>-1</v>
      </c>
      <c r="D14" s="10">
        <f>_xlfn.XLOOKUP(A14, Sheet2!A:A, Sheet2!B:B)</f>
        <v>8.48</v>
      </c>
      <c r="E14" s="10">
        <f>_xlfn.XLOOKUP(A14, Sheet1!A:A, Sheet1!G:G)</f>
        <v>-1</v>
      </c>
      <c r="F14" s="10">
        <f t="shared" si="0"/>
        <v>-1</v>
      </c>
      <c r="G14" cm="1">
        <f t="array" ref="G14:J14">_xlfn.XLOOKUP(A14, Sheet1!A:A, Sheet1!C:F)</f>
        <v>32.895000000000003</v>
      </c>
      <c r="H14">
        <v>9.5223999999999993</v>
      </c>
      <c r="I14">
        <v>15.749000000000001</v>
      </c>
      <c r="J14">
        <v>34.78</v>
      </c>
    </row>
    <row r="15" spans="1:10" x14ac:dyDescent="0.3">
      <c r="A15" t="str" cm="1">
        <f t="array" ref="A15">IF(ROW()&lt;=COUNTA(Sheet1!A:A), INDEX(Sheet1!A:A, ROW()),
INDEX(Sheet4!A:A, ROW()-COUNTA(Sheet1!A:A)))</f>
        <v>Al7.2Co23.2Cr23.2Fe23.2Ni23.2</v>
      </c>
      <c r="B15" s="10" t="str">
        <f>_xlfn.XLOOKUP(A15, Sheet4!A:A, Sheet4!C:C)</f>
        <v>IM</v>
      </c>
      <c r="C15" s="10">
        <v>-1</v>
      </c>
      <c r="D15" s="10">
        <f>_xlfn.XLOOKUP(A15, Sheet2!A:A, Sheet2!B:B)</f>
        <v>7.8719999999999999</v>
      </c>
      <c r="E15" s="10">
        <f>_xlfn.XLOOKUP(A15, Sheet1!A:A, Sheet1!G:G)</f>
        <v>-1</v>
      </c>
      <c r="F15" s="10">
        <f t="shared" si="0"/>
        <v>-1</v>
      </c>
      <c r="G15" cm="1">
        <f t="array" ref="G15:J15">_xlfn.XLOOKUP(A15, Sheet1!A:A, Sheet1!C:F)</f>
        <v>32.9</v>
      </c>
      <c r="H15">
        <v>9.5</v>
      </c>
      <c r="I15">
        <v>15.7</v>
      </c>
      <c r="J15">
        <v>34.799999999999997</v>
      </c>
    </row>
    <row r="16" spans="1:10" x14ac:dyDescent="0.3">
      <c r="A16" t="str" cm="1">
        <f t="array" ref="A16">IF(ROW()&lt;=COUNTA(Sheet1!A:A), INDEX(Sheet1!A:A, ROW()),
INDEX(Sheet4!A:A, ROW()-COUNTA(Sheet1!A:A)))</f>
        <v>Al7.2069Cr9.6072Fe12.998Co34.049Ni36.138</v>
      </c>
      <c r="B16" s="10">
        <f>_xlfn.XLOOKUP(A16, Sheet4!A:A, Sheet4!C:C)</f>
        <v>0</v>
      </c>
      <c r="C16" s="10">
        <v>-1</v>
      </c>
      <c r="D16" s="10">
        <f>_xlfn.XLOOKUP(A16, Sheet2!A:A, Sheet2!B:B)</f>
        <v>8.5107999999999997</v>
      </c>
      <c r="E16" s="10">
        <f>_xlfn.XLOOKUP(A16, Sheet1!A:A, Sheet1!G:G)</f>
        <v>-1</v>
      </c>
      <c r="F16" s="10">
        <f t="shared" si="0"/>
        <v>-1</v>
      </c>
      <c r="G16" cm="1">
        <f t="array" ref="G16:J16">_xlfn.XLOOKUP(A16, Sheet1!A:A, Sheet1!C:F)</f>
        <v>23.2</v>
      </c>
      <c r="H16">
        <v>23.2</v>
      </c>
      <c r="I16">
        <v>23.2</v>
      </c>
      <c r="J16">
        <v>23.2</v>
      </c>
    </row>
    <row r="17" spans="1:10" x14ac:dyDescent="0.3">
      <c r="A17" t="str" cm="1">
        <f t="array" ref="A17">IF(ROW()&lt;=COUNTA(Sheet1!A:A), INDEX(Sheet1!A:A, ROW()),
INDEX(Sheet4!A:A, ROW()-COUNTA(Sheet1!A:A)))</f>
        <v>Al7.2Cr9.6Fe13Co34Ni36.1</v>
      </c>
      <c r="B17" s="10">
        <f>_xlfn.XLOOKUP(A17, Sheet4!A:A, Sheet4!C:C)</f>
        <v>0</v>
      </c>
      <c r="C17" s="10">
        <v>-1</v>
      </c>
      <c r="D17" s="10">
        <f>_xlfn.XLOOKUP(A17, Sheet2!A:A, Sheet2!B:B)</f>
        <v>8.5105000000000004</v>
      </c>
      <c r="E17" s="10">
        <f>_xlfn.XLOOKUP(A17, Sheet1!A:A, Sheet1!G:G)</f>
        <v>-1</v>
      </c>
      <c r="F17" s="10">
        <f t="shared" si="0"/>
        <v>-1</v>
      </c>
      <c r="G17" cm="1">
        <f t="array" ref="G17:J17">_xlfn.XLOOKUP(A17, Sheet1!A:A, Sheet1!C:F)</f>
        <v>34.048999999999999</v>
      </c>
      <c r="H17">
        <v>9.6072000000000006</v>
      </c>
      <c r="I17">
        <v>12.997999999999999</v>
      </c>
      <c r="J17">
        <v>36.137999999999998</v>
      </c>
    </row>
    <row r="18" spans="1:10" x14ac:dyDescent="0.3">
      <c r="A18" t="str" cm="1">
        <f t="array" ref="A18">IF(ROW()&lt;=COUNTA(Sheet1!A:A), INDEX(Sheet1!A:A, ROW()),
INDEX(Sheet4!A:A, ROW()-COUNTA(Sheet1!A:A)))</f>
        <v>Al0.3CoFeNiCr0.7</v>
      </c>
      <c r="B18" s="10">
        <f>_xlfn.XLOOKUP(A18, Sheet4!A:A, Sheet4!C:C)</f>
        <v>0</v>
      </c>
      <c r="C18" s="10">
        <v>-1</v>
      </c>
      <c r="D18" s="10">
        <f>_xlfn.XLOOKUP(A18, Sheet2!A:A, Sheet2!B:B)</f>
        <v>8.0250000000000004</v>
      </c>
      <c r="E18" s="10">
        <f>_xlfn.XLOOKUP(A18, Sheet1!A:A, Sheet1!G:G)</f>
        <v>-1</v>
      </c>
      <c r="F18" s="10">
        <f t="shared" si="0"/>
        <v>-1</v>
      </c>
      <c r="G18" cm="1">
        <f t="array" ref="G18:J18">_xlfn.XLOOKUP(A18, Sheet1!A:A, Sheet1!C:F)</f>
        <v>34</v>
      </c>
      <c r="H18">
        <v>9.6</v>
      </c>
      <c r="I18">
        <v>13</v>
      </c>
      <c r="J18">
        <v>36.1</v>
      </c>
    </row>
    <row r="19" spans="1:10" x14ac:dyDescent="0.3">
      <c r="A19" t="str" cm="1">
        <f t="array" ref="A19">IF(ROW()&lt;=COUNTA(Sheet1!A:A), INDEX(Sheet1!A:A, ROW()),
INDEX(Sheet4!A:A, ROW()-COUNTA(Sheet1!A:A)))</f>
        <v>Al7.6571Cr9.5984Fe26.587Co27.261Ni28.897</v>
      </c>
      <c r="B19" s="10">
        <f>_xlfn.XLOOKUP(A19, Sheet4!A:A, Sheet4!C:C)</f>
        <v>0</v>
      </c>
      <c r="C19" s="10">
        <v>-1</v>
      </c>
      <c r="D19" s="10">
        <f>_xlfn.XLOOKUP(A19, Sheet2!A:A, Sheet2!B:B)</f>
        <v>8.2757000000000005</v>
      </c>
      <c r="E19" s="10">
        <f>_xlfn.XLOOKUP(A19, Sheet1!A:A, Sheet1!G:G)</f>
        <v>-1</v>
      </c>
      <c r="F19" s="10">
        <f t="shared" si="0"/>
        <v>-1</v>
      </c>
      <c r="G19" cm="1">
        <f t="array" ref="G19:J19">_xlfn.XLOOKUP(A19, Sheet1!A:A, Sheet1!C:F)</f>
        <v>25</v>
      </c>
      <c r="H19">
        <v>17.5</v>
      </c>
      <c r="I19">
        <v>25</v>
      </c>
      <c r="J19">
        <v>25</v>
      </c>
    </row>
    <row r="20" spans="1:10" x14ac:dyDescent="0.3">
      <c r="A20" t="str" cm="1">
        <f t="array" ref="A20">IF(ROW()&lt;=COUNTA(Sheet1!A:A), INDEX(Sheet1!A:A, ROW()),
INDEX(Sheet4!A:A, ROW()-COUNTA(Sheet1!A:A)))</f>
        <v>Al7.6864Cr9.7668Fe18.702Co31.106Ni32.739</v>
      </c>
      <c r="B20" s="10">
        <f>_xlfn.XLOOKUP(A20, Sheet4!A:A, Sheet4!C:C)</f>
        <v>0</v>
      </c>
      <c r="C20" s="10">
        <v>-1</v>
      </c>
      <c r="D20" s="10">
        <f>_xlfn.XLOOKUP(A20, Sheet2!A:A, Sheet2!B:B)</f>
        <v>8.3862000000000005</v>
      </c>
      <c r="E20" s="10">
        <f>_xlfn.XLOOKUP(A20, Sheet1!A:A, Sheet1!G:G)</f>
        <v>-1</v>
      </c>
      <c r="F20" s="10">
        <f t="shared" si="0"/>
        <v>-1</v>
      </c>
      <c r="G20" cm="1">
        <f t="array" ref="G20:J20">_xlfn.XLOOKUP(A20, Sheet1!A:A, Sheet1!C:F)</f>
        <v>27.260999999999999</v>
      </c>
      <c r="H20">
        <v>9.5983999999999998</v>
      </c>
      <c r="I20">
        <v>26.587</v>
      </c>
      <c r="J20">
        <v>28.896999999999998</v>
      </c>
    </row>
    <row r="21" spans="1:10" x14ac:dyDescent="0.3">
      <c r="A21" t="str" cm="1">
        <f t="array" ref="A21">IF(ROW()&lt;=COUNTA(Sheet1!A:A), INDEX(Sheet1!A:A, ROW()),
INDEX(Sheet4!A:A, ROW()-COUNTA(Sheet1!A:A)))</f>
        <v>Al7.7Cr9.6Fe26.6Co27.3Ni28.9</v>
      </c>
      <c r="B21" s="10">
        <f>_xlfn.XLOOKUP(A21, Sheet4!A:A, Sheet4!C:C)</f>
        <v>0</v>
      </c>
      <c r="C21" s="10">
        <v>-1</v>
      </c>
      <c r="D21" s="10">
        <f>_xlfn.XLOOKUP(A21, Sheet2!A:A, Sheet2!B:B)</f>
        <v>8.2736999999999998</v>
      </c>
      <c r="E21" s="10">
        <f>_xlfn.XLOOKUP(A21, Sheet1!A:A, Sheet1!G:G)</f>
        <v>-1</v>
      </c>
      <c r="F21" s="10">
        <f t="shared" si="0"/>
        <v>-1</v>
      </c>
      <c r="G21" cm="1">
        <f t="array" ref="G21:J21">_xlfn.XLOOKUP(A21, Sheet1!A:A, Sheet1!C:F)</f>
        <v>31.106000000000002</v>
      </c>
      <c r="H21">
        <v>9.7667999999999999</v>
      </c>
      <c r="I21">
        <v>18.702000000000002</v>
      </c>
      <c r="J21">
        <v>32.738999999999997</v>
      </c>
    </row>
    <row r="22" spans="1:10" x14ac:dyDescent="0.3">
      <c r="A22" t="str" cm="1">
        <f t="array" ref="A22">IF(ROW()&lt;=COUNTA(Sheet1!A:A), INDEX(Sheet1!A:A, ROW()),
INDEX(Sheet4!A:A, ROW()-COUNTA(Sheet1!A:A)))</f>
        <v>Al7.7Cr9.8Fe18.7Co31.1Ni32.7</v>
      </c>
      <c r="B22" s="10">
        <f>_xlfn.XLOOKUP(A22, Sheet4!A:A, Sheet4!C:C)</f>
        <v>0</v>
      </c>
      <c r="C22" s="10">
        <v>-1</v>
      </c>
      <c r="D22" s="10">
        <f>_xlfn.XLOOKUP(A22, Sheet2!A:A, Sheet2!B:B)</f>
        <v>8.3840000000000003</v>
      </c>
      <c r="E22" s="10">
        <f>_xlfn.XLOOKUP(A22, Sheet1!A:A, Sheet1!G:G)</f>
        <v>-1</v>
      </c>
      <c r="F22" s="10">
        <f t="shared" si="0"/>
        <v>-1</v>
      </c>
      <c r="G22" cm="1">
        <f t="array" ref="G22:J22">_xlfn.XLOOKUP(A22, Sheet1!A:A, Sheet1!C:F)</f>
        <v>27.3</v>
      </c>
      <c r="H22">
        <v>9.6</v>
      </c>
      <c r="I22">
        <v>26.6</v>
      </c>
      <c r="J22">
        <v>28.9</v>
      </c>
    </row>
    <row r="23" spans="1:10" x14ac:dyDescent="0.3">
      <c r="A23" t="str" cm="1">
        <f t="array" ref="A23">IF(ROW()&lt;=COUNTA(Sheet1!A:A), INDEX(Sheet1!A:A, ROW()),
INDEX(Sheet4!A:A, ROW()-COUNTA(Sheet1!A:A)))</f>
        <v>Al7.7981Cr9.8581Fe22.204Co29.129Ni31.011</v>
      </c>
      <c r="B23" s="10">
        <f>_xlfn.XLOOKUP(A23, Sheet4!A:A, Sheet4!C:C)</f>
        <v>0</v>
      </c>
      <c r="C23" s="10">
        <v>-1</v>
      </c>
      <c r="D23" s="10">
        <f>_xlfn.XLOOKUP(A23, Sheet2!A:A, Sheet2!B:B)</f>
        <v>8.3244000000000007</v>
      </c>
      <c r="E23" s="10">
        <f>_xlfn.XLOOKUP(A23, Sheet1!A:A, Sheet1!G:G)</f>
        <v>-1</v>
      </c>
      <c r="F23" s="10">
        <f t="shared" si="0"/>
        <v>-1</v>
      </c>
      <c r="G23" cm="1">
        <f t="array" ref="G23:J23">_xlfn.XLOOKUP(A23, Sheet1!A:A, Sheet1!C:F)</f>
        <v>31.1</v>
      </c>
      <c r="H23">
        <v>9.8000000000000007</v>
      </c>
      <c r="I23">
        <v>18.7</v>
      </c>
      <c r="J23">
        <v>32.700000000000003</v>
      </c>
    </row>
    <row r="24" spans="1:10" x14ac:dyDescent="0.3">
      <c r="A24" t="str" cm="1">
        <f t="array" ref="A24">IF(ROW()&lt;=COUNTA(Sheet1!A:A), INDEX(Sheet1!A:A, ROW()),
INDEX(Sheet4!A:A, ROW()-COUNTA(Sheet1!A:A)))</f>
        <v>Al7.8Cr9.9Fe22.2Co29.1Ni31</v>
      </c>
      <c r="B24" s="10">
        <f>_xlfn.XLOOKUP(A24, Sheet4!A:A, Sheet4!C:C)</f>
        <v>0</v>
      </c>
      <c r="C24" s="10">
        <v>-1</v>
      </c>
      <c r="D24" s="10">
        <f>_xlfn.XLOOKUP(A24, Sheet2!A:A, Sheet2!B:B)</f>
        <v>8.3230000000000004</v>
      </c>
      <c r="E24" s="10">
        <f>_xlfn.XLOOKUP(A24, Sheet1!A:A, Sheet1!G:G)</f>
        <v>-1</v>
      </c>
      <c r="F24" s="10">
        <f t="shared" si="0"/>
        <v>-1</v>
      </c>
      <c r="G24" cm="1">
        <f t="array" ref="G24:J24">_xlfn.XLOOKUP(A24, Sheet1!A:A, Sheet1!C:F)</f>
        <v>29.129000000000001</v>
      </c>
      <c r="H24">
        <v>9.8581000000000003</v>
      </c>
      <c r="I24">
        <v>22.204000000000001</v>
      </c>
      <c r="J24">
        <v>31.010999999999999</v>
      </c>
    </row>
    <row r="25" spans="1:10" x14ac:dyDescent="0.3">
      <c r="A25" t="str" cm="1">
        <f t="array" ref="A25">IF(ROW()&lt;=COUNTA(Sheet1!A:A), INDEX(Sheet1!A:A, ROW()),
INDEX(Sheet4!A:A, ROW()-COUNTA(Sheet1!A:A)))</f>
        <v>Al7.9Cr10.1Fe37.3Co21.5Ni23.2</v>
      </c>
      <c r="B25" s="10">
        <f>_xlfn.XLOOKUP(A25, Sheet4!A:A, Sheet4!C:C)</f>
        <v>0</v>
      </c>
      <c r="C25" s="10">
        <v>-1</v>
      </c>
      <c r="D25" s="10">
        <f>_xlfn.XLOOKUP(A25, Sheet2!A:A, Sheet2!B:B)</f>
        <v>8.0820000000000007</v>
      </c>
      <c r="E25" s="10">
        <f>_xlfn.XLOOKUP(A25, Sheet1!A:A, Sheet1!G:G)</f>
        <v>-1</v>
      </c>
      <c r="F25" s="10">
        <f t="shared" si="0"/>
        <v>-1</v>
      </c>
      <c r="G25" cm="1">
        <f t="array" ref="G25:J25">_xlfn.XLOOKUP(A25, Sheet1!A:A, Sheet1!C:F)</f>
        <v>29.1</v>
      </c>
      <c r="H25">
        <v>9.9</v>
      </c>
      <c r="I25">
        <v>22.2</v>
      </c>
      <c r="J25">
        <v>31</v>
      </c>
    </row>
    <row r="26" spans="1:10" x14ac:dyDescent="0.3">
      <c r="A26" t="str" cm="1">
        <f t="array" ref="A26">IF(ROW()&lt;=COUNTA(Sheet1!A:A), INDEX(Sheet1!A:A, ROW()),
INDEX(Sheet4!A:A, ROW()-COUNTA(Sheet1!A:A)))</f>
        <v>Al7.9214Cr10.128Fe37.308Co21.456Ni23.187</v>
      </c>
      <c r="B26" s="10">
        <f>_xlfn.XLOOKUP(A26, Sheet4!A:A, Sheet4!C:C)</f>
        <v>0</v>
      </c>
      <c r="C26" s="10">
        <v>-1</v>
      </c>
      <c r="D26" s="10">
        <f>_xlfn.XLOOKUP(A26, Sheet2!A:A, Sheet2!B:B)</f>
        <v>8.0797000000000008</v>
      </c>
      <c r="E26" s="10">
        <f>_xlfn.XLOOKUP(A26, Sheet1!A:A, Sheet1!G:G)</f>
        <v>-1</v>
      </c>
      <c r="F26" s="10">
        <f t="shared" si="0"/>
        <v>-1</v>
      </c>
      <c r="G26" cm="1">
        <f t="array" ref="G26:J26">_xlfn.XLOOKUP(A26, Sheet1!A:A, Sheet1!C:F)</f>
        <v>21.5</v>
      </c>
      <c r="H26">
        <v>10.1</v>
      </c>
      <c r="I26">
        <v>37.299999999999997</v>
      </c>
      <c r="J26">
        <v>23.2</v>
      </c>
    </row>
    <row r="27" spans="1:10" x14ac:dyDescent="0.3">
      <c r="A27" t="str" cm="1">
        <f t="array" ref="A27">IF(ROW()&lt;=COUNTA(Sheet1!A:A), INDEX(Sheet1!A:A, ROW()),
INDEX(Sheet4!A:A, ROW()-COUNTA(Sheet1!A:A)))</f>
        <v>Al8.2Cr11.1Fe9.5Co34.7Ni36.5</v>
      </c>
      <c r="B27" s="10">
        <f>_xlfn.XLOOKUP(A27, Sheet4!A:A, Sheet4!C:C)</f>
        <v>0</v>
      </c>
      <c r="C27" s="10">
        <v>-1</v>
      </c>
      <c r="D27" s="10">
        <f>_xlfn.XLOOKUP(A27, Sheet2!A:A, Sheet2!B:B)</f>
        <v>8.4450000000000003</v>
      </c>
      <c r="E27" s="10">
        <f>_xlfn.XLOOKUP(A27, Sheet1!A:A, Sheet1!G:G)</f>
        <v>-1</v>
      </c>
      <c r="F27" s="10">
        <f t="shared" si="0"/>
        <v>-1</v>
      </c>
      <c r="G27" cm="1">
        <f t="array" ref="G27:J27">_xlfn.XLOOKUP(A27, Sheet1!A:A, Sheet1!C:F)</f>
        <v>21.456</v>
      </c>
      <c r="H27">
        <v>10.128</v>
      </c>
      <c r="I27">
        <v>37.308</v>
      </c>
      <c r="J27">
        <v>23.187000000000001</v>
      </c>
    </row>
    <row r="28" spans="1:10" x14ac:dyDescent="0.3">
      <c r="A28" t="str" cm="1">
        <f t="array" ref="A28">IF(ROW()&lt;=COUNTA(Sheet1!A:A), INDEX(Sheet1!A:A, ROW()),
INDEX(Sheet4!A:A, ROW()-COUNTA(Sheet1!A:A)))</f>
        <v>Al8.2174Cr11.089Fe9.5353Co34.671Ni36.488</v>
      </c>
      <c r="B28" s="10">
        <f>_xlfn.XLOOKUP(A28, Sheet4!A:A, Sheet4!C:C)</f>
        <v>0</v>
      </c>
      <c r="C28" s="10">
        <v>-1</v>
      </c>
      <c r="D28" s="10">
        <f>_xlfn.XLOOKUP(A28, Sheet2!A:A, Sheet2!B:B)</f>
        <v>8.4437999999999995</v>
      </c>
      <c r="E28" s="10">
        <f>_xlfn.XLOOKUP(A28, Sheet1!A:A, Sheet1!G:G)</f>
        <v>-1</v>
      </c>
      <c r="F28" s="10">
        <f t="shared" si="0"/>
        <v>-1</v>
      </c>
      <c r="G28" cm="1">
        <f t="array" ref="G28:J28">_xlfn.XLOOKUP(A28, Sheet1!A:A, Sheet1!C:F)</f>
        <v>34.700000000000003</v>
      </c>
      <c r="H28">
        <v>11.1</v>
      </c>
      <c r="I28">
        <v>9.5</v>
      </c>
      <c r="J28">
        <v>36.5</v>
      </c>
    </row>
    <row r="29" spans="1:10" x14ac:dyDescent="0.3">
      <c r="A29" t="str" cm="1">
        <f t="array" ref="A29">IF(ROW()&lt;=COUNTA(Sheet1!A:A), INDEX(Sheet1!A:A, ROW()),
INDEX(Sheet4!A:A, ROW()-COUNTA(Sheet1!A:A)))</f>
        <v>Al8.4Cr11.3Fe16.2Co31.1Ni33</v>
      </c>
      <c r="B29" s="10">
        <f>_xlfn.XLOOKUP(A29, Sheet4!A:A, Sheet4!C:C)</f>
        <v>0</v>
      </c>
      <c r="C29" s="10">
        <v>-1</v>
      </c>
      <c r="D29" s="10">
        <f>_xlfn.XLOOKUP(A29, Sheet2!A:A, Sheet2!B:B)</f>
        <v>8.3249999999999993</v>
      </c>
      <c r="E29" s="10">
        <f>_xlfn.XLOOKUP(A29, Sheet1!A:A, Sheet1!G:G)</f>
        <v>-1</v>
      </c>
      <c r="F29" s="10">
        <f t="shared" si="0"/>
        <v>-1</v>
      </c>
      <c r="G29" cm="1">
        <f t="array" ref="G29:J29">_xlfn.XLOOKUP(A29, Sheet1!A:A, Sheet1!C:F)</f>
        <v>34.670999999999999</v>
      </c>
      <c r="H29">
        <v>11.089</v>
      </c>
      <c r="I29">
        <v>9.5352999999999994</v>
      </c>
      <c r="J29">
        <v>36.488</v>
      </c>
    </row>
    <row r="30" spans="1:10" x14ac:dyDescent="0.3">
      <c r="A30" t="str" cm="1">
        <f t="array" ref="A30">IF(ROW()&lt;=COUNTA(Sheet1!A:A), INDEX(Sheet1!A:A, ROW()),
INDEX(Sheet4!A:A, ROW()-COUNTA(Sheet1!A:A)))</f>
        <v>Al8.4Cr11.1Fe11.2Co33.7Ni35.6</v>
      </c>
      <c r="B30" s="10">
        <f>_xlfn.XLOOKUP(A30, Sheet4!A:A, Sheet4!C:C)</f>
        <v>0</v>
      </c>
      <c r="C30" s="10">
        <v>-1</v>
      </c>
      <c r="D30" s="10">
        <f>_xlfn.XLOOKUP(A30, Sheet2!A:A, Sheet2!B:B)</f>
        <v>8.407</v>
      </c>
      <c r="E30" s="10">
        <f>_xlfn.XLOOKUP(A30, Sheet1!A:A, Sheet1!G:G)</f>
        <v>-1</v>
      </c>
      <c r="F30" s="10">
        <f t="shared" si="0"/>
        <v>-1</v>
      </c>
      <c r="G30" cm="1">
        <f t="array" ref="G30:J30">_xlfn.XLOOKUP(A30, Sheet1!A:A, Sheet1!C:F)</f>
        <v>31.1</v>
      </c>
      <c r="H30">
        <v>11.3</v>
      </c>
      <c r="I30">
        <v>16.2</v>
      </c>
      <c r="J30">
        <v>33</v>
      </c>
    </row>
    <row r="31" spans="1:10" x14ac:dyDescent="0.3">
      <c r="A31" t="str" cm="1">
        <f t="array" ref="A31">IF(ROW()&lt;=COUNTA(Sheet1!A:A), INDEX(Sheet1!A:A, ROW()),
INDEX(Sheet4!A:A, ROW()-COUNTA(Sheet1!A:A)))</f>
        <v>Al8.4326Cr11.117Fe11.233Co33.655Ni35.562</v>
      </c>
      <c r="B31" s="10">
        <f>_xlfn.XLOOKUP(A31, Sheet4!A:A, Sheet4!C:C)</f>
        <v>0</v>
      </c>
      <c r="C31" s="10">
        <v>-1</v>
      </c>
      <c r="D31" s="10">
        <f>_xlfn.XLOOKUP(A31, Sheet2!A:A, Sheet2!B:B)</f>
        <v>8.4038000000000004</v>
      </c>
      <c r="E31" s="10">
        <f>_xlfn.XLOOKUP(A31, Sheet1!A:A, Sheet1!G:G)</f>
        <v>-1</v>
      </c>
      <c r="F31" s="10">
        <f t="shared" si="0"/>
        <v>-1</v>
      </c>
      <c r="G31" cm="1">
        <f t="array" ref="G31:J31">_xlfn.XLOOKUP(A31, Sheet1!A:A, Sheet1!C:F)</f>
        <v>33.700000000000003</v>
      </c>
      <c r="H31">
        <v>11.1</v>
      </c>
      <c r="I31">
        <v>11.2</v>
      </c>
      <c r="J31">
        <v>35.6</v>
      </c>
    </row>
    <row r="32" spans="1:10" x14ac:dyDescent="0.3">
      <c r="A32" t="str" cm="1">
        <f t="array" ref="A32">IF(ROW()&lt;=COUNTA(Sheet1!A:A), INDEX(Sheet1!A:A, ROW()),
INDEX(Sheet4!A:A, ROW()-COUNTA(Sheet1!A:A)))</f>
        <v>Al8.4353Cr11.298Fe16.225Co31.074Ni32.968</v>
      </c>
      <c r="B32" s="10">
        <f>_xlfn.XLOOKUP(A32, Sheet4!A:A, Sheet4!C:C)</f>
        <v>0</v>
      </c>
      <c r="C32" s="10">
        <v>-1</v>
      </c>
      <c r="D32" s="10">
        <f>_xlfn.XLOOKUP(A32, Sheet2!A:A, Sheet2!B:B)</f>
        <v>8.3224</v>
      </c>
      <c r="E32" s="10">
        <f>_xlfn.XLOOKUP(A32, Sheet1!A:A, Sheet1!G:G)</f>
        <v>-1</v>
      </c>
      <c r="F32" s="10">
        <f t="shared" si="0"/>
        <v>-1</v>
      </c>
      <c r="G32" cm="1">
        <f t="array" ref="G32:J32">_xlfn.XLOOKUP(A32, Sheet1!A:A, Sheet1!C:F)</f>
        <v>33.655000000000001</v>
      </c>
      <c r="H32">
        <v>11.117000000000001</v>
      </c>
      <c r="I32">
        <v>11.233000000000001</v>
      </c>
      <c r="J32">
        <v>35.561999999999998</v>
      </c>
    </row>
    <row r="33" spans="1:10" x14ac:dyDescent="0.3">
      <c r="A33" t="str" cm="1">
        <f t="array" ref="A33">IF(ROW()&lt;=COUNTA(Sheet1!A:A), INDEX(Sheet1!A:A, ROW()),
INDEX(Sheet4!A:A, ROW()-COUNTA(Sheet1!A:A)))</f>
        <v>Al0.375CoCrFeNi</v>
      </c>
      <c r="B33" s="10" t="str">
        <f>_xlfn.XLOOKUP(A33, Sheet4!A:A, Sheet4!C:C)</f>
        <v>FCC</v>
      </c>
      <c r="C33" s="10">
        <v>0</v>
      </c>
      <c r="D33" s="10">
        <f>_xlfn.XLOOKUP(A33, Sheet2!A:A, Sheet2!B:B)</f>
        <v>7.8</v>
      </c>
      <c r="E33" s="10">
        <f>_xlfn.XLOOKUP(A33, Sheet1!A:A, Sheet1!G:G)</f>
        <v>-1</v>
      </c>
      <c r="F33" s="10">
        <f t="shared" si="0"/>
        <v>0</v>
      </c>
      <c r="G33" cm="1">
        <f t="array" ref="G33:J33">_xlfn.XLOOKUP(A33, Sheet1!A:A, Sheet1!C:F)</f>
        <v>31.074000000000002</v>
      </c>
      <c r="H33">
        <v>11.298</v>
      </c>
      <c r="I33">
        <v>16.225000000000001</v>
      </c>
      <c r="J33">
        <v>32.968000000000004</v>
      </c>
    </row>
    <row r="34" spans="1:10" x14ac:dyDescent="0.3">
      <c r="A34" t="str" cm="1">
        <f t="array" ref="A34">IF(ROW()&lt;=COUNTA(Sheet1!A:A), INDEX(Sheet1!A:A, ROW()),
INDEX(Sheet4!A:A, ROW()-COUNTA(Sheet1!A:A)))</f>
        <v>CoCrFeNiAl0.38</v>
      </c>
      <c r="B34" s="10">
        <f>_xlfn.XLOOKUP(A34, Sheet4!A:A, Sheet4!C:C)</f>
        <v>0</v>
      </c>
      <c r="C34" s="10">
        <v>-1</v>
      </c>
      <c r="D34" s="10">
        <f>_xlfn.XLOOKUP(A34, Sheet2!A:A, Sheet2!B:B)</f>
        <v>7.7945000000000002</v>
      </c>
      <c r="E34" s="10">
        <f>_xlfn.XLOOKUP(A34, Sheet1!A:A, Sheet1!G:G)</f>
        <v>-1</v>
      </c>
      <c r="F34" s="10">
        <f t="shared" si="0"/>
        <v>-1</v>
      </c>
      <c r="G34" cm="1">
        <f t="array" ref="G34:J34">_xlfn.XLOOKUP(A34, Sheet1!A:A, Sheet1!C:F)</f>
        <v>22.85714286</v>
      </c>
      <c r="H34">
        <v>22.85714286</v>
      </c>
      <c r="I34">
        <v>22.85714286</v>
      </c>
      <c r="J34">
        <v>22.85714286</v>
      </c>
    </row>
    <row r="35" spans="1:10" x14ac:dyDescent="0.3">
      <c r="A35" t="str" cm="1">
        <f t="array" ref="A35">IF(ROW()&lt;=COUNTA(Sheet1!A:A), INDEX(Sheet1!A:A, ROW()),
INDEX(Sheet4!A:A, ROW()-COUNTA(Sheet1!A:A)))</f>
        <v>Al8.6895Cr10.442Fe32.126Co23.472Ni25.271</v>
      </c>
      <c r="B35" s="10">
        <f>_xlfn.XLOOKUP(A35, Sheet4!A:A, Sheet4!C:C)</f>
        <v>0</v>
      </c>
      <c r="C35" s="10">
        <v>-1</v>
      </c>
      <c r="D35" s="10">
        <f>_xlfn.XLOOKUP(A35, Sheet2!A:A, Sheet2!B:B)</f>
        <v>8.0968</v>
      </c>
      <c r="E35" s="10">
        <f>_xlfn.XLOOKUP(A35, Sheet1!A:A, Sheet1!G:G)</f>
        <v>-1</v>
      </c>
      <c r="F35" s="10">
        <f t="shared" si="0"/>
        <v>-1</v>
      </c>
      <c r="G35" cm="1">
        <f t="array" ref="G35:J35">_xlfn.XLOOKUP(A35, Sheet1!A:A, Sheet1!C:F)</f>
        <v>22.85714286</v>
      </c>
      <c r="H35">
        <v>22.85714286</v>
      </c>
      <c r="I35">
        <v>22.85714286</v>
      </c>
      <c r="J35">
        <v>22.85714286</v>
      </c>
    </row>
    <row r="36" spans="1:10" x14ac:dyDescent="0.3">
      <c r="A36" t="str" cm="1">
        <f t="array" ref="A36">IF(ROW()&lt;=COUNTA(Sheet1!A:A), INDEX(Sheet1!A:A, ROW()),
INDEX(Sheet4!A:A, ROW()-COUNTA(Sheet1!A:A)))</f>
        <v>Al8.7Cr10.4Fe32.1Co23.5Ni25.3</v>
      </c>
      <c r="B36" s="10">
        <f>_xlfn.XLOOKUP(A36, Sheet4!A:A, Sheet4!C:C)</f>
        <v>0</v>
      </c>
      <c r="C36" s="10">
        <v>-1</v>
      </c>
      <c r="D36" s="10">
        <f>_xlfn.XLOOKUP(A36, Sheet2!A:A, Sheet2!B:B)</f>
        <v>8.0980000000000008</v>
      </c>
      <c r="E36" s="10">
        <f>_xlfn.XLOOKUP(A36, Sheet1!A:A, Sheet1!G:G)</f>
        <v>-1</v>
      </c>
      <c r="F36" s="10">
        <f t="shared" si="0"/>
        <v>-1</v>
      </c>
      <c r="G36" cm="1">
        <f t="array" ref="G36:J36">_xlfn.XLOOKUP(A36, Sheet1!A:A, Sheet1!C:F)</f>
        <v>22.831050229999999</v>
      </c>
      <c r="H36">
        <v>22.831050229999999</v>
      </c>
      <c r="I36">
        <v>22.831050229999999</v>
      </c>
      <c r="J36">
        <v>22.831050229999999</v>
      </c>
    </row>
    <row r="37" spans="1:10" x14ac:dyDescent="0.3">
      <c r="A37" t="str" cm="1">
        <f t="array" ref="A37">IF(ROW()&lt;=COUNTA(Sheet1!A:A), INDEX(Sheet1!A:A, ROW()),
INDEX(Sheet4!A:A, ROW()-COUNTA(Sheet1!A:A)))</f>
        <v>Al8.7Cr10.9Fe27.2Co25.7Ni27.5</v>
      </c>
      <c r="B37" s="10">
        <f>_xlfn.XLOOKUP(A37, Sheet4!A:A, Sheet4!C:C)</f>
        <v>0</v>
      </c>
      <c r="C37" s="10">
        <v>-1</v>
      </c>
      <c r="D37" s="10">
        <f>_xlfn.XLOOKUP(A37, Sheet2!A:A, Sheet2!B:B)</f>
        <v>8.1539999999999999</v>
      </c>
      <c r="E37" s="10">
        <f>_xlfn.XLOOKUP(A37, Sheet1!A:A, Sheet1!G:G)</f>
        <v>-1</v>
      </c>
      <c r="F37" s="10">
        <f t="shared" si="0"/>
        <v>-1</v>
      </c>
      <c r="G37" cm="1">
        <f t="array" ref="G37:J37">_xlfn.XLOOKUP(A37, Sheet1!A:A, Sheet1!C:F)</f>
        <v>23.472000000000001</v>
      </c>
      <c r="H37">
        <v>10.442</v>
      </c>
      <c r="I37">
        <v>32.125999999999998</v>
      </c>
      <c r="J37">
        <v>25.271000000000001</v>
      </c>
    </row>
    <row r="38" spans="1:10" x14ac:dyDescent="0.3">
      <c r="A38" t="str" cm="1">
        <f t="array" ref="A38">IF(ROW()&lt;=COUNTA(Sheet1!A:A), INDEX(Sheet1!A:A, ROW()),
INDEX(Sheet4!A:A, ROW()-COUNTA(Sheet1!A:A)))</f>
        <v>Al8.7167Cr10.894Fe27.204Co25.722Ni27.464</v>
      </c>
      <c r="B38" s="10">
        <f>_xlfn.XLOOKUP(A38, Sheet4!A:A, Sheet4!C:C)</f>
        <v>0</v>
      </c>
      <c r="C38" s="10">
        <v>-1</v>
      </c>
      <c r="D38" s="10">
        <f>_xlfn.XLOOKUP(A38, Sheet2!A:A, Sheet2!B:B)</f>
        <v>8.1527999999999992</v>
      </c>
      <c r="E38" s="10">
        <f>_xlfn.XLOOKUP(A38, Sheet1!A:A, Sheet1!G:G)</f>
        <v>-1</v>
      </c>
      <c r="F38" s="10">
        <f t="shared" si="0"/>
        <v>-1</v>
      </c>
      <c r="G38" cm="1">
        <f t="array" ref="G38:J38">_xlfn.XLOOKUP(A38, Sheet1!A:A, Sheet1!C:F)</f>
        <v>23.5</v>
      </c>
      <c r="H38">
        <v>10.4</v>
      </c>
      <c r="I38">
        <v>32.1</v>
      </c>
      <c r="J38">
        <v>25.3</v>
      </c>
    </row>
    <row r="39" spans="1:10" x14ac:dyDescent="0.3">
      <c r="A39" t="str" cm="1">
        <f t="array" ref="A39">IF(ROW()&lt;=COUNTA(Sheet1!A:A), INDEX(Sheet1!A:A, ROW()),
INDEX(Sheet4!A:A, ROW()-COUNTA(Sheet1!A:A)))</f>
        <v>Al8.7665Cr11.071Fe13.554Co32.427Ni34.182</v>
      </c>
      <c r="B39" s="10">
        <f>_xlfn.XLOOKUP(A39, Sheet4!A:A, Sheet4!C:C)</f>
        <v>0</v>
      </c>
      <c r="C39" s="10">
        <v>-1</v>
      </c>
      <c r="D39" s="10">
        <f>_xlfn.XLOOKUP(A39, Sheet2!A:A, Sheet2!B:B)</f>
        <v>8.3482000000000003</v>
      </c>
      <c r="E39" s="10">
        <f>_xlfn.XLOOKUP(A39, Sheet1!A:A, Sheet1!G:G)</f>
        <v>-1</v>
      </c>
      <c r="F39" s="10">
        <f t="shared" si="0"/>
        <v>-1</v>
      </c>
      <c r="G39" cm="1">
        <f t="array" ref="G39:J39">_xlfn.XLOOKUP(A39, Sheet1!A:A, Sheet1!C:F)</f>
        <v>25.7</v>
      </c>
      <c r="H39">
        <v>10.9</v>
      </c>
      <c r="I39">
        <v>27.2</v>
      </c>
      <c r="J39">
        <v>27.5</v>
      </c>
    </row>
    <row r="40" spans="1:10" x14ac:dyDescent="0.3">
      <c r="A40" t="str" cm="1">
        <f t="array" ref="A40">IF(ROW()&lt;=COUNTA(Sheet1!A:A), INDEX(Sheet1!A:A, ROW()),
INDEX(Sheet4!A:A, ROW()-COUNTA(Sheet1!A:A)))</f>
        <v>Al8.7869Cr11.363Fe19.584Co29.085Ni31.181</v>
      </c>
      <c r="B40" s="10">
        <f>_xlfn.XLOOKUP(A40, Sheet4!A:A, Sheet4!C:C)</f>
        <v>0</v>
      </c>
      <c r="C40" s="10">
        <v>-1</v>
      </c>
      <c r="D40" s="10">
        <f>_xlfn.XLOOKUP(A40, Sheet2!A:A, Sheet2!B:B)</f>
        <v>8.2478999999999996</v>
      </c>
      <c r="E40" s="10">
        <f>_xlfn.XLOOKUP(A40, Sheet1!A:A, Sheet1!G:G)</f>
        <v>-1</v>
      </c>
      <c r="F40" s="10">
        <f t="shared" si="0"/>
        <v>-1</v>
      </c>
      <c r="G40" cm="1">
        <f t="array" ref="G40:J40">_xlfn.XLOOKUP(A40, Sheet1!A:A, Sheet1!C:F)</f>
        <v>25.722000000000001</v>
      </c>
      <c r="H40">
        <v>10.894</v>
      </c>
      <c r="I40">
        <v>27.204000000000001</v>
      </c>
      <c r="J40">
        <v>27.463999999999999</v>
      </c>
    </row>
    <row r="41" spans="1:10" x14ac:dyDescent="0.3">
      <c r="A41" t="str" cm="1">
        <f t="array" ref="A41">IF(ROW()&lt;=COUNTA(Sheet1!A:A), INDEX(Sheet1!A:A, ROW()),
INDEX(Sheet4!A:A, ROW()-COUNTA(Sheet1!A:A)))</f>
        <v>Al8.8Cr11.4Fe19.6Co29.1Ni31.2</v>
      </c>
      <c r="B41" s="10">
        <f>_xlfn.XLOOKUP(A41, Sheet4!A:A, Sheet4!C:C)</f>
        <v>0</v>
      </c>
      <c r="C41" s="10">
        <v>-1</v>
      </c>
      <c r="D41" s="10">
        <f>_xlfn.XLOOKUP(A41, Sheet2!A:A, Sheet2!B:B)</f>
        <v>8.2468000000000004</v>
      </c>
      <c r="E41" s="10">
        <f>_xlfn.XLOOKUP(A41, Sheet1!A:A, Sheet1!G:G)</f>
        <v>-1</v>
      </c>
      <c r="F41" s="10">
        <f t="shared" si="0"/>
        <v>-1</v>
      </c>
      <c r="G41" cm="1">
        <f t="array" ref="G41:J41">_xlfn.XLOOKUP(A41, Sheet1!A:A, Sheet1!C:F)</f>
        <v>32.427</v>
      </c>
      <c r="H41">
        <v>11.071</v>
      </c>
      <c r="I41">
        <v>13.554</v>
      </c>
      <c r="J41">
        <v>34.182000000000002</v>
      </c>
    </row>
    <row r="42" spans="1:10" x14ac:dyDescent="0.3">
      <c r="A42" t="str" cm="1">
        <f t="array" ref="A42">IF(ROW()&lt;=COUNTA(Sheet1!A:A), INDEX(Sheet1!A:A, ROW()),
INDEX(Sheet4!A:A, ROW()-COUNTA(Sheet1!A:A)))</f>
        <v>Al8.8Cr11.1Fe13.6Co32.4Ni34.2</v>
      </c>
      <c r="B42" s="10">
        <f>_xlfn.XLOOKUP(A42, Sheet4!A:A, Sheet4!C:C)</f>
        <v>0</v>
      </c>
      <c r="C42" s="10">
        <v>-1</v>
      </c>
      <c r="D42" s="10">
        <f>_xlfn.XLOOKUP(A42, Sheet2!A:A, Sheet2!B:B)</f>
        <v>8.3457000000000008</v>
      </c>
      <c r="E42" s="10">
        <f>_xlfn.XLOOKUP(A42, Sheet1!A:A, Sheet1!G:G)</f>
        <v>-1</v>
      </c>
      <c r="F42" s="10">
        <f t="shared" si="0"/>
        <v>-1</v>
      </c>
      <c r="G42" cm="1">
        <f t="array" ref="G42:J42">_xlfn.XLOOKUP(A42, Sheet1!A:A, Sheet1!C:F)</f>
        <v>29.085000000000001</v>
      </c>
      <c r="H42">
        <v>11.363</v>
      </c>
      <c r="I42">
        <v>19.584</v>
      </c>
      <c r="J42">
        <v>31.181000000000001</v>
      </c>
    </row>
    <row r="43" spans="1:10" x14ac:dyDescent="0.3">
      <c r="A43" t="str" cm="1">
        <f t="array" ref="A43">IF(ROW()&lt;=COUNTA(Sheet1!A:A), INDEX(Sheet1!A:A, ROW()),
INDEX(Sheet4!A:A, ROW()-COUNTA(Sheet1!A:A)))</f>
        <v>Al8.8Cr11.2Fe37.8Co20.3Ni21.9</v>
      </c>
      <c r="B43" s="10">
        <f>_xlfn.XLOOKUP(A43, Sheet4!A:A, Sheet4!C:C)</f>
        <v>0</v>
      </c>
      <c r="C43" s="10">
        <v>-1</v>
      </c>
      <c r="D43" s="10">
        <f>_xlfn.XLOOKUP(A43, Sheet2!A:A, Sheet2!B:B)</f>
        <v>7.9770000000000003</v>
      </c>
      <c r="E43" s="10">
        <f>_xlfn.XLOOKUP(A43, Sheet1!A:A, Sheet1!G:G)</f>
        <v>-1</v>
      </c>
      <c r="F43" s="10">
        <f t="shared" si="0"/>
        <v>-1</v>
      </c>
      <c r="G43" cm="1">
        <f t="array" ref="G43:J43">_xlfn.XLOOKUP(A43, Sheet1!A:A, Sheet1!C:F)</f>
        <v>29.1</v>
      </c>
      <c r="H43">
        <v>11.4</v>
      </c>
      <c r="I43">
        <v>19.600000000000001</v>
      </c>
      <c r="J43">
        <v>31.2</v>
      </c>
    </row>
    <row r="44" spans="1:10" x14ac:dyDescent="0.3">
      <c r="A44" t="str" cm="1">
        <f t="array" ref="A44">IF(ROW()&lt;=COUNTA(Sheet1!A:A), INDEX(Sheet1!A:A, ROW()),
INDEX(Sheet4!A:A, ROW()-COUNTA(Sheet1!A:A)))</f>
        <v>Al8.8421Cr11.177Fe37.809Co20.277Ni21.895</v>
      </c>
      <c r="B44" s="10">
        <f>_xlfn.XLOOKUP(A44, Sheet4!A:A, Sheet4!C:C)</f>
        <v>0</v>
      </c>
      <c r="C44" s="10">
        <v>-1</v>
      </c>
      <c r="D44" s="10">
        <f>_xlfn.XLOOKUP(A44, Sheet2!A:A, Sheet2!B:B)</f>
        <v>7.9749999999999996</v>
      </c>
      <c r="E44" s="10">
        <f>_xlfn.XLOOKUP(A44, Sheet1!A:A, Sheet1!G:G)</f>
        <v>-1</v>
      </c>
      <c r="F44" s="10">
        <f t="shared" si="0"/>
        <v>-1</v>
      </c>
      <c r="G44" cm="1">
        <f t="array" ref="G44:J44">_xlfn.XLOOKUP(A44, Sheet1!A:A, Sheet1!C:F)</f>
        <v>32.4</v>
      </c>
      <c r="H44">
        <v>11.1</v>
      </c>
      <c r="I44">
        <v>13.6</v>
      </c>
      <c r="J44">
        <v>34.200000000000003</v>
      </c>
    </row>
    <row r="45" spans="1:10" x14ac:dyDescent="0.3">
      <c r="A45" t="str" cm="1">
        <f t="array" ref="A45">IF(ROW()&lt;=COUNTA(Sheet1!A:A), INDEX(Sheet1!A:A, ROW()),
INDEX(Sheet4!A:A, ROW()-COUNTA(Sheet1!A:A)))</f>
        <v>Al8.9787Cr11.057Fe22.843Co27.609Ni29.512</v>
      </c>
      <c r="B45" s="10">
        <f>_xlfn.XLOOKUP(A45, Sheet4!A:A, Sheet4!C:C)</f>
        <v>0</v>
      </c>
      <c r="C45" s="10">
        <v>-1</v>
      </c>
      <c r="D45" s="10">
        <f>_xlfn.XLOOKUP(A45, Sheet2!A:A, Sheet2!B:B)</f>
        <v>8.1963000000000008</v>
      </c>
      <c r="E45" s="10">
        <f>_xlfn.XLOOKUP(A45, Sheet1!A:A, Sheet1!G:G)</f>
        <v>-1</v>
      </c>
      <c r="F45" s="10">
        <f t="shared" si="0"/>
        <v>-1</v>
      </c>
      <c r="G45" cm="1">
        <f t="array" ref="G45:J45">_xlfn.XLOOKUP(A45, Sheet1!A:A, Sheet1!C:F)</f>
        <v>20.3</v>
      </c>
      <c r="H45">
        <v>11.2</v>
      </c>
      <c r="I45">
        <v>37.799999999999997</v>
      </c>
      <c r="J45">
        <v>21.9</v>
      </c>
    </row>
    <row r="46" spans="1:10" x14ac:dyDescent="0.3">
      <c r="A46" t="str" cm="1">
        <f t="array" ref="A46">IF(ROW()&lt;=COUNTA(Sheet1!A:A), INDEX(Sheet1!A:A, ROW()),
INDEX(Sheet4!A:A, ROW()-COUNTA(Sheet1!A:A)))</f>
        <v>Al9Cr11.1Fe22.8Co27.6Ni29.5</v>
      </c>
      <c r="B46" s="10">
        <f>_xlfn.XLOOKUP(A46, Sheet4!A:A, Sheet4!C:C)</f>
        <v>0</v>
      </c>
      <c r="C46" s="10">
        <v>-1</v>
      </c>
      <c r="D46" s="10">
        <f>_xlfn.XLOOKUP(A46, Sheet2!A:A, Sheet2!B:B)</f>
        <v>8.1940000000000008</v>
      </c>
      <c r="E46" s="10">
        <f>_xlfn.XLOOKUP(A46, Sheet1!A:A, Sheet1!G:G)</f>
        <v>-1</v>
      </c>
      <c r="F46" s="10">
        <f t="shared" si="0"/>
        <v>-1</v>
      </c>
      <c r="G46" cm="1">
        <f t="array" ref="G46:J46">_xlfn.XLOOKUP(A46, Sheet1!A:A, Sheet1!C:F)</f>
        <v>20.277000000000001</v>
      </c>
      <c r="H46">
        <v>11.177</v>
      </c>
      <c r="I46">
        <v>37.808999999999997</v>
      </c>
      <c r="J46">
        <v>21.895</v>
      </c>
    </row>
    <row r="47" spans="1:10" x14ac:dyDescent="0.3">
      <c r="A47" t="str" cm="1">
        <f t="array" ref="A47">IF(ROW()&lt;=COUNTA(Sheet1!A:A), INDEX(Sheet1!A:A, ROW()),
INDEX(Sheet4!A:A, ROW()-COUNTA(Sheet1!A:A)))</f>
        <v>Al0.4CoCrFeNi</v>
      </c>
      <c r="B47" s="10" t="str">
        <f>_xlfn.XLOOKUP(A47, Sheet4!A:A, Sheet4!C:C)</f>
        <v>FCC</v>
      </c>
      <c r="C47" s="10">
        <v>0</v>
      </c>
      <c r="D47" s="10">
        <f>_xlfn.XLOOKUP(A47, Sheet2!A:A, Sheet2!B:B)</f>
        <v>7.7727000000000004</v>
      </c>
      <c r="E47" s="10">
        <f>_xlfn.XLOOKUP(A47, Sheet1!A:A, Sheet1!G:G)</f>
        <v>-1</v>
      </c>
      <c r="F47" s="10">
        <f t="shared" si="0"/>
        <v>0</v>
      </c>
      <c r="G47" cm="1">
        <f t="array" ref="G47:J47">_xlfn.XLOOKUP(A47, Sheet1!A:A, Sheet1!C:F)</f>
        <v>27.609000000000002</v>
      </c>
      <c r="H47">
        <v>11.057</v>
      </c>
      <c r="I47">
        <v>22.843</v>
      </c>
      <c r="J47">
        <v>29.512</v>
      </c>
    </row>
    <row r="48" spans="1:10" x14ac:dyDescent="0.3">
      <c r="A48" t="str" cm="1">
        <f t="array" ref="A48">IF(ROW()&lt;=COUNTA(Sheet1!A:A), INDEX(Sheet1!A:A, ROW()),
INDEX(Sheet4!A:A, ROW()-COUNTA(Sheet1!A:A)))</f>
        <v>Al0.5Co1.5CrFeNi1.5</v>
      </c>
      <c r="B48" s="10">
        <f>_xlfn.XLOOKUP(A48, Sheet4!A:A, Sheet4!C:C)</f>
        <v>0</v>
      </c>
      <c r="C48" s="10">
        <v>-1</v>
      </c>
      <c r="D48" s="10">
        <f>_xlfn.XLOOKUP(A48, Sheet2!A:A, Sheet2!B:B)</f>
        <v>8</v>
      </c>
      <c r="E48" s="10">
        <f>_xlfn.XLOOKUP(A48, Sheet1!A:A, Sheet1!G:G)</f>
        <v>-1</v>
      </c>
      <c r="F48" s="10">
        <f t="shared" si="0"/>
        <v>-1</v>
      </c>
      <c r="G48" cm="1">
        <f t="array" ref="G48:J48">_xlfn.XLOOKUP(A48, Sheet1!A:A, Sheet1!C:F)</f>
        <v>27.6</v>
      </c>
      <c r="H48">
        <v>11.1</v>
      </c>
      <c r="I48">
        <v>22.8</v>
      </c>
      <c r="J48">
        <v>29.5</v>
      </c>
    </row>
    <row r="49" spans="1:10" x14ac:dyDescent="0.3">
      <c r="A49" t="str" cm="1">
        <f t="array" ref="A49">IF(ROW()&lt;=COUNTA(Sheet1!A:A), INDEX(Sheet1!A:A, ROW()),
INDEX(Sheet4!A:A, ROW()-COUNTA(Sheet1!A:A)))</f>
        <v>Al9.1Co22.7Cr22.7Fe22.7Ni22.7</v>
      </c>
      <c r="B49" s="10" t="str">
        <f>_xlfn.XLOOKUP(A49, Sheet4!A:A, Sheet4!C:C)</f>
        <v>FCC</v>
      </c>
      <c r="C49" s="10">
        <v>0</v>
      </c>
      <c r="D49" s="10">
        <f>_xlfn.XLOOKUP(A49, Sheet2!A:A, Sheet2!B:B)</f>
        <v>7.7717999999999998</v>
      </c>
      <c r="E49" s="10">
        <f>_xlfn.XLOOKUP(A49, Sheet1!A:A, Sheet1!G:G)</f>
        <v>-1</v>
      </c>
      <c r="F49" s="10">
        <f t="shared" si="0"/>
        <v>0</v>
      </c>
      <c r="G49" cm="1">
        <f t="array" ref="G49:J49">_xlfn.XLOOKUP(A49, Sheet1!A:A, Sheet1!C:F)</f>
        <v>22.727272729999999</v>
      </c>
      <c r="H49">
        <v>22.727272729999999</v>
      </c>
      <c r="I49">
        <v>22.727272729999999</v>
      </c>
      <c r="J49">
        <v>22.727272729999999</v>
      </c>
    </row>
    <row r="50" spans="1:10" x14ac:dyDescent="0.3">
      <c r="A50" t="str" cm="1">
        <f t="array" ref="A50">IF(ROW()&lt;=COUNTA(Sheet1!A:A), INDEX(Sheet1!A:A, ROW()),
INDEX(Sheet4!A:A, ROW()-COUNTA(Sheet1!A:A)))</f>
        <v>Al0.41NiCoFeCr</v>
      </c>
      <c r="B50" s="10">
        <f>_xlfn.XLOOKUP(A50, Sheet4!A:A, Sheet4!C:C)</f>
        <v>0</v>
      </c>
      <c r="C50" s="10">
        <v>-1</v>
      </c>
      <c r="D50" s="10">
        <f>_xlfn.XLOOKUP(A50, Sheet2!A:A, Sheet2!B:B)</f>
        <v>7.7618999999999998</v>
      </c>
      <c r="E50" s="10">
        <f>_xlfn.XLOOKUP(A50, Sheet1!A:A, Sheet1!G:G)</f>
        <v>-1</v>
      </c>
      <c r="F50" s="10">
        <f t="shared" si="0"/>
        <v>-1</v>
      </c>
      <c r="G50" cm="1">
        <f t="array" ref="G50:J50">_xlfn.XLOOKUP(A50, Sheet1!A:A, Sheet1!C:F)</f>
        <v>27.272727270000001</v>
      </c>
      <c r="H50">
        <v>18.18181818</v>
      </c>
      <c r="I50">
        <v>18.18181818</v>
      </c>
      <c r="J50">
        <v>27.272727270000001</v>
      </c>
    </row>
    <row r="51" spans="1:10" x14ac:dyDescent="0.3">
      <c r="A51" t="str" cm="1">
        <f t="array" ref="A51">IF(ROW()&lt;=COUNTA(Sheet1!A:A), INDEX(Sheet1!A:A, ROW()),
INDEX(Sheet4!A:A, ROW()-COUNTA(Sheet1!A:A)))</f>
        <v>Al9.38Ni22.66Co22.66Fe22.66Cr22.66</v>
      </c>
      <c r="B51" s="10" t="str">
        <f>_xlfn.XLOOKUP(A51, Sheet4!A:A, Sheet4!C:C)</f>
        <v>FCC+BCC</v>
      </c>
      <c r="C51" s="10">
        <v>-1</v>
      </c>
      <c r="D51" s="10">
        <f>_xlfn.XLOOKUP(A51, Sheet2!A:A, Sheet2!B:B)</f>
        <v>7.7576000000000001</v>
      </c>
      <c r="E51" s="10">
        <f>_xlfn.XLOOKUP(A51, Sheet1!A:A, Sheet1!G:G)</f>
        <v>-1</v>
      </c>
      <c r="F51" s="10">
        <f t="shared" si="0"/>
        <v>-1</v>
      </c>
      <c r="G51" cm="1">
        <f t="array" ref="G51:J51">_xlfn.XLOOKUP(A51, Sheet1!A:A, Sheet1!C:F)</f>
        <v>22.7</v>
      </c>
      <c r="H51">
        <v>22.7</v>
      </c>
      <c r="I51">
        <v>22.7</v>
      </c>
      <c r="J51">
        <v>22.7</v>
      </c>
    </row>
    <row r="52" spans="1:10" x14ac:dyDescent="0.3">
      <c r="A52" t="str" cm="1">
        <f t="array" ref="A52">IF(ROW()&lt;=COUNTA(Sheet1!A:A), INDEX(Sheet1!A:A, ROW()),
INDEX(Sheet4!A:A, ROW()-COUNTA(Sheet1!A:A)))</f>
        <v>Al9.3896Cr20.213Fe27.362Co19.0Ni24.035</v>
      </c>
      <c r="B52" s="10">
        <f>_xlfn.XLOOKUP(A52, Sheet4!A:A, Sheet4!C:C)</f>
        <v>0</v>
      </c>
      <c r="C52" s="10">
        <v>-1</v>
      </c>
      <c r="D52" s="10">
        <f>_xlfn.XLOOKUP(A52, Sheet2!A:A, Sheet2!B:B)</f>
        <v>7.7969999999999997</v>
      </c>
      <c r="E52" s="10">
        <f>_xlfn.XLOOKUP(A52, Sheet1!A:A, Sheet1!G:G)</f>
        <v>-1</v>
      </c>
      <c r="F52" s="10">
        <f t="shared" si="0"/>
        <v>-1</v>
      </c>
      <c r="G52" cm="1">
        <f t="array" ref="G52:J52">_xlfn.XLOOKUP(A52, Sheet1!A:A, Sheet1!C:F)</f>
        <v>22.7</v>
      </c>
      <c r="H52">
        <v>22.7</v>
      </c>
      <c r="I52">
        <v>22.7</v>
      </c>
      <c r="J52">
        <v>22.7</v>
      </c>
    </row>
    <row r="53" spans="1:10" x14ac:dyDescent="0.3">
      <c r="A53" t="str" cm="1">
        <f t="array" ref="A53">IF(ROW()&lt;=COUNTA(Sheet1!A:A), INDEX(Sheet1!A:A, ROW()),
INDEX(Sheet4!A:A, ROW()-COUNTA(Sheet1!A:A)))</f>
        <v>Al9.4Cr20.2Fe27.4Co19Ni24</v>
      </c>
      <c r="B53" s="10">
        <f>_xlfn.XLOOKUP(A53, Sheet4!A:A, Sheet4!C:C)</f>
        <v>0</v>
      </c>
      <c r="C53" s="10">
        <v>-1</v>
      </c>
      <c r="D53" s="10">
        <f>_xlfn.XLOOKUP(A53, Sheet2!A:A, Sheet2!B:B)</f>
        <v>7.7960000000000003</v>
      </c>
      <c r="E53" s="10">
        <f>_xlfn.XLOOKUP(A53, Sheet1!A:A, Sheet1!G:G)</f>
        <v>-1</v>
      </c>
      <c r="F53" s="10">
        <f t="shared" si="0"/>
        <v>-1</v>
      </c>
      <c r="G53" cm="1">
        <f t="array" ref="G53:J53">_xlfn.XLOOKUP(A53, Sheet1!A:A, Sheet1!C:F)</f>
        <v>22.675736959999998</v>
      </c>
      <c r="H53">
        <v>22.675736959999998</v>
      </c>
      <c r="I53">
        <v>22.675736959999998</v>
      </c>
      <c r="J53">
        <v>22.675736959999998</v>
      </c>
    </row>
    <row r="54" spans="1:10" x14ac:dyDescent="0.3">
      <c r="A54" t="str" cm="1">
        <f t="array" ref="A54">IF(ROW()&lt;=COUNTA(Sheet1!A:A), INDEX(Sheet1!A:A, ROW()),
INDEX(Sheet4!A:A, ROW()-COUNTA(Sheet1!A:A)))</f>
        <v>Al9.5Cr12.8Fe8.3Co33.7Ni35.6</v>
      </c>
      <c r="B54" s="10">
        <f>_xlfn.XLOOKUP(A54, Sheet4!A:A, Sheet4!C:C)</f>
        <v>0</v>
      </c>
      <c r="C54" s="10">
        <v>-1</v>
      </c>
      <c r="D54" s="10">
        <f>_xlfn.XLOOKUP(A54, Sheet2!A:A, Sheet2!B:B)</f>
        <v>8.3183000000000007</v>
      </c>
      <c r="E54" s="10">
        <f>_xlfn.XLOOKUP(A54, Sheet1!A:A, Sheet1!G:G)</f>
        <v>-1</v>
      </c>
      <c r="F54" s="10">
        <f t="shared" si="0"/>
        <v>-1</v>
      </c>
      <c r="G54" cm="1">
        <f t="array" ref="G54:J54">_xlfn.XLOOKUP(A54, Sheet1!A:A, Sheet1!C:F)</f>
        <v>22.66</v>
      </c>
      <c r="H54">
        <v>22.66</v>
      </c>
      <c r="I54">
        <v>22.66</v>
      </c>
      <c r="J54">
        <v>22.66</v>
      </c>
    </row>
    <row r="55" spans="1:10" x14ac:dyDescent="0.3">
      <c r="A55" t="str" cm="1">
        <f t="array" ref="A55">IF(ROW()&lt;=COUNTA(Sheet1!A:A), INDEX(Sheet1!A:A, ROW()),
INDEX(Sheet4!A:A, ROW()-COUNTA(Sheet1!A:A)))</f>
        <v>Al9.5441Cr12.808Fe8.2933Co33.722Ni35.633</v>
      </c>
      <c r="B55" s="10">
        <f>_xlfn.XLOOKUP(A55, Sheet4!A:A, Sheet4!C:C)</f>
        <v>0</v>
      </c>
      <c r="C55" s="10">
        <v>-1</v>
      </c>
      <c r="D55" s="10">
        <f>_xlfn.XLOOKUP(A55, Sheet2!A:A, Sheet2!B:B)</f>
        <v>8.3164999999999996</v>
      </c>
      <c r="E55" s="10">
        <f>_xlfn.XLOOKUP(A55, Sheet1!A:A, Sheet1!G:G)</f>
        <v>-1</v>
      </c>
      <c r="F55" s="10">
        <f t="shared" si="0"/>
        <v>-1</v>
      </c>
      <c r="G55" cm="1">
        <f t="array" ref="G55:J55">_xlfn.XLOOKUP(A55, Sheet1!A:A, Sheet1!C:F)</f>
        <v>19</v>
      </c>
      <c r="H55">
        <v>20.213000000000001</v>
      </c>
      <c r="I55">
        <v>27.361999999999998</v>
      </c>
      <c r="J55">
        <v>24.035</v>
      </c>
    </row>
    <row r="56" spans="1:10" x14ac:dyDescent="0.3">
      <c r="A56" t="str" cm="1">
        <f t="array" ref="A56">IF(ROW()&lt;=COUNTA(Sheet1!A:A), INDEX(Sheet1!A:A, ROW()),
INDEX(Sheet4!A:A, ROW()-COUNTA(Sheet1!A:A)))</f>
        <v>Al9.6Cr18.3Fe24.6Co20.8Ni26.7</v>
      </c>
      <c r="B56" s="10">
        <f>_xlfn.XLOOKUP(A56, Sheet4!A:A, Sheet4!C:C)</f>
        <v>0</v>
      </c>
      <c r="C56" s="10">
        <v>-1</v>
      </c>
      <c r="D56" s="10">
        <f>_xlfn.XLOOKUP(A56, Sheet2!A:A, Sheet2!B:B)</f>
        <v>7.8959999999999999</v>
      </c>
      <c r="E56" s="10">
        <f>_xlfn.XLOOKUP(A56, Sheet1!A:A, Sheet1!G:G)</f>
        <v>-1</v>
      </c>
      <c r="F56" s="10">
        <f t="shared" si="0"/>
        <v>-1</v>
      </c>
      <c r="G56" cm="1">
        <f t="array" ref="G56:J56">_xlfn.XLOOKUP(A56, Sheet1!A:A, Sheet1!C:F)</f>
        <v>19</v>
      </c>
      <c r="H56">
        <v>20.2</v>
      </c>
      <c r="I56">
        <v>27.4</v>
      </c>
      <c r="J56">
        <v>24</v>
      </c>
    </row>
    <row r="57" spans="1:10" x14ac:dyDescent="0.3">
      <c r="A57" t="str" cm="1">
        <f t="array" ref="A57">IF(ROW()&lt;=COUNTA(Sheet1!A:A), INDEX(Sheet1!A:A, ROW()),
INDEX(Sheet4!A:A, ROW()-COUNTA(Sheet1!A:A)))</f>
        <v>Al9.6Cr12.9Fe10Co32.9Ni34.6</v>
      </c>
      <c r="B57" s="10">
        <f>_xlfn.XLOOKUP(A57, Sheet4!A:A, Sheet4!C:C)</f>
        <v>0</v>
      </c>
      <c r="C57" s="10">
        <v>-1</v>
      </c>
      <c r="D57" s="10">
        <f>_xlfn.XLOOKUP(A57, Sheet2!A:A, Sheet2!B:B)</f>
        <v>8.2829999999999995</v>
      </c>
      <c r="E57" s="10">
        <f>_xlfn.XLOOKUP(A57, Sheet1!A:A, Sheet1!G:G)</f>
        <v>-1</v>
      </c>
      <c r="F57" s="10">
        <f t="shared" si="0"/>
        <v>-1</v>
      </c>
      <c r="G57" cm="1">
        <f t="array" ref="G57:J57">_xlfn.XLOOKUP(A57, Sheet1!A:A, Sheet1!C:F)</f>
        <v>33.700000000000003</v>
      </c>
      <c r="H57">
        <v>12.8</v>
      </c>
      <c r="I57">
        <v>8.3000000000000007</v>
      </c>
      <c r="J57">
        <v>35.6</v>
      </c>
    </row>
    <row r="58" spans="1:10" x14ac:dyDescent="0.3">
      <c r="A58" t="str" cm="1">
        <f t="array" ref="A58">IF(ROW()&lt;=COUNTA(Sheet1!A:A), INDEX(Sheet1!A:A, ROW()),
INDEX(Sheet4!A:A, ROW()-COUNTA(Sheet1!A:A)))</f>
        <v>Al9.6049Cr12.858Fe10.028Co32.873Ni34.635</v>
      </c>
      <c r="B58" s="10">
        <f>_xlfn.XLOOKUP(A58, Sheet4!A:A, Sheet4!C:C)</f>
        <v>0</v>
      </c>
      <c r="C58" s="10">
        <v>-1</v>
      </c>
      <c r="D58" s="10">
        <f>_xlfn.XLOOKUP(A58, Sheet2!A:A, Sheet2!B:B)</f>
        <v>8.2840000000000007</v>
      </c>
      <c r="E58" s="10">
        <f>_xlfn.XLOOKUP(A58, Sheet1!A:A, Sheet1!G:G)</f>
        <v>-1</v>
      </c>
      <c r="F58" s="10">
        <f t="shared" si="0"/>
        <v>-1</v>
      </c>
      <c r="G58" cm="1">
        <f t="array" ref="G58:J58">_xlfn.XLOOKUP(A58, Sheet1!A:A, Sheet1!C:F)</f>
        <v>33.722000000000001</v>
      </c>
      <c r="H58">
        <v>12.808</v>
      </c>
      <c r="I58">
        <v>8.2933000000000003</v>
      </c>
      <c r="J58">
        <v>35.633000000000003</v>
      </c>
    </row>
    <row r="59" spans="1:10" x14ac:dyDescent="0.3">
      <c r="A59" t="str" cm="1">
        <f t="array" ref="A59">IF(ROW()&lt;=COUNTA(Sheet1!A:A), INDEX(Sheet1!A:A, ROW()),
INDEX(Sheet4!A:A, ROW()-COUNTA(Sheet1!A:A)))</f>
        <v>Al9.6282Cr18.265Fe24.56Co20.832Ni26.716</v>
      </c>
      <c r="B59" s="10">
        <f>_xlfn.XLOOKUP(A59, Sheet4!A:A, Sheet4!C:C)</f>
        <v>0</v>
      </c>
      <c r="C59" s="10">
        <v>-1</v>
      </c>
      <c r="D59" s="10">
        <f>_xlfn.XLOOKUP(A59, Sheet2!A:A, Sheet2!B:B)</f>
        <v>7.8959000000000001</v>
      </c>
      <c r="E59" s="10">
        <f>_xlfn.XLOOKUP(A59, Sheet1!A:A, Sheet1!G:G)</f>
        <v>-1</v>
      </c>
      <c r="F59" s="10">
        <f t="shared" si="0"/>
        <v>-1</v>
      </c>
      <c r="G59" cm="1">
        <f t="array" ref="G59:J59">_xlfn.XLOOKUP(A59, Sheet1!A:A, Sheet1!C:F)</f>
        <v>20.8</v>
      </c>
      <c r="H59">
        <v>18.3</v>
      </c>
      <c r="I59">
        <v>24.6</v>
      </c>
      <c r="J59">
        <v>26.7</v>
      </c>
    </row>
    <row r="60" spans="1:10" x14ac:dyDescent="0.3">
      <c r="A60" t="str" cm="1">
        <f t="array" ref="A60">IF(ROW()&lt;=COUNTA(Sheet1!A:A), INDEX(Sheet1!A:A, ROW()),
INDEX(Sheet4!A:A, ROW()-COUNTA(Sheet1!A:A)))</f>
        <v>Al9.667Cr11.726Fe33.005Co22.094Ni23.508</v>
      </c>
      <c r="B60" s="10">
        <f>_xlfn.XLOOKUP(A60, Sheet4!A:A, Sheet4!C:C)</f>
        <v>0</v>
      </c>
      <c r="C60" s="10">
        <v>-1</v>
      </c>
      <c r="D60" s="10">
        <f>_xlfn.XLOOKUP(A60, Sheet2!A:A, Sheet2!B:B)</f>
        <v>7.9732000000000003</v>
      </c>
      <c r="E60" s="10">
        <f>_xlfn.XLOOKUP(A60, Sheet1!A:A, Sheet1!G:G)</f>
        <v>-1</v>
      </c>
      <c r="F60" s="10">
        <f t="shared" si="0"/>
        <v>-1</v>
      </c>
      <c r="G60" cm="1">
        <f t="array" ref="G60:J60">_xlfn.XLOOKUP(A60, Sheet1!A:A, Sheet1!C:F)</f>
        <v>32.9</v>
      </c>
      <c r="H60">
        <v>12.9</v>
      </c>
      <c r="I60">
        <v>10</v>
      </c>
      <c r="J60">
        <v>34.6</v>
      </c>
    </row>
    <row r="61" spans="1:10" x14ac:dyDescent="0.3">
      <c r="A61" t="str" cm="1">
        <f t="array" ref="A61">IF(ROW()&lt;=COUNTA(Sheet1!A:A), INDEX(Sheet1!A:A, ROW()),
INDEX(Sheet4!A:A, ROW()-COUNTA(Sheet1!A:A)))</f>
        <v>Al9.6848Cr12.735Fe23.761Co26.034Ni27.785</v>
      </c>
      <c r="B61" s="10">
        <f>_xlfn.XLOOKUP(A61, Sheet4!A:A, Sheet4!C:C)</f>
        <v>0</v>
      </c>
      <c r="C61" s="10">
        <v>-1</v>
      </c>
      <c r="D61" s="10">
        <f>_xlfn.XLOOKUP(A61, Sheet2!A:A, Sheet2!B:B)</f>
        <v>8.0770999999999997</v>
      </c>
      <c r="E61" s="10">
        <f>_xlfn.XLOOKUP(A61, Sheet1!A:A, Sheet1!G:G)</f>
        <v>-1</v>
      </c>
      <c r="F61" s="10">
        <f t="shared" si="0"/>
        <v>-1</v>
      </c>
      <c r="G61" cm="1">
        <f t="array" ref="G61:J61">_xlfn.XLOOKUP(A61, Sheet1!A:A, Sheet1!C:F)</f>
        <v>32.872999999999998</v>
      </c>
      <c r="H61">
        <v>12.858000000000001</v>
      </c>
      <c r="I61">
        <v>10.028</v>
      </c>
      <c r="J61">
        <v>34.634999999999998</v>
      </c>
    </row>
    <row r="62" spans="1:10" x14ac:dyDescent="0.3">
      <c r="A62" t="str" cm="1">
        <f t="array" ref="A62">IF(ROW()&lt;=COUNTA(Sheet1!A:A), INDEX(Sheet1!A:A, ROW()),
INDEX(Sheet4!A:A, ROW()-COUNTA(Sheet1!A:A)))</f>
        <v>Al9.7Cr11.7Fe33Co22.1Ni23.5</v>
      </c>
      <c r="B62" s="10">
        <f>_xlfn.XLOOKUP(A62, Sheet4!A:A, Sheet4!C:C)</f>
        <v>0</v>
      </c>
      <c r="C62" s="10">
        <v>-1</v>
      </c>
      <c r="D62" s="10">
        <f>_xlfn.XLOOKUP(A62, Sheet2!A:A, Sheet2!B:B)</f>
        <v>7.9720000000000004</v>
      </c>
      <c r="E62" s="10">
        <f>_xlfn.XLOOKUP(A62, Sheet1!A:A, Sheet1!G:G)</f>
        <v>-1</v>
      </c>
      <c r="F62" s="10">
        <f t="shared" si="0"/>
        <v>-1</v>
      </c>
      <c r="G62" cm="1">
        <f t="array" ref="G62:J62">_xlfn.XLOOKUP(A62, Sheet1!A:A, Sheet1!C:F)</f>
        <v>20.832000000000001</v>
      </c>
      <c r="H62">
        <v>18.265000000000001</v>
      </c>
      <c r="I62">
        <v>24.56</v>
      </c>
      <c r="J62">
        <v>26.716000000000001</v>
      </c>
    </row>
    <row r="63" spans="1:10" x14ac:dyDescent="0.3">
      <c r="A63" t="str" cm="1">
        <f t="array" ref="A63">IF(ROW()&lt;=COUNTA(Sheet1!A:A), INDEX(Sheet1!A:A, ROW()),
INDEX(Sheet4!A:A, ROW()-COUNTA(Sheet1!A:A)))</f>
        <v>Al9.7Cr12.7Fe23.8Co26Ni27.8</v>
      </c>
      <c r="B63" s="10">
        <f>_xlfn.XLOOKUP(A63, Sheet4!A:A, Sheet4!C:C)</f>
        <v>0</v>
      </c>
      <c r="C63" s="10">
        <v>-1</v>
      </c>
      <c r="D63" s="10">
        <f>_xlfn.XLOOKUP(A63, Sheet2!A:A, Sheet2!B:B)</f>
        <v>8.077</v>
      </c>
      <c r="E63" s="10">
        <f>_xlfn.XLOOKUP(A63, Sheet1!A:A, Sheet1!G:G)</f>
        <v>-1</v>
      </c>
      <c r="F63" s="10">
        <f t="shared" si="0"/>
        <v>-1</v>
      </c>
      <c r="G63" cm="1">
        <f t="array" ref="G63:J63">_xlfn.XLOOKUP(A63, Sheet1!A:A, Sheet1!C:F)</f>
        <v>22.094000000000001</v>
      </c>
      <c r="H63">
        <v>11.726000000000001</v>
      </c>
      <c r="I63">
        <v>33.005000000000003</v>
      </c>
      <c r="J63">
        <v>23.507999999999999</v>
      </c>
    </row>
    <row r="64" spans="1:10" x14ac:dyDescent="0.3">
      <c r="A64" t="str" cm="1">
        <f t="array" ref="A64">IF(ROW()&lt;=COUNTA(Sheet1!A:A), INDEX(Sheet1!A:A, ROW()),
INDEX(Sheet4!A:A, ROW()-COUNTA(Sheet1!A:A)))</f>
        <v>Al9.7732Cr16.414Fe22.097Co23.063Ni28.652</v>
      </c>
      <c r="B64" s="10">
        <f>_xlfn.XLOOKUP(A64, Sheet4!A:A, Sheet4!C:C)</f>
        <v>0</v>
      </c>
      <c r="C64" s="10">
        <v>-1</v>
      </c>
      <c r="D64" s="10">
        <f>_xlfn.XLOOKUP(A64, Sheet2!A:A, Sheet2!B:B)</f>
        <v>7.9866999999999999</v>
      </c>
      <c r="E64" s="10">
        <f>_xlfn.XLOOKUP(A64, Sheet1!A:A, Sheet1!G:G)</f>
        <v>-1</v>
      </c>
      <c r="F64" s="10">
        <f t="shared" si="0"/>
        <v>-1</v>
      </c>
      <c r="G64" cm="1">
        <f t="array" ref="G64:J64">_xlfn.XLOOKUP(A64, Sheet1!A:A, Sheet1!C:F)</f>
        <v>26.033999999999999</v>
      </c>
      <c r="H64">
        <v>12.734999999999999</v>
      </c>
      <c r="I64">
        <v>23.760999999999999</v>
      </c>
      <c r="J64">
        <v>27.785</v>
      </c>
    </row>
    <row r="65" spans="1:10" x14ac:dyDescent="0.3">
      <c r="A65" t="str" cm="1">
        <f t="array" ref="A65">IF(ROW()&lt;=COUNTA(Sheet1!A:A), INDEX(Sheet1!A:A, ROW()),
INDEX(Sheet4!A:A, ROW()-COUNTA(Sheet1!A:A)))</f>
        <v>Al9.8Cr16.4Fe22.1Co23.1Ni28.7</v>
      </c>
      <c r="B65" s="10">
        <f>_xlfn.XLOOKUP(A65, Sheet4!A:A, Sheet4!C:C)</f>
        <v>0</v>
      </c>
      <c r="C65" s="10">
        <v>-1</v>
      </c>
      <c r="D65" s="10">
        <f>_xlfn.XLOOKUP(A65, Sheet2!A:A, Sheet2!B:B)</f>
        <v>7.9870000000000001</v>
      </c>
      <c r="E65" s="10">
        <f>_xlfn.XLOOKUP(A65, Sheet1!A:A, Sheet1!G:G)</f>
        <v>-1</v>
      </c>
      <c r="F65" s="10">
        <f t="shared" si="0"/>
        <v>-1</v>
      </c>
      <c r="G65" cm="1">
        <f t="array" ref="G65:J65">_xlfn.XLOOKUP(A65, Sheet1!A:A, Sheet1!C:F)</f>
        <v>22.1</v>
      </c>
      <c r="H65">
        <v>11.7</v>
      </c>
      <c r="I65">
        <v>33</v>
      </c>
      <c r="J65">
        <v>23.5</v>
      </c>
    </row>
    <row r="66" spans="1:10" x14ac:dyDescent="0.3">
      <c r="A66" t="str" cm="1">
        <f t="array" ref="A66">IF(ROW()&lt;=COUNTA(Sheet1!A:A), INDEX(Sheet1!A:A, ROW()),
INDEX(Sheet4!A:A, ROW()-COUNTA(Sheet1!A:A)))</f>
        <v>Al9.8Cr12.6Fe38.1Co18.9Ni20.5</v>
      </c>
      <c r="B66" s="10">
        <f>_xlfn.XLOOKUP(A66, Sheet4!A:A, Sheet4!C:C)</f>
        <v>0</v>
      </c>
      <c r="C66" s="10">
        <v>-1</v>
      </c>
      <c r="D66" s="10">
        <f>_xlfn.XLOOKUP(A66, Sheet2!A:A, Sheet2!B:B)</f>
        <v>7.8569000000000004</v>
      </c>
      <c r="E66" s="10">
        <f>_xlfn.XLOOKUP(A66, Sheet1!A:A, Sheet1!G:G)</f>
        <v>-1</v>
      </c>
      <c r="F66" s="10">
        <f t="shared" si="0"/>
        <v>-1</v>
      </c>
      <c r="G66" cm="1">
        <f t="array" ref="G66:J66">_xlfn.XLOOKUP(A66, Sheet1!A:A, Sheet1!C:F)</f>
        <v>26</v>
      </c>
      <c r="H66">
        <v>12.7</v>
      </c>
      <c r="I66">
        <v>23.8</v>
      </c>
      <c r="J66">
        <v>27.8</v>
      </c>
    </row>
    <row r="67" spans="1:10" x14ac:dyDescent="0.3">
      <c r="A67" t="str" cm="1">
        <f t="array" ref="A67">IF(ROW()&lt;=COUNTA(Sheet1!A:A), INDEX(Sheet1!A:A, ROW()),
INDEX(Sheet4!A:A, ROW()-COUNTA(Sheet1!A:A)))</f>
        <v>Al9.835Cr12.612Fe38.097Co18.913Ni20.543</v>
      </c>
      <c r="B67" s="10">
        <f>_xlfn.XLOOKUP(A67, Sheet4!A:A, Sheet4!C:C)</f>
        <v>0</v>
      </c>
      <c r="C67" s="10">
        <v>-1</v>
      </c>
      <c r="D67" s="10">
        <f>_xlfn.XLOOKUP(A67, Sheet2!A:A, Sheet2!B:B)</f>
        <v>7.8559999999999999</v>
      </c>
      <c r="E67" s="10">
        <f>_xlfn.XLOOKUP(A67, Sheet1!A:A, Sheet1!G:G)</f>
        <v>-1</v>
      </c>
      <c r="F67" s="10">
        <f t="shared" ref="F67:F130" si="1">IF(OR(C67=1, E67=1), 1,
   IF(OR(C67=0, E67=0), 0,
      -1))</f>
        <v>-1</v>
      </c>
      <c r="G67" cm="1">
        <f t="array" ref="G67:J67">_xlfn.XLOOKUP(A67, Sheet1!A:A, Sheet1!C:F)</f>
        <v>23.062999999999999</v>
      </c>
      <c r="H67">
        <v>16.414000000000001</v>
      </c>
      <c r="I67">
        <v>22.097000000000001</v>
      </c>
      <c r="J67">
        <v>28.652000000000001</v>
      </c>
    </row>
    <row r="68" spans="1:10" x14ac:dyDescent="0.3">
      <c r="A68" t="str" cm="1">
        <f t="array" ref="A68">IF(ROW()&lt;=COUNTA(Sheet1!A:A), INDEX(Sheet1!A:A, ROW()),
INDEX(Sheet4!A:A, ROW()-COUNTA(Sheet1!A:A)))</f>
        <v>Al9.8532Cr12.823Fe20.152Co27.474Ni29.697</v>
      </c>
      <c r="B68" s="10">
        <f>_xlfn.XLOOKUP(A68, Sheet4!A:A, Sheet4!C:C)</f>
        <v>0</v>
      </c>
      <c r="C68" s="10">
        <v>-1</v>
      </c>
      <c r="D68" s="10">
        <f>_xlfn.XLOOKUP(A68, Sheet2!A:A, Sheet2!B:B)</f>
        <v>8.1196000000000002</v>
      </c>
      <c r="E68" s="10">
        <f>_xlfn.XLOOKUP(A68, Sheet1!A:A, Sheet1!G:G)</f>
        <v>-1</v>
      </c>
      <c r="F68" s="10">
        <f t="shared" si="1"/>
        <v>-1</v>
      </c>
      <c r="G68" cm="1">
        <f t="array" ref="G68:J68">_xlfn.XLOOKUP(A68, Sheet1!A:A, Sheet1!C:F)</f>
        <v>23.1</v>
      </c>
      <c r="H68">
        <v>16.399999999999999</v>
      </c>
      <c r="I68">
        <v>22.1</v>
      </c>
      <c r="J68">
        <v>28.7</v>
      </c>
    </row>
    <row r="69" spans="1:10" x14ac:dyDescent="0.3">
      <c r="A69" t="str" cm="1">
        <f t="array" ref="A69">IF(ROW()&lt;=COUNTA(Sheet1!A:A), INDEX(Sheet1!A:A, ROW()),
INDEX(Sheet4!A:A, ROW()-COUNTA(Sheet1!A:A)))</f>
        <v>Al9.8771Cr12.282Fe27.989Co23.9Ni25.953</v>
      </c>
      <c r="B69" s="10">
        <f>_xlfn.XLOOKUP(A69, Sheet4!A:A, Sheet4!C:C)</f>
        <v>0</v>
      </c>
      <c r="C69" s="10">
        <v>-1</v>
      </c>
      <c r="D69" s="10">
        <f>_xlfn.XLOOKUP(A69, Sheet2!A:A, Sheet2!B:B)</f>
        <v>8.0185999999999993</v>
      </c>
      <c r="E69" s="10">
        <f>_xlfn.XLOOKUP(A69, Sheet1!A:A, Sheet1!G:G)</f>
        <v>-1</v>
      </c>
      <c r="F69" s="10">
        <f t="shared" si="1"/>
        <v>-1</v>
      </c>
      <c r="G69" cm="1">
        <f t="array" ref="G69:J69">_xlfn.XLOOKUP(A69, Sheet1!A:A, Sheet1!C:F)</f>
        <v>18.899999999999999</v>
      </c>
      <c r="H69">
        <v>12.6</v>
      </c>
      <c r="I69">
        <v>38.1</v>
      </c>
      <c r="J69">
        <v>20.5</v>
      </c>
    </row>
    <row r="70" spans="1:10" x14ac:dyDescent="0.3">
      <c r="A70" t="str" cm="1">
        <f t="array" ref="A70">IF(ROW()&lt;=COUNTA(Sheet1!A:A), INDEX(Sheet1!A:A, ROW()),
INDEX(Sheet4!A:A, ROW()-COUNTA(Sheet1!A:A)))</f>
        <v>Al9.8828Cr13.003Fe11.871Co31.91Ni33.333</v>
      </c>
      <c r="B70" s="10">
        <f>_xlfn.XLOOKUP(A70, Sheet4!A:A, Sheet4!C:C)</f>
        <v>0</v>
      </c>
      <c r="C70" s="10">
        <v>-1</v>
      </c>
      <c r="D70" s="10">
        <f>_xlfn.XLOOKUP(A70, Sheet2!A:A, Sheet2!B:B)</f>
        <v>8.2316000000000003</v>
      </c>
      <c r="E70" s="10">
        <f>_xlfn.XLOOKUP(A70, Sheet1!A:A, Sheet1!G:G)</f>
        <v>-1</v>
      </c>
      <c r="F70" s="10">
        <f t="shared" si="1"/>
        <v>-1</v>
      </c>
      <c r="G70" cm="1">
        <f t="array" ref="G70:J70">_xlfn.XLOOKUP(A70, Sheet1!A:A, Sheet1!C:F)</f>
        <v>18.913</v>
      </c>
      <c r="H70">
        <v>12.612</v>
      </c>
      <c r="I70">
        <v>38.097000000000001</v>
      </c>
      <c r="J70">
        <v>20.542999999999999</v>
      </c>
    </row>
    <row r="71" spans="1:10" x14ac:dyDescent="0.3">
      <c r="A71" t="str" cm="1">
        <f t="array" ref="A71">IF(ROW()&lt;=COUNTA(Sheet1!A:A), INDEX(Sheet1!A:A, ROW()),
INDEX(Sheet4!A:A, ROW()-COUNTA(Sheet1!A:A)))</f>
        <v>Al9.9Cr12.3Fe28Co23.9Ni26</v>
      </c>
      <c r="B71" s="10">
        <f>_xlfn.XLOOKUP(A71, Sheet4!A:A, Sheet4!C:C)</f>
        <v>0</v>
      </c>
      <c r="C71" s="10">
        <v>-1</v>
      </c>
      <c r="D71" s="10">
        <f>_xlfn.XLOOKUP(A71, Sheet2!A:A, Sheet2!B:B)</f>
        <v>8.0180000000000007</v>
      </c>
      <c r="E71" s="10">
        <f>_xlfn.XLOOKUP(A71, Sheet1!A:A, Sheet1!G:G)</f>
        <v>-1</v>
      </c>
      <c r="F71" s="10">
        <f t="shared" si="1"/>
        <v>-1</v>
      </c>
      <c r="G71" cm="1">
        <f t="array" ref="G71:J71">_xlfn.XLOOKUP(A71, Sheet1!A:A, Sheet1!C:F)</f>
        <v>27.474</v>
      </c>
      <c r="H71">
        <v>12.823</v>
      </c>
      <c r="I71">
        <v>20.152000000000001</v>
      </c>
      <c r="J71">
        <v>29.696999999999999</v>
      </c>
    </row>
    <row r="72" spans="1:10" x14ac:dyDescent="0.3">
      <c r="A72" t="str" cm="1">
        <f t="array" ref="A72">IF(ROW()&lt;=COUNTA(Sheet1!A:A), INDEX(Sheet1!A:A, ROW()),
INDEX(Sheet4!A:A, ROW()-COUNTA(Sheet1!A:A)))</f>
        <v>Al9.9Cr12.8Fe20.2Co27.5Ni29.7</v>
      </c>
      <c r="B72" s="10">
        <f>_xlfn.XLOOKUP(A72, Sheet4!A:A, Sheet4!C:C)</f>
        <v>0</v>
      </c>
      <c r="C72" s="10">
        <v>-1</v>
      </c>
      <c r="D72" s="10">
        <f>_xlfn.XLOOKUP(A72, Sheet2!A:A, Sheet2!B:B)</f>
        <v>8.1179000000000006</v>
      </c>
      <c r="E72" s="10">
        <f>_xlfn.XLOOKUP(A72, Sheet1!A:A, Sheet1!G:G)</f>
        <v>-1</v>
      </c>
      <c r="F72" s="10">
        <f t="shared" si="1"/>
        <v>-1</v>
      </c>
      <c r="G72" cm="1">
        <f t="array" ref="G72:J72">_xlfn.XLOOKUP(A72, Sheet1!A:A, Sheet1!C:F)</f>
        <v>23.9</v>
      </c>
      <c r="H72">
        <v>12.282</v>
      </c>
      <c r="I72">
        <v>27.989000000000001</v>
      </c>
      <c r="J72">
        <v>25.952999999999999</v>
      </c>
    </row>
    <row r="73" spans="1:10" x14ac:dyDescent="0.3">
      <c r="A73" t="str" cm="1">
        <f t="array" ref="A73">IF(ROW()&lt;=COUNTA(Sheet1!A:A), INDEX(Sheet1!A:A, ROW()),
INDEX(Sheet4!A:A, ROW()-COUNTA(Sheet1!A:A)))</f>
        <v>Al9.9Cr13Fe11.9Co31.9Ni33.3</v>
      </c>
      <c r="B73" s="10">
        <f>_xlfn.XLOOKUP(A73, Sheet4!A:A, Sheet4!C:C)</f>
        <v>0</v>
      </c>
      <c r="C73" s="10">
        <v>-1</v>
      </c>
      <c r="D73" s="10">
        <f>_xlfn.XLOOKUP(A73, Sheet2!A:A, Sheet2!B:B)</f>
        <v>8.23</v>
      </c>
      <c r="E73" s="10">
        <f>_xlfn.XLOOKUP(A73, Sheet1!A:A, Sheet1!G:G)</f>
        <v>-1</v>
      </c>
      <c r="F73" s="10">
        <f t="shared" si="1"/>
        <v>-1</v>
      </c>
      <c r="G73" cm="1">
        <f t="array" ref="G73:J73">_xlfn.XLOOKUP(A73, Sheet1!A:A, Sheet1!C:F)</f>
        <v>31.91</v>
      </c>
      <c r="H73">
        <v>13.003</v>
      </c>
      <c r="I73">
        <v>11.871</v>
      </c>
      <c r="J73">
        <v>33.332999999999998</v>
      </c>
    </row>
    <row r="74" spans="1:10" x14ac:dyDescent="0.3">
      <c r="A74" t="str" cm="1">
        <f t="array" ref="A74">IF(ROW()&lt;=COUNTA(Sheet1!A:A), INDEX(Sheet1!A:A, ROW()),
INDEX(Sheet4!A:A, ROW()-COUNTA(Sheet1!A:A)))</f>
        <v>Al0.44CoCrFeNi</v>
      </c>
      <c r="B74" s="10" t="str">
        <f>_xlfn.XLOOKUP(A74, Sheet4!A:A, Sheet4!C:C)</f>
        <v>IM</v>
      </c>
      <c r="C74" s="10">
        <v>-1</v>
      </c>
      <c r="D74" s="10">
        <f>_xlfn.XLOOKUP(A74, Sheet2!A:A, Sheet2!B:B)</f>
        <v>7.7297000000000002</v>
      </c>
      <c r="E74" s="10">
        <f>_xlfn.XLOOKUP(A74, Sheet1!A:A, Sheet1!G:G)</f>
        <v>-1</v>
      </c>
      <c r="F74" s="10">
        <f t="shared" si="1"/>
        <v>-1</v>
      </c>
      <c r="G74" cm="1">
        <f t="array" ref="G74:J74">_xlfn.XLOOKUP(A74, Sheet1!A:A, Sheet1!C:F)</f>
        <v>23.9</v>
      </c>
      <c r="H74">
        <v>12.3</v>
      </c>
      <c r="I74">
        <v>28</v>
      </c>
      <c r="J74">
        <v>26</v>
      </c>
    </row>
    <row r="75" spans="1:10" x14ac:dyDescent="0.3">
      <c r="A75" t="str" cm="1">
        <f t="array" ref="A75">IF(ROW()&lt;=COUNTA(Sheet1!A:A), INDEX(Sheet1!A:A, ROW()),
INDEX(Sheet4!A:A, ROW()-COUNTA(Sheet1!A:A)))</f>
        <v>Fe36Co21Cr18Ni15Al10</v>
      </c>
      <c r="B75" s="10" t="str">
        <f>_xlfn.XLOOKUP(A75, Sheet4!A:A, Sheet4!C:C)</f>
        <v>IM</v>
      </c>
      <c r="C75" s="10">
        <v>-1</v>
      </c>
      <c r="D75" s="10">
        <f>_xlfn.XLOOKUP(A75, Sheet2!A:A, Sheet2!B:B)</f>
        <v>7.65</v>
      </c>
      <c r="E75" s="10">
        <f>_xlfn.XLOOKUP(A75, Sheet1!A:A, Sheet1!G:G)</f>
        <v>-1</v>
      </c>
      <c r="F75" s="10">
        <f t="shared" si="1"/>
        <v>-1</v>
      </c>
      <c r="G75" cm="1">
        <f t="array" ref="G75:J75">_xlfn.XLOOKUP(A75, Sheet1!A:A, Sheet1!C:F)</f>
        <v>27.5</v>
      </c>
      <c r="H75">
        <v>12.8</v>
      </c>
      <c r="I75">
        <v>20.2</v>
      </c>
      <c r="J75">
        <v>29.7</v>
      </c>
    </row>
    <row r="76" spans="1:10" x14ac:dyDescent="0.3">
      <c r="A76" t="str" cm="1">
        <f t="array" ref="A76">IF(ROW()&lt;=COUNTA(Sheet1!A:A), INDEX(Sheet1!A:A, ROW()),
INDEX(Sheet4!A:A, ROW()-COUNTA(Sheet1!A:A)))</f>
        <v>Al10Co30Cr20Fe35Ni5</v>
      </c>
      <c r="B76" s="10">
        <f>_xlfn.XLOOKUP(A76, Sheet4!A:A, Sheet4!C:C)</f>
        <v>0</v>
      </c>
      <c r="C76" s="10">
        <v>-1</v>
      </c>
      <c r="D76" s="10">
        <f>_xlfn.XLOOKUP(A76, Sheet2!A:A, Sheet2!B:B)</f>
        <v>7.5</v>
      </c>
      <c r="E76" s="10">
        <f>_xlfn.XLOOKUP(A76, Sheet1!A:A, Sheet1!G:G)</f>
        <v>-1</v>
      </c>
      <c r="F76" s="10">
        <f t="shared" si="1"/>
        <v>-1</v>
      </c>
      <c r="G76" cm="1">
        <f t="array" ref="G76:J76">_xlfn.XLOOKUP(A76, Sheet1!A:A, Sheet1!C:F)</f>
        <v>31.9</v>
      </c>
      <c r="H76">
        <v>13</v>
      </c>
      <c r="I76">
        <v>11.9</v>
      </c>
      <c r="J76">
        <v>33.299999999999997</v>
      </c>
    </row>
    <row r="77" spans="1:10" x14ac:dyDescent="0.3">
      <c r="A77" t="str" cm="1">
        <f t="array" ref="A77">IF(ROW()&lt;=COUNTA(Sheet1!A:A), INDEX(Sheet1!A:A, ROW()),
INDEX(Sheet4!A:A, ROW()-COUNTA(Sheet1!A:A)))</f>
        <v>Al10.1Cr13Fe16.9Co29.3Ni30.7</v>
      </c>
      <c r="B77" s="10">
        <f>_xlfn.XLOOKUP(A77, Sheet4!A:A, Sheet4!C:C)</f>
        <v>0</v>
      </c>
      <c r="C77" s="10">
        <v>-1</v>
      </c>
      <c r="D77" s="10">
        <f>_xlfn.XLOOKUP(A77, Sheet2!A:A, Sheet2!B:B)</f>
        <v>8.1419999999999995</v>
      </c>
      <c r="E77" s="10">
        <f>_xlfn.XLOOKUP(A77, Sheet1!A:A, Sheet1!G:G)</f>
        <v>-1</v>
      </c>
      <c r="F77" s="10">
        <f t="shared" si="1"/>
        <v>-1</v>
      </c>
      <c r="G77" cm="1">
        <f t="array" ref="G77:J77">_xlfn.XLOOKUP(A77, Sheet1!A:A, Sheet1!C:F)</f>
        <v>22.522522519999999</v>
      </c>
      <c r="H77">
        <v>22.522522519999999</v>
      </c>
      <c r="I77">
        <v>22.522522519999999</v>
      </c>
      <c r="J77">
        <v>22.522522519999999</v>
      </c>
    </row>
    <row r="78" spans="1:10" x14ac:dyDescent="0.3">
      <c r="A78" t="str" cm="1">
        <f t="array" ref="A78">IF(ROW()&lt;=COUNTA(Sheet1!A:A), INDEX(Sheet1!A:A, ROW()),
INDEX(Sheet4!A:A, ROW()-COUNTA(Sheet1!A:A)))</f>
        <v>Al0.45CoCrFeNi</v>
      </c>
      <c r="B78" s="10">
        <f>_xlfn.XLOOKUP(A78, Sheet4!A:A, Sheet4!C:C)</f>
        <v>0</v>
      </c>
      <c r="C78" s="10">
        <v>-1</v>
      </c>
      <c r="D78" s="10">
        <f>_xlfn.XLOOKUP(A78, Sheet2!A:A, Sheet2!B:B)</f>
        <v>7.7191000000000001</v>
      </c>
      <c r="E78" s="10">
        <f>_xlfn.XLOOKUP(A78, Sheet1!A:A, Sheet1!G:G)</f>
        <v>-1</v>
      </c>
      <c r="F78" s="10">
        <f t="shared" si="1"/>
        <v>-1</v>
      </c>
      <c r="G78" cm="1">
        <f t="array" ref="G78:J78">_xlfn.XLOOKUP(A78, Sheet1!A:A, Sheet1!C:F)</f>
        <v>21</v>
      </c>
      <c r="H78">
        <v>18</v>
      </c>
      <c r="I78">
        <v>36</v>
      </c>
      <c r="J78">
        <v>15</v>
      </c>
    </row>
    <row r="79" spans="1:10" x14ac:dyDescent="0.3">
      <c r="A79" t="str" cm="1">
        <f t="array" ref="A79">IF(ROW()&lt;=COUNTA(Sheet1!A:A), INDEX(Sheet1!A:A, ROW()),
INDEX(Sheet4!A:A, ROW()-COUNTA(Sheet1!A:A)))</f>
        <v>Al10.122Cr13.018Fe16.891Co29.286Ni30.683</v>
      </c>
      <c r="B79" s="10">
        <f>_xlfn.XLOOKUP(A79, Sheet4!A:A, Sheet4!C:C)</f>
        <v>0</v>
      </c>
      <c r="C79" s="10">
        <v>-1</v>
      </c>
      <c r="D79" s="10">
        <f>_xlfn.XLOOKUP(A79, Sheet2!A:A, Sheet2!B:B)</f>
        <v>8.1401000000000003</v>
      </c>
      <c r="E79" s="10">
        <f>_xlfn.XLOOKUP(A79, Sheet1!A:A, Sheet1!G:G)</f>
        <v>-1</v>
      </c>
      <c r="F79" s="10">
        <f t="shared" si="1"/>
        <v>-1</v>
      </c>
      <c r="G79" cm="1">
        <f t="array" ref="G79:J79">_xlfn.XLOOKUP(A79, Sheet1!A:A, Sheet1!C:F)</f>
        <v>30</v>
      </c>
      <c r="H79">
        <v>20</v>
      </c>
      <c r="I79">
        <v>35</v>
      </c>
      <c r="J79">
        <v>5</v>
      </c>
    </row>
    <row r="80" spans="1:10" x14ac:dyDescent="0.3">
      <c r="A80" t="str" cm="1">
        <f t="array" ref="A80">IF(ROW()&lt;=COUNTA(Sheet1!A:A), INDEX(Sheet1!A:A, ROW()),
INDEX(Sheet4!A:A, ROW()-COUNTA(Sheet1!A:A)))</f>
        <v>Al10.155Cr12.844Fe13.963Co30.707Ni32.331</v>
      </c>
      <c r="B80" s="10">
        <f>_xlfn.XLOOKUP(A80, Sheet4!A:A, Sheet4!C:C)</f>
        <v>0</v>
      </c>
      <c r="C80" s="10">
        <v>-1</v>
      </c>
      <c r="D80" s="10">
        <f>_xlfn.XLOOKUP(A80, Sheet2!A:A, Sheet2!B:B)</f>
        <v>8.1890999999999998</v>
      </c>
      <c r="E80" s="10">
        <f>_xlfn.XLOOKUP(A80, Sheet1!A:A, Sheet1!G:G)</f>
        <v>-1</v>
      </c>
      <c r="F80" s="10">
        <f t="shared" si="1"/>
        <v>-1</v>
      </c>
      <c r="G80" cm="1">
        <f t="array" ref="G80:J80">_xlfn.XLOOKUP(A80, Sheet1!A:A, Sheet1!C:F)</f>
        <v>29.3</v>
      </c>
      <c r="H80">
        <v>13</v>
      </c>
      <c r="I80">
        <v>16.899999999999999</v>
      </c>
      <c r="J80">
        <v>30.7</v>
      </c>
    </row>
    <row r="81" spans="1:10" x14ac:dyDescent="0.3">
      <c r="A81" t="str" cm="1">
        <f t="array" ref="A81">IF(ROW()&lt;=COUNTA(Sheet1!A:A), INDEX(Sheet1!A:A, ROW()),
INDEX(Sheet4!A:A, ROW()-COUNTA(Sheet1!A:A)))</f>
        <v>Al10.2Cr12.8Fe14Co30.7Ni32.3</v>
      </c>
      <c r="B81" s="10">
        <f>_xlfn.XLOOKUP(A81, Sheet4!A:A, Sheet4!C:C)</f>
        <v>0</v>
      </c>
      <c r="C81" s="10">
        <v>-1</v>
      </c>
      <c r="D81" s="10">
        <f>_xlfn.XLOOKUP(A81, Sheet2!A:A, Sheet2!B:B)</f>
        <v>8.1869999999999994</v>
      </c>
      <c r="E81" s="10">
        <f>_xlfn.XLOOKUP(A81, Sheet1!A:A, Sheet1!G:G)</f>
        <v>-1</v>
      </c>
      <c r="F81" s="10">
        <f t="shared" si="1"/>
        <v>-1</v>
      </c>
      <c r="G81" cm="1">
        <f t="array" ref="G81:J81">_xlfn.XLOOKUP(A81, Sheet1!A:A, Sheet1!C:F)</f>
        <v>22.47191011</v>
      </c>
      <c r="H81">
        <v>22.47191011</v>
      </c>
      <c r="I81">
        <v>22.47191011</v>
      </c>
      <c r="J81">
        <v>22.47191011</v>
      </c>
    </row>
    <row r="82" spans="1:10" x14ac:dyDescent="0.3">
      <c r="A82" t="str" cm="1">
        <f t="array" ref="A82">IF(ROW()&lt;=COUNTA(Sheet1!A:A), INDEX(Sheet1!A:A, ROW()),
INDEX(Sheet4!A:A, ROW()-COUNTA(Sheet1!A:A)))</f>
        <v>Al10.4Cr20.2Fe27.4Co18.5Ni23.5</v>
      </c>
      <c r="B82" s="10">
        <f>_xlfn.XLOOKUP(A82, Sheet4!A:A, Sheet4!C:C)</f>
        <v>0</v>
      </c>
      <c r="C82" s="10">
        <v>-1</v>
      </c>
      <c r="D82" s="10">
        <f>_xlfn.XLOOKUP(A82, Sheet2!A:A, Sheet2!B:B)</f>
        <v>7.7309999999999999</v>
      </c>
      <c r="E82" s="10">
        <f>_xlfn.XLOOKUP(A82, Sheet1!A:A, Sheet1!G:G)</f>
        <v>-1</v>
      </c>
      <c r="F82" s="10">
        <f t="shared" si="1"/>
        <v>-1</v>
      </c>
      <c r="G82" cm="1">
        <f t="array" ref="G82:J82">_xlfn.XLOOKUP(A82, Sheet1!A:A, Sheet1!C:F)</f>
        <v>29.286000000000001</v>
      </c>
      <c r="H82">
        <v>13.018000000000001</v>
      </c>
      <c r="I82">
        <v>16.890999999999998</v>
      </c>
      <c r="J82">
        <v>30.683</v>
      </c>
    </row>
    <row r="83" spans="1:10" x14ac:dyDescent="0.3">
      <c r="A83" t="str" cm="1">
        <f t="array" ref="A83">IF(ROW()&lt;=COUNTA(Sheet1!A:A), INDEX(Sheet1!A:A, ROW()),
INDEX(Sheet4!A:A, ROW()-COUNTA(Sheet1!A:A)))</f>
        <v>Al10.412Cr20.185Fe27.394Co18.526Ni23.484</v>
      </c>
      <c r="B83" s="10">
        <f>_xlfn.XLOOKUP(A83, Sheet4!A:A, Sheet4!C:C)</f>
        <v>0</v>
      </c>
      <c r="C83" s="10">
        <v>-1</v>
      </c>
      <c r="D83" s="10">
        <f>_xlfn.XLOOKUP(A83, Sheet2!A:A, Sheet2!B:B)</f>
        <v>7.7305999999999999</v>
      </c>
      <c r="E83" s="10">
        <f>_xlfn.XLOOKUP(A83, Sheet1!A:A, Sheet1!G:G)</f>
        <v>-1</v>
      </c>
      <c r="F83" s="10">
        <f t="shared" si="1"/>
        <v>-1</v>
      </c>
      <c r="G83" cm="1">
        <f t="array" ref="G83:J83">_xlfn.XLOOKUP(A83, Sheet1!A:A, Sheet1!C:F)</f>
        <v>30.707000000000001</v>
      </c>
      <c r="H83">
        <v>12.843999999999999</v>
      </c>
      <c r="I83">
        <v>13.962999999999999</v>
      </c>
      <c r="J83">
        <v>32.331000000000003</v>
      </c>
    </row>
    <row r="84" spans="1:10" x14ac:dyDescent="0.3">
      <c r="A84" t="str" cm="1">
        <f t="array" ref="A84">IF(ROW()&lt;=COUNTA(Sheet1!A:A), INDEX(Sheet1!A:A, ROW()),
INDEX(Sheet4!A:A, ROW()-COUNTA(Sheet1!A:A)))</f>
        <v>Al0.6CoCrFeNi2.1</v>
      </c>
      <c r="B84" s="10">
        <f>_xlfn.XLOOKUP(A84, Sheet4!A:A, Sheet4!C:C)</f>
        <v>0</v>
      </c>
      <c r="C84" s="10">
        <v>-1</v>
      </c>
      <c r="D84" s="10">
        <f>_xlfn.XLOOKUP(A84, Sheet2!A:A, Sheet2!B:B)</f>
        <v>8.0350999999999999</v>
      </c>
      <c r="E84" s="10">
        <f>_xlfn.XLOOKUP(A84, Sheet1!A:A, Sheet1!G:G)</f>
        <v>-1</v>
      </c>
      <c r="F84" s="10">
        <f t="shared" si="1"/>
        <v>-1</v>
      </c>
      <c r="G84" cm="1">
        <f t="array" ref="G84:J84">_xlfn.XLOOKUP(A84, Sheet1!A:A, Sheet1!C:F)</f>
        <v>30.7</v>
      </c>
      <c r="H84">
        <v>12.8</v>
      </c>
      <c r="I84">
        <v>14</v>
      </c>
      <c r="J84">
        <v>32.299999999999997</v>
      </c>
    </row>
    <row r="85" spans="1:10" x14ac:dyDescent="0.3">
      <c r="A85" t="str" cm="1">
        <f t="array" ref="A85">IF(ROW()&lt;=COUNTA(Sheet1!A:A), INDEX(Sheet1!A:A, ROW()),
INDEX(Sheet4!A:A, ROW()-COUNTA(Sheet1!A:A)))</f>
        <v>Al10.6Cr13.5Fe33.1Co20.6Ni22.3</v>
      </c>
      <c r="B85" s="10">
        <f>_xlfn.XLOOKUP(A85, Sheet4!A:A, Sheet4!C:C)</f>
        <v>0</v>
      </c>
      <c r="C85" s="10">
        <v>-1</v>
      </c>
      <c r="D85" s="10">
        <f>_xlfn.XLOOKUP(A85, Sheet2!A:A, Sheet2!B:B)</f>
        <v>7.8521000000000001</v>
      </c>
      <c r="E85" s="10">
        <f>_xlfn.XLOOKUP(A85, Sheet1!A:A, Sheet1!G:G)</f>
        <v>-1</v>
      </c>
      <c r="F85" s="10">
        <f t="shared" si="1"/>
        <v>-1</v>
      </c>
      <c r="G85" cm="1">
        <f t="array" ref="G85:J85">_xlfn.XLOOKUP(A85, Sheet1!A:A, Sheet1!C:F)</f>
        <v>18.5</v>
      </c>
      <c r="H85">
        <v>20.2</v>
      </c>
      <c r="I85">
        <v>27.4</v>
      </c>
      <c r="J85">
        <v>23.5</v>
      </c>
    </row>
    <row r="86" spans="1:10" x14ac:dyDescent="0.3">
      <c r="A86" t="str" cm="1">
        <f t="array" ref="A86">IF(ROW()&lt;=COUNTA(Sheet1!A:A), INDEX(Sheet1!A:A, ROW()),
INDEX(Sheet4!A:A, ROW()-COUNTA(Sheet1!A:A)))</f>
        <v>Al10.592Cr13.489Fe33.053Co20.608Ni22.258</v>
      </c>
      <c r="B86" s="10">
        <f>_xlfn.XLOOKUP(A86, Sheet4!A:A, Sheet4!C:C)</f>
        <v>0</v>
      </c>
      <c r="C86" s="10">
        <v>-1</v>
      </c>
      <c r="D86" s="10">
        <f>_xlfn.XLOOKUP(A86, Sheet2!A:A, Sheet2!B:B)</f>
        <v>7.8518999999999997</v>
      </c>
      <c r="E86" s="10">
        <f>_xlfn.XLOOKUP(A86, Sheet1!A:A, Sheet1!G:G)</f>
        <v>-1</v>
      </c>
      <c r="F86" s="10">
        <f t="shared" si="1"/>
        <v>-1</v>
      </c>
      <c r="G86" cm="1">
        <f t="array" ref="G86:J86">_xlfn.XLOOKUP(A86, Sheet1!A:A, Sheet1!C:F)</f>
        <v>18.526</v>
      </c>
      <c r="H86">
        <v>20.184999999999999</v>
      </c>
      <c r="I86">
        <v>27.393999999999998</v>
      </c>
      <c r="J86">
        <v>23.484000000000002</v>
      </c>
    </row>
    <row r="87" spans="1:10" x14ac:dyDescent="0.3">
      <c r="A87" t="str" cm="1">
        <f t="array" ref="A87">IF(ROW()&lt;=COUNTA(Sheet1!A:A), INDEX(Sheet1!A:A, ROW()),
INDEX(Sheet4!A:A, ROW()-COUNTA(Sheet1!A:A)))</f>
        <v>Al10.8Cr18.4Fe24.4Co20.5Ni25.9</v>
      </c>
      <c r="B87" s="10">
        <f>_xlfn.XLOOKUP(A87, Sheet4!A:A, Sheet4!C:C)</f>
        <v>0</v>
      </c>
      <c r="C87" s="10">
        <v>-1</v>
      </c>
      <c r="D87" s="10">
        <f>_xlfn.XLOOKUP(A87, Sheet2!A:A, Sheet2!B:B)</f>
        <v>7.8150000000000004</v>
      </c>
      <c r="E87" s="10">
        <f>_xlfn.XLOOKUP(A87, Sheet1!A:A, Sheet1!G:G)</f>
        <v>-1</v>
      </c>
      <c r="F87" s="10">
        <f t="shared" si="1"/>
        <v>-1</v>
      </c>
      <c r="G87" cm="1">
        <f t="array" ref="G87:J87">_xlfn.XLOOKUP(A87, Sheet1!A:A, Sheet1!C:F)</f>
        <v>17.543859650000002</v>
      </c>
      <c r="H87">
        <v>17.543859650000002</v>
      </c>
      <c r="I87">
        <v>17.543859650000002</v>
      </c>
      <c r="J87">
        <v>36.842105259999997</v>
      </c>
    </row>
    <row r="88" spans="1:10" x14ac:dyDescent="0.3">
      <c r="A88" t="str" cm="1">
        <f t="array" ref="A88">IF(ROW()&lt;=COUNTA(Sheet1!A:A), INDEX(Sheet1!A:A, ROW()),
INDEX(Sheet4!A:A, ROW()-COUNTA(Sheet1!A:A)))</f>
        <v>Al10.81Cr18.377Fe24.397Co20.538Ni25.877</v>
      </c>
      <c r="B88" s="10">
        <f>_xlfn.XLOOKUP(A88, Sheet4!A:A, Sheet4!C:C)</f>
        <v>0</v>
      </c>
      <c r="C88" s="10">
        <v>-1</v>
      </c>
      <c r="D88" s="10">
        <f>_xlfn.XLOOKUP(A88, Sheet2!A:A, Sheet2!B:B)</f>
        <v>7.8148999999999997</v>
      </c>
      <c r="E88" s="10">
        <f>_xlfn.XLOOKUP(A88, Sheet1!A:A, Sheet1!G:G)</f>
        <v>-1</v>
      </c>
      <c r="F88" s="10">
        <f t="shared" si="1"/>
        <v>-1</v>
      </c>
      <c r="G88" cm="1">
        <f t="array" ref="G88:J88">_xlfn.XLOOKUP(A88, Sheet1!A:A, Sheet1!C:F)</f>
        <v>20.6</v>
      </c>
      <c r="H88">
        <v>13.5</v>
      </c>
      <c r="I88">
        <v>33.1</v>
      </c>
      <c r="J88">
        <v>22.3</v>
      </c>
    </row>
    <row r="89" spans="1:10" x14ac:dyDescent="0.3">
      <c r="A89" t="str" cm="1">
        <f t="array" ref="A89">IF(ROW()&lt;=COUNTA(Sheet1!A:A), INDEX(Sheet1!A:A, ROW()),
INDEX(Sheet4!A:A, ROW()-COUNTA(Sheet1!A:A)))</f>
        <v>Al11.1Cr15Fe7.5Co32.5Ni33.9</v>
      </c>
      <c r="B89" s="10">
        <f>_xlfn.XLOOKUP(A89, Sheet4!A:A, Sheet4!C:C)</f>
        <v>0</v>
      </c>
      <c r="C89" s="10">
        <v>-1</v>
      </c>
      <c r="D89" s="10">
        <f>_xlfn.XLOOKUP(A89, Sheet2!A:A, Sheet2!B:B)</f>
        <v>8.1479999999999997</v>
      </c>
      <c r="E89" s="10">
        <f>_xlfn.XLOOKUP(A89, Sheet1!A:A, Sheet1!G:G)</f>
        <v>-1</v>
      </c>
      <c r="F89" s="10">
        <f t="shared" si="1"/>
        <v>-1</v>
      </c>
      <c r="G89" cm="1">
        <f t="array" ref="G89:J89">_xlfn.XLOOKUP(A89, Sheet1!A:A, Sheet1!C:F)</f>
        <v>20.608000000000001</v>
      </c>
      <c r="H89">
        <v>13.489000000000001</v>
      </c>
      <c r="I89">
        <v>33.052999999999997</v>
      </c>
      <c r="J89">
        <v>22.257999999999999</v>
      </c>
    </row>
    <row r="90" spans="1:10" x14ac:dyDescent="0.3">
      <c r="A90" t="str" cm="1">
        <f t="array" ref="A90">IF(ROW()&lt;=COUNTA(Sheet1!A:A), INDEX(Sheet1!A:A, ROW()),
INDEX(Sheet4!A:A, ROW()-COUNTA(Sheet1!A:A)))</f>
        <v>Al11.11Cr14.989Fe7.4726Co32.5Ni33.929</v>
      </c>
      <c r="B90" s="10">
        <f>_xlfn.XLOOKUP(A90, Sheet4!A:A, Sheet4!C:C)</f>
        <v>0</v>
      </c>
      <c r="C90" s="10">
        <v>-1</v>
      </c>
      <c r="D90" s="10">
        <f>_xlfn.XLOOKUP(A90, Sheet2!A:A, Sheet2!B:B)</f>
        <v>8.1483000000000008</v>
      </c>
      <c r="E90" s="10">
        <f>_xlfn.XLOOKUP(A90, Sheet1!A:A, Sheet1!G:G)</f>
        <v>-1</v>
      </c>
      <c r="F90" s="10">
        <f t="shared" si="1"/>
        <v>-1</v>
      </c>
      <c r="G90" cm="1">
        <f t="array" ref="G90:J90">_xlfn.XLOOKUP(A90, Sheet1!A:A, Sheet1!C:F)</f>
        <v>20.5</v>
      </c>
      <c r="H90">
        <v>18.399999999999999</v>
      </c>
      <c r="I90">
        <v>24.4</v>
      </c>
      <c r="J90">
        <v>25.9</v>
      </c>
    </row>
    <row r="91" spans="1:10" x14ac:dyDescent="0.3">
      <c r="A91" t="str" cm="1">
        <f t="array" ref="A91">IF(ROW()&lt;=COUNTA(Sheet1!A:A), INDEX(Sheet1!A:A, ROW()),
INDEX(Sheet4!A:A, ROW()-COUNTA(Sheet1!A:A)))</f>
        <v>Al0.5CoCrFeNi</v>
      </c>
      <c r="B91" s="10" t="str">
        <f>_xlfn.XLOOKUP(A91, Sheet4!A:A, Sheet4!C:C)</f>
        <v>FCC+BCC</v>
      </c>
      <c r="C91" s="10">
        <v>-1</v>
      </c>
      <c r="D91" s="10">
        <f>_xlfn.XLOOKUP(A91, Sheet2!A:A, Sheet2!B:B)</f>
        <v>7.6666999999999996</v>
      </c>
      <c r="E91" s="10">
        <f>_xlfn.XLOOKUP(A91, Sheet1!A:A, Sheet1!G:G)</f>
        <v>-1</v>
      </c>
      <c r="F91" s="10">
        <f t="shared" si="1"/>
        <v>-1</v>
      </c>
      <c r="G91" cm="1">
        <f t="array" ref="G91:J91">_xlfn.XLOOKUP(A91, Sheet1!A:A, Sheet1!C:F)</f>
        <v>20.538</v>
      </c>
      <c r="H91">
        <v>18.376999999999999</v>
      </c>
      <c r="I91">
        <v>24.396999999999998</v>
      </c>
      <c r="J91">
        <v>25.876999999999999</v>
      </c>
    </row>
    <row r="92" spans="1:10" x14ac:dyDescent="0.3">
      <c r="A92" t="str" cm="1">
        <f t="array" ref="A92">IF(ROW()&lt;=COUNTA(Sheet1!A:A), INDEX(Sheet1!A:A, ROW()),
INDEX(Sheet4!A:A, ROW()-COUNTA(Sheet1!A:A)))</f>
        <v>Al11.183Cr13.881Fe28.258Co22.564Ni24.113</v>
      </c>
      <c r="B92" s="10">
        <f>_xlfn.XLOOKUP(A92, Sheet4!A:A, Sheet4!C:C)</f>
        <v>0</v>
      </c>
      <c r="C92" s="10">
        <v>-1</v>
      </c>
      <c r="D92" s="10">
        <f>_xlfn.XLOOKUP(A92, Sheet2!A:A, Sheet2!B:B)</f>
        <v>7.8711000000000002</v>
      </c>
      <c r="E92" s="10">
        <f>_xlfn.XLOOKUP(A92, Sheet1!A:A, Sheet1!G:G)</f>
        <v>-1</v>
      </c>
      <c r="F92" s="10">
        <f t="shared" si="1"/>
        <v>-1</v>
      </c>
      <c r="G92" cm="1">
        <f t="array" ref="G92:J92">_xlfn.XLOOKUP(A92, Sheet1!A:A, Sheet1!C:F)</f>
        <v>32.5</v>
      </c>
      <c r="H92">
        <v>15</v>
      </c>
      <c r="I92">
        <v>7.5</v>
      </c>
      <c r="J92">
        <v>33.9</v>
      </c>
    </row>
    <row r="93" spans="1:10" x14ac:dyDescent="0.3">
      <c r="A93" t="str" cm="1">
        <f t="array" ref="A93">IF(ROW()&lt;=COUNTA(Sheet1!A:A), INDEX(Sheet1!A:A, ROW()),
INDEX(Sheet4!A:A, ROW()-COUNTA(Sheet1!A:A)))</f>
        <v>Al11.2Cr13.9Fe28.3Co22.6Ni24.1</v>
      </c>
      <c r="B93" s="10">
        <f>_xlfn.XLOOKUP(A93, Sheet4!A:A, Sheet4!C:C)</f>
        <v>0</v>
      </c>
      <c r="C93" s="10">
        <v>-1</v>
      </c>
      <c r="D93" s="10">
        <f>_xlfn.XLOOKUP(A93, Sheet2!A:A, Sheet2!B:B)</f>
        <v>7.8700999999999999</v>
      </c>
      <c r="E93" s="10">
        <f>_xlfn.XLOOKUP(A93, Sheet1!A:A, Sheet1!G:G)</f>
        <v>-1</v>
      </c>
      <c r="F93" s="10">
        <f t="shared" si="1"/>
        <v>-1</v>
      </c>
      <c r="G93" cm="1">
        <f t="array" ref="G93:J93">_xlfn.XLOOKUP(A93, Sheet1!A:A, Sheet1!C:F)</f>
        <v>32.5</v>
      </c>
      <c r="H93">
        <v>14.989000000000001</v>
      </c>
      <c r="I93">
        <v>7.4725999999999999</v>
      </c>
      <c r="J93">
        <v>33.929000000000002</v>
      </c>
    </row>
    <row r="94" spans="1:10" x14ac:dyDescent="0.3">
      <c r="A94" t="str" cm="1">
        <f t="array" ref="A94">IF(ROW()&lt;=COUNTA(Sheet1!A:A), INDEX(Sheet1!A:A, ROW()),
INDEX(Sheet4!A:A, ROW()-COUNTA(Sheet1!A:A)))</f>
        <v>Al11.2Co22.2Cr22.2Fe22.2Ni22.2</v>
      </c>
      <c r="B94" s="10" t="str">
        <f>_xlfn.XLOOKUP(A94, Sheet4!A:A, Sheet4!C:C)</f>
        <v>FCC</v>
      </c>
      <c r="C94" s="10">
        <v>0</v>
      </c>
      <c r="D94" s="10">
        <f>_xlfn.XLOOKUP(A94, Sheet2!A:A, Sheet2!B:B)</f>
        <v>7.6619999999999999</v>
      </c>
      <c r="E94" s="10">
        <f>_xlfn.XLOOKUP(A94, Sheet1!A:A, Sheet1!G:G)</f>
        <v>-1</v>
      </c>
      <c r="F94" s="10">
        <f t="shared" si="1"/>
        <v>0</v>
      </c>
      <c r="G94" cm="1">
        <f t="array" ref="G94:J94">_xlfn.XLOOKUP(A94, Sheet1!A:A, Sheet1!C:F)</f>
        <v>22.222222219999999</v>
      </c>
      <c r="H94">
        <v>22.222222219999999</v>
      </c>
      <c r="I94">
        <v>22.222222219999999</v>
      </c>
      <c r="J94">
        <v>22.222222219999999</v>
      </c>
    </row>
    <row r="95" spans="1:10" x14ac:dyDescent="0.3">
      <c r="A95" t="str" cm="1">
        <f t="array" ref="A95">IF(ROW()&lt;=COUNTA(Sheet1!A:A), INDEX(Sheet1!A:A, ROW()),
INDEX(Sheet4!A:A, ROW()-COUNTA(Sheet1!A:A)))</f>
        <v>Al11.278Cr14.008Fe38.29Co17.496Ni18.927</v>
      </c>
      <c r="B95" s="10">
        <f>_xlfn.XLOOKUP(A95, Sheet4!A:A, Sheet4!C:C)</f>
        <v>0</v>
      </c>
      <c r="C95" s="10">
        <v>-1</v>
      </c>
      <c r="D95" s="10">
        <f>_xlfn.XLOOKUP(A95, Sheet2!A:A, Sheet2!B:B)</f>
        <v>7.7093999999999996</v>
      </c>
      <c r="E95" s="10">
        <f>_xlfn.XLOOKUP(A95, Sheet1!A:A, Sheet1!G:G)</f>
        <v>-1</v>
      </c>
      <c r="F95" s="10">
        <f t="shared" si="1"/>
        <v>-1</v>
      </c>
      <c r="G95" cm="1">
        <f t="array" ref="G95:J95">_xlfn.XLOOKUP(A95, Sheet1!A:A, Sheet1!C:F)</f>
        <v>22.222222219999999</v>
      </c>
      <c r="H95">
        <v>22.222222219999999</v>
      </c>
      <c r="I95">
        <v>22.222222219999999</v>
      </c>
      <c r="J95">
        <v>22.222222219999999</v>
      </c>
    </row>
    <row r="96" spans="1:10" x14ac:dyDescent="0.3">
      <c r="A96" t="str" cm="1">
        <f t="array" ref="A96">IF(ROW()&lt;=COUNTA(Sheet1!A:A), INDEX(Sheet1!A:A, ROW()),
INDEX(Sheet4!A:A, ROW()-COUNTA(Sheet1!A:A)))</f>
        <v>Al11.3Cr14Fe38.3Co17.5Ni18.9</v>
      </c>
      <c r="B96" s="10">
        <f>_xlfn.XLOOKUP(A96, Sheet4!A:A, Sheet4!C:C)</f>
        <v>0</v>
      </c>
      <c r="C96" s="10">
        <v>-1</v>
      </c>
      <c r="D96" s="10">
        <f>_xlfn.XLOOKUP(A96, Sheet2!A:A, Sheet2!B:B)</f>
        <v>7.7080000000000002</v>
      </c>
      <c r="E96" s="10">
        <f>_xlfn.XLOOKUP(A96, Sheet1!A:A, Sheet1!G:G)</f>
        <v>-1</v>
      </c>
      <c r="F96" s="10">
        <f t="shared" si="1"/>
        <v>-1</v>
      </c>
      <c r="G96" cm="1">
        <f t="array" ref="G96:J96">_xlfn.XLOOKUP(A96, Sheet1!A:A, Sheet1!C:F)</f>
        <v>22.564</v>
      </c>
      <c r="H96">
        <v>13.881</v>
      </c>
      <c r="I96">
        <v>28.257999999999999</v>
      </c>
      <c r="J96">
        <v>24.113</v>
      </c>
    </row>
    <row r="97" spans="1:10" x14ac:dyDescent="0.3">
      <c r="A97" t="str" cm="1">
        <f t="array" ref="A97">IF(ROW()&lt;=COUNTA(Sheet1!A:A), INDEX(Sheet1!A:A, ROW()),
INDEX(Sheet4!A:A, ROW()-COUNTA(Sheet1!A:A)))</f>
        <v>Al11.3Cr16.5Fe22.2Co22.1Ni27.9</v>
      </c>
      <c r="B97" s="10">
        <f>_xlfn.XLOOKUP(A97, Sheet4!A:A, Sheet4!C:C)</f>
        <v>0</v>
      </c>
      <c r="C97" s="10">
        <v>-1</v>
      </c>
      <c r="D97" s="10">
        <f>_xlfn.XLOOKUP(A97, Sheet2!A:A, Sheet2!B:B)</f>
        <v>7.8840000000000003</v>
      </c>
      <c r="E97" s="10">
        <f>_xlfn.XLOOKUP(A97, Sheet1!A:A, Sheet1!G:G)</f>
        <v>-1</v>
      </c>
      <c r="F97" s="10">
        <f t="shared" si="1"/>
        <v>-1</v>
      </c>
      <c r="G97" cm="1">
        <f t="array" ref="G97:J97">_xlfn.XLOOKUP(A97, Sheet1!A:A, Sheet1!C:F)</f>
        <v>22.6</v>
      </c>
      <c r="H97">
        <v>13.9</v>
      </c>
      <c r="I97">
        <v>28.3</v>
      </c>
      <c r="J97">
        <v>24.1</v>
      </c>
    </row>
    <row r="98" spans="1:10" x14ac:dyDescent="0.3">
      <c r="A98" t="str" cm="1">
        <f t="array" ref="A98">IF(ROW()&lt;=COUNTA(Sheet1!A:A), INDEX(Sheet1!A:A, ROW()),
INDEX(Sheet4!A:A, ROW()-COUNTA(Sheet1!A:A)))</f>
        <v>Al11.3Cr14.5Fe24Co24.1Ni26.1</v>
      </c>
      <c r="B98" s="10">
        <f>_xlfn.XLOOKUP(A98, Sheet4!A:A, Sheet4!C:C)</f>
        <v>0</v>
      </c>
      <c r="C98" s="10">
        <v>-1</v>
      </c>
      <c r="D98" s="10">
        <f>_xlfn.XLOOKUP(A98, Sheet2!A:A, Sheet2!B:B)</f>
        <v>7.9080000000000004</v>
      </c>
      <c r="E98" s="10">
        <f>_xlfn.XLOOKUP(A98, Sheet1!A:A, Sheet1!G:G)</f>
        <v>-1</v>
      </c>
      <c r="F98" s="10">
        <f t="shared" si="1"/>
        <v>-1</v>
      </c>
      <c r="G98" cm="1">
        <f t="array" ref="G98:J98">_xlfn.XLOOKUP(A98, Sheet1!A:A, Sheet1!C:F)</f>
        <v>22.2</v>
      </c>
      <c r="H98">
        <v>22.2</v>
      </c>
      <c r="I98">
        <v>22.2</v>
      </c>
      <c r="J98">
        <v>22.2</v>
      </c>
    </row>
    <row r="99" spans="1:10" x14ac:dyDescent="0.3">
      <c r="A99" t="str" cm="1">
        <f t="array" ref="A99">IF(ROW()&lt;=COUNTA(Sheet1!A:A), INDEX(Sheet1!A:A, ROW()),
INDEX(Sheet4!A:A, ROW()-COUNTA(Sheet1!A:A)))</f>
        <v>Al11.309Cr14.476Fe24.036Co24.116Ni26.063</v>
      </c>
      <c r="B99" s="10">
        <f>_xlfn.XLOOKUP(A99, Sheet4!A:A, Sheet4!C:C)</f>
        <v>0</v>
      </c>
      <c r="C99" s="10">
        <v>-1</v>
      </c>
      <c r="D99" s="10">
        <f>_xlfn.XLOOKUP(A99, Sheet2!A:A, Sheet2!B:B)</f>
        <v>7.9074</v>
      </c>
      <c r="E99" s="10">
        <f>_xlfn.XLOOKUP(A99, Sheet1!A:A, Sheet1!G:G)</f>
        <v>-1</v>
      </c>
      <c r="F99" s="10">
        <f t="shared" si="1"/>
        <v>-1</v>
      </c>
      <c r="G99" cm="1">
        <f t="array" ref="G99:J99">_xlfn.XLOOKUP(A99, Sheet1!A:A, Sheet1!C:F)</f>
        <v>17.495999999999999</v>
      </c>
      <c r="H99">
        <v>14.007999999999999</v>
      </c>
      <c r="I99">
        <v>38.29</v>
      </c>
      <c r="J99">
        <v>18.927</v>
      </c>
    </row>
    <row r="100" spans="1:10" x14ac:dyDescent="0.3">
      <c r="A100" t="str" cm="1">
        <f t="array" ref="A100">IF(ROW()&lt;=COUNTA(Sheet1!A:A), INDEX(Sheet1!A:A, ROW()),
INDEX(Sheet4!A:A, ROW()-COUNTA(Sheet1!A:A)))</f>
        <v>Al11.336Cr16.507Fe22.153Co22.128Ni27.876</v>
      </c>
      <c r="B100" s="10">
        <f>_xlfn.XLOOKUP(A100, Sheet4!A:A, Sheet4!C:C)</f>
        <v>0</v>
      </c>
      <c r="C100" s="10">
        <v>-1</v>
      </c>
      <c r="D100" s="10">
        <f>_xlfn.XLOOKUP(A100, Sheet2!A:A, Sheet2!B:B)</f>
        <v>7.8818999999999999</v>
      </c>
      <c r="E100" s="10">
        <f>_xlfn.XLOOKUP(A100, Sheet1!A:A, Sheet1!G:G)</f>
        <v>-1</v>
      </c>
      <c r="F100" s="10">
        <f t="shared" si="1"/>
        <v>-1</v>
      </c>
      <c r="G100" cm="1">
        <f t="array" ref="G100:J100">_xlfn.XLOOKUP(A100, Sheet1!A:A, Sheet1!C:F)</f>
        <v>17.5</v>
      </c>
      <c r="H100">
        <v>14</v>
      </c>
      <c r="I100">
        <v>38.299999999999997</v>
      </c>
      <c r="J100">
        <v>18.899999999999999</v>
      </c>
    </row>
    <row r="101" spans="1:10" x14ac:dyDescent="0.3">
      <c r="A101" t="str" cm="1">
        <f t="array" ref="A101">IF(ROW()&lt;=COUNTA(Sheet1!A:A), INDEX(Sheet1!A:A, ROW()),
INDEX(Sheet4!A:A, ROW()-COUNTA(Sheet1!A:A)))</f>
        <v>Al11.4Cr14.7Fe20.7Co25.8Ni27.3</v>
      </c>
      <c r="B101" s="10">
        <f>_xlfn.XLOOKUP(A101, Sheet4!A:A, Sheet4!C:C)</f>
        <v>0</v>
      </c>
      <c r="C101" s="10">
        <v>-1</v>
      </c>
      <c r="D101" s="10">
        <f>_xlfn.XLOOKUP(A101, Sheet2!A:A, Sheet2!B:B)</f>
        <v>7.9398999999999997</v>
      </c>
      <c r="E101" s="10">
        <f>_xlfn.XLOOKUP(A101, Sheet1!A:A, Sheet1!G:G)</f>
        <v>-1</v>
      </c>
      <c r="F101" s="10">
        <f t="shared" si="1"/>
        <v>-1</v>
      </c>
      <c r="G101" cm="1">
        <f t="array" ref="G101:J101">_xlfn.XLOOKUP(A101, Sheet1!A:A, Sheet1!C:F)</f>
        <v>22.1</v>
      </c>
      <c r="H101">
        <v>16.5</v>
      </c>
      <c r="I101">
        <v>22.2</v>
      </c>
      <c r="J101">
        <v>27.9</v>
      </c>
    </row>
    <row r="102" spans="1:10" x14ac:dyDescent="0.3">
      <c r="A102" t="str" cm="1">
        <f t="array" ref="A102">IF(ROW()&lt;=COUNTA(Sheet1!A:A), INDEX(Sheet1!A:A, ROW()),
INDEX(Sheet4!A:A, ROW()-COUNTA(Sheet1!A:A)))</f>
        <v>Al11.44Cr14.703Fe20.685Co25.831Ni27.341</v>
      </c>
      <c r="B102" s="10">
        <f>_xlfn.XLOOKUP(A102, Sheet4!A:A, Sheet4!C:C)</f>
        <v>0</v>
      </c>
      <c r="C102" s="10">
        <v>-1</v>
      </c>
      <c r="D102" s="10">
        <f>_xlfn.XLOOKUP(A102, Sheet2!A:A, Sheet2!B:B)</f>
        <v>7.9390999999999998</v>
      </c>
      <c r="E102" s="10">
        <f>_xlfn.XLOOKUP(A102, Sheet1!A:A, Sheet1!G:G)</f>
        <v>-1</v>
      </c>
      <c r="F102" s="10">
        <f t="shared" si="1"/>
        <v>-1</v>
      </c>
      <c r="G102" cm="1">
        <f t="array" ref="G102:J102">_xlfn.XLOOKUP(A102, Sheet1!A:A, Sheet1!C:F)</f>
        <v>24.1</v>
      </c>
      <c r="H102">
        <v>14.5</v>
      </c>
      <c r="I102">
        <v>24</v>
      </c>
      <c r="J102">
        <v>26.1</v>
      </c>
    </row>
    <row r="103" spans="1:10" x14ac:dyDescent="0.3">
      <c r="A103" t="str" cm="1">
        <f t="array" ref="A103">IF(ROW()&lt;=COUNTA(Sheet1!A:A), INDEX(Sheet1!A:A, ROW()),
INDEX(Sheet4!A:A, ROW()-COUNTA(Sheet1!A:A)))</f>
        <v>Al11.475Cr15.286Fe12.225Co29.632Ni31.382</v>
      </c>
      <c r="B103" s="10">
        <f>_xlfn.XLOOKUP(A103, Sheet4!A:A, Sheet4!C:C)</f>
        <v>0</v>
      </c>
      <c r="C103" s="10">
        <v>-1</v>
      </c>
      <c r="D103" s="10">
        <f>_xlfn.XLOOKUP(A103, Sheet2!A:A, Sheet2!B:B)</f>
        <v>8.0444999999999993</v>
      </c>
      <c r="E103" s="10">
        <f>_xlfn.XLOOKUP(A103, Sheet1!A:A, Sheet1!G:G)</f>
        <v>-1</v>
      </c>
      <c r="F103" s="10">
        <f t="shared" si="1"/>
        <v>-1</v>
      </c>
      <c r="G103" cm="1">
        <f t="array" ref="G103:J103">_xlfn.XLOOKUP(A103, Sheet1!A:A, Sheet1!C:F)</f>
        <v>24.116</v>
      </c>
      <c r="H103">
        <v>14.476000000000001</v>
      </c>
      <c r="I103">
        <v>24.036000000000001</v>
      </c>
      <c r="J103">
        <v>26.062999999999999</v>
      </c>
    </row>
    <row r="104" spans="1:10" x14ac:dyDescent="0.3">
      <c r="A104" t="str" cm="1">
        <f t="array" ref="A104">IF(ROW()&lt;=COUNTA(Sheet1!A:A), INDEX(Sheet1!A:A, ROW()),
INDEX(Sheet4!A:A, ROW()-COUNTA(Sheet1!A:A)))</f>
        <v>Al11.489Cr15.195Fe10.194Co30.599Ni32.523</v>
      </c>
      <c r="B104" s="10">
        <f>_xlfn.XLOOKUP(A104, Sheet4!A:A, Sheet4!C:C)</f>
        <v>0</v>
      </c>
      <c r="C104" s="10">
        <v>-1</v>
      </c>
      <c r="D104" s="10">
        <f>_xlfn.XLOOKUP(A104, Sheet2!A:A, Sheet2!B:B)</f>
        <v>8.0780999999999992</v>
      </c>
      <c r="E104" s="10">
        <f>_xlfn.XLOOKUP(A104, Sheet1!A:A, Sheet1!G:G)</f>
        <v>-1</v>
      </c>
      <c r="F104" s="10">
        <f t="shared" si="1"/>
        <v>-1</v>
      </c>
      <c r="G104" cm="1">
        <f t="array" ref="G104:J104">_xlfn.XLOOKUP(A104, Sheet1!A:A, Sheet1!C:F)</f>
        <v>22.128</v>
      </c>
      <c r="H104">
        <v>16.507000000000001</v>
      </c>
      <c r="I104">
        <v>22.152999999999999</v>
      </c>
      <c r="J104">
        <v>27.876000000000001</v>
      </c>
    </row>
    <row r="105" spans="1:10" x14ac:dyDescent="0.3">
      <c r="A105" t="str" cm="1">
        <f t="array" ref="A105">IF(ROW()&lt;=COUNTA(Sheet1!A:A), INDEX(Sheet1!A:A, ROW()),
INDEX(Sheet4!A:A, ROW()-COUNTA(Sheet1!A:A)))</f>
        <v>Al11.49Cr14.887Fe19.629Co23.856Ni30.138</v>
      </c>
      <c r="B105" s="10">
        <f>_xlfn.XLOOKUP(A105, Sheet4!A:A, Sheet4!C:C)</f>
        <v>0</v>
      </c>
      <c r="C105" s="10">
        <v>-1</v>
      </c>
      <c r="D105" s="10">
        <f>_xlfn.XLOOKUP(A105, Sheet2!A:A, Sheet2!B:B)</f>
        <v>7.9691000000000001</v>
      </c>
      <c r="E105" s="10">
        <f>_xlfn.XLOOKUP(A105, Sheet1!A:A, Sheet1!G:G)</f>
        <v>-1</v>
      </c>
      <c r="F105" s="10">
        <f t="shared" si="1"/>
        <v>-1</v>
      </c>
      <c r="G105" cm="1">
        <f t="array" ref="G105:J105">_xlfn.XLOOKUP(A105, Sheet1!A:A, Sheet1!C:F)</f>
        <v>25.8</v>
      </c>
      <c r="H105">
        <v>14.7</v>
      </c>
      <c r="I105">
        <v>20.7</v>
      </c>
      <c r="J105">
        <v>27.3</v>
      </c>
    </row>
    <row r="106" spans="1:10" x14ac:dyDescent="0.3">
      <c r="A106" t="str" cm="1">
        <f t="array" ref="A106">IF(ROW()&lt;=COUNTA(Sheet1!A:A), INDEX(Sheet1!A:A, ROW()),
INDEX(Sheet4!A:A, ROW()-COUNTA(Sheet1!A:A)))</f>
        <v>Al11.491Cr15.123Fe14.512Co28.594Ni30.28</v>
      </c>
      <c r="B106" s="10">
        <f>_xlfn.XLOOKUP(A106, Sheet4!A:A, Sheet4!C:C)</f>
        <v>0</v>
      </c>
      <c r="C106" s="10">
        <v>-1</v>
      </c>
      <c r="D106" s="10">
        <f>_xlfn.XLOOKUP(A106, Sheet2!A:A, Sheet2!B:B)</f>
        <v>8.0145</v>
      </c>
      <c r="E106" s="10">
        <f>_xlfn.XLOOKUP(A106, Sheet1!A:A, Sheet1!G:G)</f>
        <v>-1</v>
      </c>
      <c r="F106" s="10">
        <f t="shared" si="1"/>
        <v>-1</v>
      </c>
      <c r="G106" cm="1">
        <f t="array" ref="G106:J106">_xlfn.XLOOKUP(A106, Sheet1!A:A, Sheet1!C:F)</f>
        <v>25.831</v>
      </c>
      <c r="H106">
        <v>14.702999999999999</v>
      </c>
      <c r="I106">
        <v>20.684999999999999</v>
      </c>
      <c r="J106">
        <v>27.341000000000001</v>
      </c>
    </row>
    <row r="107" spans="1:10" x14ac:dyDescent="0.3">
      <c r="A107" t="str" cm="1">
        <f t="array" ref="A107">IF(ROW()&lt;=COUNTA(Sheet1!A:A), INDEX(Sheet1!A:A, ROW()),
INDEX(Sheet4!A:A, ROW()-COUNTA(Sheet1!A:A)))</f>
        <v>Al11.5Cr14.9Fe19.6Co23.9Ni30.1</v>
      </c>
      <c r="B107" s="10">
        <f>_xlfn.XLOOKUP(A107, Sheet4!A:A, Sheet4!C:C)</f>
        <v>0</v>
      </c>
      <c r="C107" s="10">
        <v>-1</v>
      </c>
      <c r="D107" s="10">
        <f>_xlfn.XLOOKUP(A107, Sheet2!A:A, Sheet2!B:B)</f>
        <v>7.968</v>
      </c>
      <c r="E107" s="10">
        <f>_xlfn.XLOOKUP(A107, Sheet1!A:A, Sheet1!G:G)</f>
        <v>-1</v>
      </c>
      <c r="F107" s="10">
        <f t="shared" si="1"/>
        <v>-1</v>
      </c>
      <c r="G107" cm="1">
        <f t="array" ref="G107:J107">_xlfn.XLOOKUP(A107, Sheet1!A:A, Sheet1!C:F)</f>
        <v>29.632000000000001</v>
      </c>
      <c r="H107">
        <v>15.286</v>
      </c>
      <c r="I107">
        <v>12.225</v>
      </c>
      <c r="J107">
        <v>31.382000000000001</v>
      </c>
    </row>
    <row r="108" spans="1:10" x14ac:dyDescent="0.3">
      <c r="A108" t="str" cm="1">
        <f t="array" ref="A108">IF(ROW()&lt;=COUNTA(Sheet1!A:A), INDEX(Sheet1!A:A, ROW()),
INDEX(Sheet4!A:A, ROW()-COUNTA(Sheet1!A:A)))</f>
        <v>Al11.5Cr15.1Fe14.5Co28.6Ni30.3</v>
      </c>
      <c r="B108" s="10">
        <f>_xlfn.XLOOKUP(A108, Sheet4!A:A, Sheet4!C:C)</f>
        <v>0</v>
      </c>
      <c r="C108" s="10">
        <v>-1</v>
      </c>
      <c r="D108" s="10">
        <f>_xlfn.XLOOKUP(A108, Sheet2!A:A, Sheet2!B:B)</f>
        <v>8.0150000000000006</v>
      </c>
      <c r="E108" s="10">
        <f>_xlfn.XLOOKUP(A108, Sheet1!A:A, Sheet1!G:G)</f>
        <v>-1</v>
      </c>
      <c r="F108" s="10">
        <f t="shared" si="1"/>
        <v>-1</v>
      </c>
      <c r="G108" cm="1">
        <f t="array" ref="G108:J108">_xlfn.XLOOKUP(A108, Sheet1!A:A, Sheet1!C:F)</f>
        <v>30.599</v>
      </c>
      <c r="H108">
        <v>15.195</v>
      </c>
      <c r="I108">
        <v>10.194000000000001</v>
      </c>
      <c r="J108">
        <v>32.523000000000003</v>
      </c>
    </row>
    <row r="109" spans="1:10" x14ac:dyDescent="0.3">
      <c r="A109" t="str" cm="1">
        <f t="array" ref="A109">IF(ROW()&lt;=COUNTA(Sheet1!A:A), INDEX(Sheet1!A:A, ROW()),
INDEX(Sheet4!A:A, ROW()-COUNTA(Sheet1!A:A)))</f>
        <v>Al11.5Cr15.3Fe12.2Co29.6Ni31.4</v>
      </c>
      <c r="B109" s="10">
        <f>_xlfn.XLOOKUP(A109, Sheet4!A:A, Sheet4!C:C)</f>
        <v>0</v>
      </c>
      <c r="C109" s="10">
        <v>-1</v>
      </c>
      <c r="D109" s="10">
        <f>_xlfn.XLOOKUP(A109, Sheet2!A:A, Sheet2!B:B)</f>
        <v>8.0429999999999993</v>
      </c>
      <c r="E109" s="10">
        <f>_xlfn.XLOOKUP(A109, Sheet1!A:A, Sheet1!G:G)</f>
        <v>-1</v>
      </c>
      <c r="F109" s="10">
        <f t="shared" si="1"/>
        <v>-1</v>
      </c>
      <c r="G109" cm="1">
        <f t="array" ref="G109:J109">_xlfn.XLOOKUP(A109, Sheet1!A:A, Sheet1!C:F)</f>
        <v>23.856000000000002</v>
      </c>
      <c r="H109">
        <v>14.887</v>
      </c>
      <c r="I109">
        <v>19.629000000000001</v>
      </c>
      <c r="J109">
        <v>30.138000000000002</v>
      </c>
    </row>
    <row r="110" spans="1:10" x14ac:dyDescent="0.3">
      <c r="A110" t="str" cm="1">
        <f t="array" ref="A110">IF(ROW()&lt;=COUNTA(Sheet1!A:A), INDEX(Sheet1!A:A, ROW()),
INDEX(Sheet4!A:A, ROW()-COUNTA(Sheet1!A:A)))</f>
        <v>Al11.5Cr15.2Fe10.2Co30.6Ni32.5</v>
      </c>
      <c r="B110" s="10">
        <f>_xlfn.XLOOKUP(A110, Sheet4!A:A, Sheet4!C:C)</f>
        <v>0</v>
      </c>
      <c r="C110" s="10">
        <v>-1</v>
      </c>
      <c r="D110" s="10">
        <f>_xlfn.XLOOKUP(A110, Sheet2!A:A, Sheet2!B:B)</f>
        <v>8.077</v>
      </c>
      <c r="E110" s="10">
        <f>_xlfn.XLOOKUP(A110, Sheet1!A:A, Sheet1!G:G)</f>
        <v>-1</v>
      </c>
      <c r="F110" s="10">
        <f t="shared" si="1"/>
        <v>-1</v>
      </c>
      <c r="G110" cm="1">
        <f t="array" ref="G110:J110">_xlfn.XLOOKUP(A110, Sheet1!A:A, Sheet1!C:F)</f>
        <v>28.594000000000001</v>
      </c>
      <c r="H110">
        <v>15.122999999999999</v>
      </c>
      <c r="I110">
        <v>14.512</v>
      </c>
      <c r="J110">
        <v>30.28</v>
      </c>
    </row>
    <row r="111" spans="1:10" x14ac:dyDescent="0.3">
      <c r="A111" t="str" cm="1">
        <f t="array" ref="A111">IF(ROW()&lt;=COUNTA(Sheet1!A:A), INDEX(Sheet1!A:A, ROW()),
INDEX(Sheet4!A:A, ROW()-COUNTA(Sheet1!A:A)))</f>
        <v>Al11.5Cr15Fe8.6Co31.7Ni33.2</v>
      </c>
      <c r="B111" s="10">
        <f>_xlfn.XLOOKUP(A111, Sheet4!A:A, Sheet4!C:C)</f>
        <v>0</v>
      </c>
      <c r="C111" s="10">
        <v>-1</v>
      </c>
      <c r="D111" s="10">
        <f>_xlfn.XLOOKUP(A111, Sheet2!A:A, Sheet2!B:B)</f>
        <v>8.1059999999999999</v>
      </c>
      <c r="E111" s="10">
        <f>_xlfn.XLOOKUP(A111, Sheet1!A:A, Sheet1!G:G)</f>
        <v>-1</v>
      </c>
      <c r="F111" s="10">
        <f t="shared" si="1"/>
        <v>-1</v>
      </c>
      <c r="G111" cm="1">
        <f t="array" ref="G111:J111">_xlfn.XLOOKUP(A111, Sheet1!A:A, Sheet1!C:F)</f>
        <v>23.9</v>
      </c>
      <c r="H111">
        <v>14.9</v>
      </c>
      <c r="I111">
        <v>19.600000000000001</v>
      </c>
      <c r="J111">
        <v>30.1</v>
      </c>
    </row>
    <row r="112" spans="1:10" x14ac:dyDescent="0.3">
      <c r="A112" t="str" cm="1">
        <f t="array" ref="A112">IF(ROW()&lt;=COUNTA(Sheet1!A:A), INDEX(Sheet1!A:A, ROW()),
INDEX(Sheet4!A:A, ROW()-COUNTA(Sheet1!A:A)))</f>
        <v>Al11.513Cr14.988Fe8.6088Co31.739Ni33.151</v>
      </c>
      <c r="B112" s="10">
        <f>_xlfn.XLOOKUP(A112, Sheet4!A:A, Sheet4!C:C)</f>
        <v>0</v>
      </c>
      <c r="C112" s="10">
        <v>-1</v>
      </c>
      <c r="D112" s="10">
        <f>_xlfn.XLOOKUP(A112, Sheet2!A:A, Sheet2!B:B)</f>
        <v>8.1050000000000004</v>
      </c>
      <c r="E112" s="10">
        <f>_xlfn.XLOOKUP(A112, Sheet1!A:A, Sheet1!G:G)</f>
        <v>-1</v>
      </c>
      <c r="F112" s="10">
        <f t="shared" si="1"/>
        <v>-1</v>
      </c>
      <c r="G112" cm="1">
        <f t="array" ref="G112:J112">_xlfn.XLOOKUP(A112, Sheet1!A:A, Sheet1!C:F)</f>
        <v>28.6</v>
      </c>
      <c r="H112">
        <v>15.1</v>
      </c>
      <c r="I112">
        <v>14.5</v>
      </c>
      <c r="J112">
        <v>30.3</v>
      </c>
    </row>
    <row r="113" spans="1:10" x14ac:dyDescent="0.3">
      <c r="A113" t="str" cm="1">
        <f t="array" ref="A113">IF(ROW()&lt;=COUNTA(Sheet1!A:A), INDEX(Sheet1!A:A, ROW()),
INDEX(Sheet4!A:A, ROW()-COUNTA(Sheet1!A:A)))</f>
        <v>Al11.579Cr14.938Fe17.222Co27.304Ni28.957</v>
      </c>
      <c r="B113" s="10">
        <f>_xlfn.XLOOKUP(A113, Sheet4!A:A, Sheet4!C:C)</f>
        <v>0</v>
      </c>
      <c r="C113" s="10">
        <v>-1</v>
      </c>
      <c r="D113" s="10">
        <f>_xlfn.XLOOKUP(A113, Sheet2!A:A, Sheet2!B:B)</f>
        <v>7.9744999999999999</v>
      </c>
      <c r="E113" s="10">
        <f>_xlfn.XLOOKUP(A113, Sheet1!A:A, Sheet1!G:G)</f>
        <v>-1</v>
      </c>
      <c r="F113" s="10">
        <f t="shared" si="1"/>
        <v>-1</v>
      </c>
      <c r="G113" cm="1">
        <f t="array" ref="G113:J113">_xlfn.XLOOKUP(A113, Sheet1!A:A, Sheet1!C:F)</f>
        <v>29.6</v>
      </c>
      <c r="H113">
        <v>15.3</v>
      </c>
      <c r="I113">
        <v>12.2</v>
      </c>
      <c r="J113">
        <v>31.4</v>
      </c>
    </row>
    <row r="114" spans="1:10" x14ac:dyDescent="0.3">
      <c r="A114" t="str" cm="1">
        <f t="array" ref="A114">IF(ROW()&lt;=COUNTA(Sheet1!A:A), INDEX(Sheet1!A:A, ROW()),
INDEX(Sheet4!A:A, ROW()-COUNTA(Sheet1!A:A)))</f>
        <v>Al11.6Cr14.9Fe17.2Co27.3Ni29</v>
      </c>
      <c r="B114" s="10">
        <f>_xlfn.XLOOKUP(A114, Sheet4!A:A, Sheet4!C:C)</f>
        <v>0</v>
      </c>
      <c r="C114" s="10">
        <v>-1</v>
      </c>
      <c r="D114" s="10">
        <f>_xlfn.XLOOKUP(A114, Sheet2!A:A, Sheet2!B:B)</f>
        <v>7.9749999999999996</v>
      </c>
      <c r="E114" s="10">
        <f>_xlfn.XLOOKUP(A114, Sheet1!A:A, Sheet1!G:G)</f>
        <v>-1</v>
      </c>
      <c r="F114" s="10">
        <f t="shared" si="1"/>
        <v>-1</v>
      </c>
      <c r="G114" cm="1">
        <f t="array" ref="G114:J114">_xlfn.XLOOKUP(A114, Sheet1!A:A, Sheet1!C:F)</f>
        <v>30.6</v>
      </c>
      <c r="H114">
        <v>15.2</v>
      </c>
      <c r="I114">
        <v>10.199999999999999</v>
      </c>
      <c r="J114">
        <v>32.5</v>
      </c>
    </row>
    <row r="115" spans="1:10" x14ac:dyDescent="0.3">
      <c r="A115" t="str" cm="1">
        <f t="array" ref="A115">IF(ROW()&lt;=COUNTA(Sheet1!A:A), INDEX(Sheet1!A:A, ROW()),
INDEX(Sheet4!A:A, ROW()-COUNTA(Sheet1!A:A)))</f>
        <v>Al11.765Cr14.973Fe33.455Co19.129Ni20.678</v>
      </c>
      <c r="B115" s="10">
        <f>_xlfn.XLOOKUP(A115, Sheet4!A:A, Sheet4!C:C)</f>
        <v>0</v>
      </c>
      <c r="C115" s="10">
        <v>-1</v>
      </c>
      <c r="D115" s="10">
        <f>_xlfn.XLOOKUP(A115, Sheet2!A:A, Sheet2!B:B)</f>
        <v>7.7171000000000003</v>
      </c>
      <c r="E115" s="10">
        <f>_xlfn.XLOOKUP(A115, Sheet1!A:A, Sheet1!G:G)</f>
        <v>-1</v>
      </c>
      <c r="F115" s="10">
        <f t="shared" si="1"/>
        <v>-1</v>
      </c>
      <c r="G115" cm="1">
        <f t="array" ref="G115:J115">_xlfn.XLOOKUP(A115, Sheet1!A:A, Sheet1!C:F)</f>
        <v>31.7</v>
      </c>
      <c r="H115">
        <v>15</v>
      </c>
      <c r="I115">
        <v>8.6</v>
      </c>
      <c r="J115">
        <v>33.200000000000003</v>
      </c>
    </row>
    <row r="116" spans="1:10" x14ac:dyDescent="0.3">
      <c r="A116" t="str" cm="1">
        <f t="array" ref="A116">IF(ROW()&lt;=COUNTA(Sheet1!A:A), INDEX(Sheet1!A:A, ROW()),
INDEX(Sheet4!A:A, ROW()-COUNTA(Sheet1!A:A)))</f>
        <v>Al11.8Cr15Fe33.5Co19.1Ni20.7</v>
      </c>
      <c r="B116" s="10">
        <f>_xlfn.XLOOKUP(A116, Sheet4!A:A, Sheet4!C:C)</f>
        <v>0</v>
      </c>
      <c r="C116" s="10">
        <v>-1</v>
      </c>
      <c r="D116" s="10">
        <f>_xlfn.XLOOKUP(A116, Sheet2!A:A, Sheet2!B:B)</f>
        <v>7.7153</v>
      </c>
      <c r="E116" s="10">
        <f>_xlfn.XLOOKUP(A116, Sheet1!A:A, Sheet1!G:G)</f>
        <v>-1</v>
      </c>
      <c r="F116" s="10">
        <f t="shared" si="1"/>
        <v>-1</v>
      </c>
      <c r="G116" cm="1">
        <f t="array" ref="G116:J116">_xlfn.XLOOKUP(A116, Sheet1!A:A, Sheet1!C:F)</f>
        <v>31.739000000000001</v>
      </c>
      <c r="H116">
        <v>14.988</v>
      </c>
      <c r="I116">
        <v>8.6088000000000005</v>
      </c>
      <c r="J116">
        <v>33.151000000000003</v>
      </c>
    </row>
    <row r="117" spans="1:10" x14ac:dyDescent="0.3">
      <c r="A117" t="str" cm="1">
        <f t="array" ref="A117">IF(ROW()&lt;=COUNTA(Sheet1!A:A), INDEX(Sheet1!A:A, ROW()),
INDEX(Sheet4!A:A, ROW()-COUNTA(Sheet1!A:A)))</f>
        <v>Al0.7CoCrFeNi2.1</v>
      </c>
      <c r="B117" s="10">
        <f>_xlfn.XLOOKUP(A117, Sheet4!A:A, Sheet4!C:C)</f>
        <v>0</v>
      </c>
      <c r="C117" s="10">
        <v>-1</v>
      </c>
      <c r="D117" s="10">
        <f>_xlfn.XLOOKUP(A117, Sheet2!A:A, Sheet2!B:B)</f>
        <v>7.9482999999999997</v>
      </c>
      <c r="E117" s="10">
        <f>_xlfn.XLOOKUP(A117, Sheet1!A:A, Sheet1!G:G)</f>
        <v>-1</v>
      </c>
      <c r="F117" s="10">
        <f t="shared" si="1"/>
        <v>-1</v>
      </c>
      <c r="G117" cm="1">
        <f t="array" ref="G117:J117">_xlfn.XLOOKUP(A117, Sheet1!A:A, Sheet1!C:F)</f>
        <v>27.303999999999998</v>
      </c>
      <c r="H117">
        <v>14.938000000000001</v>
      </c>
      <c r="I117">
        <v>17.222000000000001</v>
      </c>
      <c r="J117">
        <v>28.957000000000001</v>
      </c>
    </row>
    <row r="118" spans="1:10" x14ac:dyDescent="0.3">
      <c r="A118" t="str" cm="1">
        <f t="array" ref="A118">IF(ROW()&lt;=COUNTA(Sheet1!A:A), INDEX(Sheet1!A:A, ROW()),
INDEX(Sheet4!A:A, ROW()-COUNTA(Sheet1!A:A)))</f>
        <v>Al0.7CoCrFe2Ni</v>
      </c>
      <c r="B118" s="10">
        <f>_xlfn.XLOOKUP(A118, Sheet4!A:A, Sheet4!C:C)</f>
        <v>0</v>
      </c>
      <c r="C118" s="10">
        <v>-1</v>
      </c>
      <c r="D118" s="10">
        <f>_xlfn.XLOOKUP(A118, Sheet2!A:A, Sheet2!B:B)</f>
        <v>7.5613999999999999</v>
      </c>
      <c r="E118" s="10">
        <f>_xlfn.XLOOKUP(A118, Sheet1!A:A, Sheet1!G:G)</f>
        <v>-1</v>
      </c>
      <c r="F118" s="10">
        <f t="shared" si="1"/>
        <v>-1</v>
      </c>
      <c r="G118" cm="1">
        <f t="array" ref="G118:J118">_xlfn.XLOOKUP(A118, Sheet1!A:A, Sheet1!C:F)</f>
        <v>27.3</v>
      </c>
      <c r="H118">
        <v>14.9</v>
      </c>
      <c r="I118">
        <v>17.2</v>
      </c>
      <c r="J118">
        <v>29</v>
      </c>
    </row>
    <row r="119" spans="1:10" x14ac:dyDescent="0.3">
      <c r="A119" t="str" cm="1">
        <f t="array" ref="A119">IF(ROW()&lt;=COUNTA(Sheet1!A:A), INDEX(Sheet1!A:A, ROW()),
INDEX(Sheet4!A:A, ROW()-COUNTA(Sheet1!A:A)))</f>
        <v>Al0.7Ni1Co1Fe1.5Cr1.5</v>
      </c>
      <c r="B119" s="10">
        <f>_xlfn.XLOOKUP(A119, Sheet4!A:A, Sheet4!C:C)</f>
        <v>0</v>
      </c>
      <c r="C119" s="10">
        <v>-1</v>
      </c>
      <c r="D119" s="10">
        <f>_xlfn.XLOOKUP(A119, Sheet2!A:A, Sheet2!B:B)</f>
        <v>7.3860000000000001</v>
      </c>
      <c r="E119" s="10">
        <f>_xlfn.XLOOKUP(A119, Sheet1!A:A, Sheet1!G:G)</f>
        <v>-1</v>
      </c>
      <c r="F119" s="10">
        <f t="shared" si="1"/>
        <v>-1</v>
      </c>
      <c r="G119" cm="1">
        <f t="array" ref="G119:J119">_xlfn.XLOOKUP(A119, Sheet1!A:A, Sheet1!C:F)</f>
        <v>19.129000000000001</v>
      </c>
      <c r="H119">
        <v>14.973000000000001</v>
      </c>
      <c r="I119">
        <v>33.454999999999998</v>
      </c>
      <c r="J119">
        <v>20.678000000000001</v>
      </c>
    </row>
    <row r="120" spans="1:10" x14ac:dyDescent="0.3">
      <c r="A120" t="str" cm="1">
        <f t="array" ref="A120">IF(ROW()&lt;=COUNTA(Sheet1!A:A), INDEX(Sheet1!A:A, ROW()),
INDEX(Sheet4!A:A, ROW()-COUNTA(Sheet1!A:A)))</f>
        <v>Al0.7Ni1Co1Fe1Cr2</v>
      </c>
      <c r="B120" s="10">
        <f>_xlfn.XLOOKUP(A120, Sheet4!A:A, Sheet4!C:C)</f>
        <v>0</v>
      </c>
      <c r="C120" s="10">
        <v>-1</v>
      </c>
      <c r="D120" s="10">
        <f>_xlfn.XLOOKUP(A120, Sheet2!A:A, Sheet2!B:B)</f>
        <v>7.2104999999999997</v>
      </c>
      <c r="E120" s="10">
        <f>_xlfn.XLOOKUP(A120, Sheet1!A:A, Sheet1!G:G)</f>
        <v>-1</v>
      </c>
      <c r="F120" s="10">
        <f t="shared" si="1"/>
        <v>-1</v>
      </c>
      <c r="G120" cm="1">
        <f t="array" ref="G120:J120">_xlfn.XLOOKUP(A120, Sheet1!A:A, Sheet1!C:F)</f>
        <v>19.100000000000001</v>
      </c>
      <c r="H120">
        <v>15</v>
      </c>
      <c r="I120">
        <v>33.5</v>
      </c>
      <c r="J120">
        <v>20.7</v>
      </c>
    </row>
    <row r="121" spans="1:10" x14ac:dyDescent="0.3">
      <c r="A121" t="str" cm="1">
        <f t="array" ref="A121">IF(ROW()&lt;=COUNTA(Sheet1!A:A), INDEX(Sheet1!A:A, ROW()),
INDEX(Sheet4!A:A, ROW()-COUNTA(Sheet1!A:A)))</f>
        <v>Al12.3Cr15.7Fe28.6Co20.9Ni22.5</v>
      </c>
      <c r="B121" s="10">
        <f>_xlfn.XLOOKUP(A121, Sheet4!A:A, Sheet4!C:C)</f>
        <v>0</v>
      </c>
      <c r="C121" s="10">
        <v>-1</v>
      </c>
      <c r="D121" s="10">
        <f>_xlfn.XLOOKUP(A121, Sheet2!A:A, Sheet2!B:B)</f>
        <v>7.73</v>
      </c>
      <c r="E121" s="10">
        <f>_xlfn.XLOOKUP(A121, Sheet1!A:A, Sheet1!G:G)</f>
        <v>-1</v>
      </c>
      <c r="F121" s="10">
        <f t="shared" si="1"/>
        <v>-1</v>
      </c>
      <c r="G121" cm="1">
        <f t="array" ref="G121:J121">_xlfn.XLOOKUP(A121, Sheet1!A:A, Sheet1!C:F)</f>
        <v>17.241379309999999</v>
      </c>
      <c r="H121">
        <v>17.241379309999999</v>
      </c>
      <c r="I121">
        <v>17.241379309999999</v>
      </c>
      <c r="J121">
        <v>36.206896550000003</v>
      </c>
    </row>
    <row r="122" spans="1:10" x14ac:dyDescent="0.3">
      <c r="A122" t="str" cm="1">
        <f t="array" ref="A122">IF(ROW()&lt;=COUNTA(Sheet1!A:A), INDEX(Sheet1!A:A, ROW()),
INDEX(Sheet4!A:A, ROW()-COUNTA(Sheet1!A:A)))</f>
        <v>Al12.321Cr15.674Fe28.606Co20.923Ni22.476</v>
      </c>
      <c r="B122" s="10">
        <f>_xlfn.XLOOKUP(A122, Sheet4!A:A, Sheet4!C:C)</f>
        <v>0</v>
      </c>
      <c r="C122" s="10">
        <v>-1</v>
      </c>
      <c r="D122" s="10">
        <f>_xlfn.XLOOKUP(A122, Sheet2!A:A, Sheet2!B:B)</f>
        <v>7.7291999999999996</v>
      </c>
      <c r="E122" s="10">
        <f>_xlfn.XLOOKUP(A122, Sheet1!A:A, Sheet1!G:G)</f>
        <v>-1</v>
      </c>
      <c r="F122" s="10">
        <f t="shared" si="1"/>
        <v>-1</v>
      </c>
      <c r="G122" cm="1">
        <f t="array" ref="G122:J122">_xlfn.XLOOKUP(A122, Sheet1!A:A, Sheet1!C:F)</f>
        <v>17.543859650000002</v>
      </c>
      <c r="H122">
        <v>17.543859650000002</v>
      </c>
      <c r="I122">
        <v>35.087719300000003</v>
      </c>
      <c r="J122">
        <v>17.543859650000002</v>
      </c>
    </row>
    <row r="123" spans="1:10" x14ac:dyDescent="0.3">
      <c r="A123" t="str" cm="1">
        <f t="array" ref="A123">IF(ROW()&lt;=COUNTA(Sheet1!A:A), INDEX(Sheet1!A:A, ROW()),
INDEX(Sheet4!A:A, ROW()-COUNTA(Sheet1!A:A)))</f>
        <v>Al12.356Cr20.148Fe27.111Co17.769Ni22.616</v>
      </c>
      <c r="B123" s="10">
        <f>_xlfn.XLOOKUP(A123, Sheet4!A:A, Sheet4!C:C)</f>
        <v>0</v>
      </c>
      <c r="C123" s="10">
        <v>-1</v>
      </c>
      <c r="D123" s="10">
        <f>_xlfn.XLOOKUP(A123, Sheet2!A:A, Sheet2!B:B)</f>
        <v>7.6092000000000004</v>
      </c>
      <c r="E123" s="10">
        <f>_xlfn.XLOOKUP(A123, Sheet1!A:A, Sheet1!G:G)</f>
        <v>-1</v>
      </c>
      <c r="F123" s="10">
        <f t="shared" si="1"/>
        <v>-1</v>
      </c>
      <c r="G123" cm="1">
        <f t="array" ref="G123:J123">_xlfn.XLOOKUP(A123, Sheet1!A:A, Sheet1!C:F)</f>
        <v>17.543859650000002</v>
      </c>
      <c r="H123">
        <v>26.315789469999999</v>
      </c>
      <c r="I123">
        <v>26.315789469999999</v>
      </c>
      <c r="J123">
        <v>17.543859650000002</v>
      </c>
    </row>
    <row r="124" spans="1:10" x14ac:dyDescent="0.3">
      <c r="A124" t="str" cm="1">
        <f t="array" ref="A124">IF(ROW()&lt;=COUNTA(Sheet1!A:A), INDEX(Sheet1!A:A, ROW()),
INDEX(Sheet4!A:A, ROW()-COUNTA(Sheet1!A:A)))</f>
        <v>Al12.4Cr20.1Fe27.1Co17.8Ni22.6</v>
      </c>
      <c r="B124" s="10">
        <f>_xlfn.XLOOKUP(A124, Sheet4!A:A, Sheet4!C:C)</f>
        <v>0</v>
      </c>
      <c r="C124" s="10">
        <v>-1</v>
      </c>
      <c r="D124" s="10">
        <f>_xlfn.XLOOKUP(A124, Sheet2!A:A, Sheet2!B:B)</f>
        <v>7.6079999999999997</v>
      </c>
      <c r="E124" s="10">
        <f>_xlfn.XLOOKUP(A124, Sheet1!A:A, Sheet1!G:G)</f>
        <v>-1</v>
      </c>
      <c r="F124" s="10">
        <f t="shared" si="1"/>
        <v>-1</v>
      </c>
      <c r="G124" cm="1">
        <f t="array" ref="G124:J124">_xlfn.XLOOKUP(A124, Sheet1!A:A, Sheet1!C:F)</f>
        <v>17.543859650000002</v>
      </c>
      <c r="H124">
        <v>35.087719300000003</v>
      </c>
      <c r="I124">
        <v>17.543859650000002</v>
      </c>
      <c r="J124">
        <v>17.543859650000002</v>
      </c>
    </row>
    <row r="125" spans="1:10" x14ac:dyDescent="0.3">
      <c r="A125" t="str" cm="1">
        <f t="array" ref="A125">IF(ROW()&lt;=COUNTA(Sheet1!A:A), INDEX(Sheet1!A:A, ROW()),
INDEX(Sheet4!A:A, ROW()-COUNTA(Sheet1!A:A)))</f>
        <v>Al0.57NiCoFeCr</v>
      </c>
      <c r="B125" s="10">
        <f>_xlfn.XLOOKUP(A125, Sheet4!A:A, Sheet4!C:C)</f>
        <v>0</v>
      </c>
      <c r="C125" s="10">
        <v>-1</v>
      </c>
      <c r="D125" s="10">
        <f>_xlfn.XLOOKUP(A125, Sheet2!A:A, Sheet2!B:B)</f>
        <v>7.5952000000000002</v>
      </c>
      <c r="E125" s="10">
        <f>_xlfn.XLOOKUP(A125, Sheet1!A:A, Sheet1!G:G)</f>
        <v>-1</v>
      </c>
      <c r="F125" s="10">
        <f t="shared" si="1"/>
        <v>-1</v>
      </c>
      <c r="G125" cm="1">
        <f t="array" ref="G125:J125">_xlfn.XLOOKUP(A125, Sheet1!A:A, Sheet1!C:F)</f>
        <v>20.9</v>
      </c>
      <c r="H125">
        <v>15.7</v>
      </c>
      <c r="I125">
        <v>28.6</v>
      </c>
      <c r="J125">
        <v>22.5</v>
      </c>
    </row>
    <row r="126" spans="1:10" x14ac:dyDescent="0.3">
      <c r="A126" t="str" cm="1">
        <f t="array" ref="A126">IF(ROW()&lt;=COUNTA(Sheet1!A:A), INDEX(Sheet1!A:A, ROW()),
INDEX(Sheet4!A:A, ROW()-COUNTA(Sheet1!A:A)))</f>
        <v>Al12.5Ni21.88Co21.88Fe21.88Cr21.88</v>
      </c>
      <c r="B126" s="10" t="str">
        <f>_xlfn.XLOOKUP(A126, Sheet4!A:A, Sheet4!C:C)</f>
        <v>FCC+BCC</v>
      </c>
      <c r="C126" s="10">
        <v>-1</v>
      </c>
      <c r="D126" s="10">
        <f>_xlfn.XLOOKUP(A126, Sheet2!A:A, Sheet2!B:B)</f>
        <v>7.5938999999999997</v>
      </c>
      <c r="E126" s="10">
        <f>_xlfn.XLOOKUP(A126, Sheet1!A:A, Sheet1!G:G)</f>
        <v>-1</v>
      </c>
      <c r="F126" s="10">
        <f t="shared" si="1"/>
        <v>-1</v>
      </c>
      <c r="G126" cm="1">
        <f t="array" ref="G126:J126">_xlfn.XLOOKUP(A126, Sheet1!A:A, Sheet1!C:F)</f>
        <v>20.922999999999998</v>
      </c>
      <c r="H126">
        <v>15.673999999999999</v>
      </c>
      <c r="I126">
        <v>28.606000000000002</v>
      </c>
      <c r="J126">
        <v>22.475999999999999</v>
      </c>
    </row>
    <row r="127" spans="1:10" x14ac:dyDescent="0.3">
      <c r="A127" t="str" cm="1">
        <f t="array" ref="A127">IF(ROW()&lt;=COUNTA(Sheet1!A:A), INDEX(Sheet1!A:A, ROW()),
INDEX(Sheet4!A:A, ROW()-COUNTA(Sheet1!A:A)))</f>
        <v>AlCoCrFeNi4</v>
      </c>
      <c r="B127" s="10">
        <f>_xlfn.XLOOKUP(A127, Sheet4!A:A, Sheet4!C:C)</f>
        <v>0</v>
      </c>
      <c r="C127" s="10">
        <v>-1</v>
      </c>
      <c r="D127" s="10">
        <f>_xlfn.XLOOKUP(A127, Sheet2!A:A, Sheet2!B:B)</f>
        <v>8.25</v>
      </c>
      <c r="E127" s="10">
        <f>_xlfn.XLOOKUP(A127, Sheet1!A:A, Sheet1!G:G)</f>
        <v>-1</v>
      </c>
      <c r="F127" s="10">
        <f t="shared" si="1"/>
        <v>-1</v>
      </c>
      <c r="G127" cm="1">
        <f t="array" ref="G127:J127">_xlfn.XLOOKUP(A127, Sheet1!A:A, Sheet1!C:F)</f>
        <v>17.768999999999998</v>
      </c>
      <c r="H127">
        <v>20.148</v>
      </c>
      <c r="I127">
        <v>27.111000000000001</v>
      </c>
      <c r="J127">
        <v>22.616</v>
      </c>
    </row>
    <row r="128" spans="1:10" x14ac:dyDescent="0.3">
      <c r="A128" t="str" cm="1">
        <f t="array" ref="A128">IF(ROW()&lt;=COUNTA(Sheet1!A:A), INDEX(Sheet1!A:A, ROW()),
INDEX(Sheet4!A:A, ROW()-COUNTA(Sheet1!A:A)))</f>
        <v>Al12.5Ni17.5Co17.5Fe26.25Cr26.25</v>
      </c>
      <c r="B128" s="10">
        <f>_xlfn.XLOOKUP(A128, Sheet4!A:A, Sheet4!C:C)</f>
        <v>0</v>
      </c>
      <c r="C128" s="10">
        <v>-1</v>
      </c>
      <c r="D128" s="10">
        <f>_xlfn.XLOOKUP(A128, Sheet2!A:A, Sheet2!B:B)</f>
        <v>7.375</v>
      </c>
      <c r="E128" s="10">
        <f>_xlfn.XLOOKUP(A128, Sheet1!A:A, Sheet1!G:G)</f>
        <v>-1</v>
      </c>
      <c r="F128" s="10">
        <f t="shared" si="1"/>
        <v>-1</v>
      </c>
      <c r="G128" cm="1">
        <f t="array" ref="G128:J128">_xlfn.XLOOKUP(A128, Sheet1!A:A, Sheet1!C:F)</f>
        <v>17.8</v>
      </c>
      <c r="H128">
        <v>20.100000000000001</v>
      </c>
      <c r="I128">
        <v>27.1</v>
      </c>
      <c r="J128">
        <v>22.6</v>
      </c>
    </row>
    <row r="129" spans="1:10" x14ac:dyDescent="0.3">
      <c r="A129" t="str" cm="1">
        <f t="array" ref="A129">IF(ROW()&lt;=COUNTA(Sheet1!A:A), INDEX(Sheet1!A:A, ROW()),
INDEX(Sheet4!A:A, ROW()-COUNTA(Sheet1!A:A)))</f>
        <v>Al12.5Ni17.5Co17.5Fe17.5Cr35</v>
      </c>
      <c r="B129" s="10">
        <f>_xlfn.XLOOKUP(A129, Sheet4!A:A, Sheet4!C:C)</f>
        <v>0</v>
      </c>
      <c r="C129" s="10">
        <v>-1</v>
      </c>
      <c r="D129" s="10">
        <f>_xlfn.XLOOKUP(A129, Sheet2!A:A, Sheet2!B:B)</f>
        <v>7.2</v>
      </c>
      <c r="E129" s="10">
        <f>_xlfn.XLOOKUP(A129, Sheet1!A:A, Sheet1!G:G)</f>
        <v>-1</v>
      </c>
      <c r="F129" s="10">
        <f t="shared" si="1"/>
        <v>-1</v>
      </c>
      <c r="G129" cm="1">
        <f t="array" ref="G129:J129">_xlfn.XLOOKUP(A129, Sheet1!A:A, Sheet1!C:F)</f>
        <v>21.881838070000001</v>
      </c>
      <c r="H129">
        <v>21.881838070000001</v>
      </c>
      <c r="I129">
        <v>21.881838070000001</v>
      </c>
      <c r="J129">
        <v>21.881838070000001</v>
      </c>
    </row>
    <row r="130" spans="1:10" x14ac:dyDescent="0.3">
      <c r="A130" t="str" cm="1">
        <f t="array" ref="A130">IF(ROW()&lt;=COUNTA(Sheet1!A:A), INDEX(Sheet1!A:A, ROW()),
INDEX(Sheet4!A:A, ROW()-COUNTA(Sheet1!A:A)))</f>
        <v>AlCo2Cr1.5Fe1.5Ni2</v>
      </c>
      <c r="B130" s="10">
        <f>_xlfn.XLOOKUP(A130, Sheet4!A:A, Sheet4!C:C)</f>
        <v>0</v>
      </c>
      <c r="C130" s="10">
        <v>-1</v>
      </c>
      <c r="D130" s="10">
        <f>_xlfn.XLOOKUP(A130, Sheet2!A:A, Sheet2!B:B)</f>
        <v>7.75</v>
      </c>
      <c r="E130" s="10">
        <f>_xlfn.XLOOKUP(A130, Sheet1!A:A, Sheet1!G:G)</f>
        <v>-1</v>
      </c>
      <c r="F130" s="10">
        <f t="shared" si="1"/>
        <v>-1</v>
      </c>
      <c r="G130" cm="1">
        <f t="array" ref="G130:J130">_xlfn.XLOOKUP(A130, Sheet1!A:A, Sheet1!C:F)</f>
        <v>21.88</v>
      </c>
      <c r="H130">
        <v>21.88</v>
      </c>
      <c r="I130">
        <v>21.88</v>
      </c>
      <c r="J130">
        <v>21.88</v>
      </c>
    </row>
    <row r="131" spans="1:10" x14ac:dyDescent="0.3">
      <c r="A131" t="str" cm="1">
        <f t="array" ref="A131">IF(ROW()&lt;=COUNTA(Sheet1!A:A), INDEX(Sheet1!A:A, ROW()),
INDEX(Sheet4!A:A, ROW()-COUNTA(Sheet1!A:A)))</f>
        <v>Al12.5Cr18.2Fe24.5Co19.6Ni25.1</v>
      </c>
      <c r="B131" s="10">
        <f>_xlfn.XLOOKUP(A131, Sheet4!A:A, Sheet4!C:C)</f>
        <v>0</v>
      </c>
      <c r="C131" s="10">
        <v>-1</v>
      </c>
      <c r="D131" s="10">
        <f>_xlfn.XLOOKUP(A131, Sheet2!A:A, Sheet2!B:B)</f>
        <v>7.7087000000000003</v>
      </c>
      <c r="E131" s="10">
        <f>_xlfn.XLOOKUP(A131, Sheet1!A:A, Sheet1!G:G)</f>
        <v>-1</v>
      </c>
      <c r="F131" s="10">
        <f t="shared" ref="F131:F194" si="2">IF(OR(C131=1, E131=1), 1,
   IF(OR(C131=0, E131=0), 0,
      -1))</f>
        <v>-1</v>
      </c>
      <c r="G131" cm="1">
        <f t="array" ref="G131:J131">_xlfn.XLOOKUP(A131, Sheet1!A:A, Sheet1!C:F)</f>
        <v>12.5</v>
      </c>
      <c r="H131">
        <v>12.5</v>
      </c>
      <c r="I131">
        <v>12.5</v>
      </c>
      <c r="J131">
        <v>50</v>
      </c>
    </row>
    <row r="132" spans="1:10" x14ac:dyDescent="0.3">
      <c r="A132" t="str" cm="1">
        <f t="array" ref="A132">IF(ROW()&lt;=COUNTA(Sheet1!A:A), INDEX(Sheet1!A:A, ROW()),
INDEX(Sheet4!A:A, ROW()-COUNTA(Sheet1!A:A)))</f>
        <v>Al12.547Cr18.203Fe24.47Co19.64Ni25.14</v>
      </c>
      <c r="B132" s="10">
        <f>_xlfn.XLOOKUP(A132, Sheet4!A:A, Sheet4!C:C)</f>
        <v>0</v>
      </c>
      <c r="C132" s="10">
        <v>-1</v>
      </c>
      <c r="D132" s="10">
        <f>_xlfn.XLOOKUP(A132, Sheet2!A:A, Sheet2!B:B)</f>
        <v>7.7077999999999998</v>
      </c>
      <c r="E132" s="10">
        <f>_xlfn.XLOOKUP(A132, Sheet1!A:A, Sheet1!G:G)</f>
        <v>-1</v>
      </c>
      <c r="F132" s="10">
        <f t="shared" si="2"/>
        <v>-1</v>
      </c>
      <c r="G132" cm="1">
        <f t="array" ref="G132:J132">_xlfn.XLOOKUP(A132, Sheet1!A:A, Sheet1!C:F)</f>
        <v>17.5</v>
      </c>
      <c r="H132">
        <v>26.25</v>
      </c>
      <c r="I132">
        <v>26.25</v>
      </c>
      <c r="J132">
        <v>17.5</v>
      </c>
    </row>
    <row r="133" spans="1:10" x14ac:dyDescent="0.3">
      <c r="A133" t="str" cm="1">
        <f t="array" ref="A133">IF(ROW()&lt;=COUNTA(Sheet1!A:A), INDEX(Sheet1!A:A, ROW()),
INDEX(Sheet4!A:A, ROW()-COUNTA(Sheet1!A:A)))</f>
        <v>Al12.6Cr15.9Fe38Co16.3Ni17.2</v>
      </c>
      <c r="B133" s="10">
        <f>_xlfn.XLOOKUP(A133, Sheet4!A:A, Sheet4!C:C)</f>
        <v>0</v>
      </c>
      <c r="C133" s="10">
        <v>-1</v>
      </c>
      <c r="D133" s="10">
        <f>_xlfn.XLOOKUP(A133, Sheet2!A:A, Sheet2!B:B)</f>
        <v>7.5590000000000002</v>
      </c>
      <c r="E133" s="10">
        <f>_xlfn.XLOOKUP(A133, Sheet1!A:A, Sheet1!G:G)</f>
        <v>-1</v>
      </c>
      <c r="F133" s="10">
        <f t="shared" si="2"/>
        <v>-1</v>
      </c>
      <c r="G133" cm="1">
        <f t="array" ref="G133:J133">_xlfn.XLOOKUP(A133, Sheet1!A:A, Sheet1!C:F)</f>
        <v>17.5</v>
      </c>
      <c r="H133">
        <v>35</v>
      </c>
      <c r="I133">
        <v>17.5</v>
      </c>
      <c r="J133">
        <v>17.5</v>
      </c>
    </row>
    <row r="134" spans="1:10" x14ac:dyDescent="0.3">
      <c r="A134" t="str" cm="1">
        <f t="array" ref="A134">IF(ROW()&lt;=COUNTA(Sheet1!A:A), INDEX(Sheet1!A:A, ROW()),
INDEX(Sheet4!A:A, ROW()-COUNTA(Sheet1!A:A)))</f>
        <v>Al12.607Cr15.905Fe37.986Co16.337Ni17.165</v>
      </c>
      <c r="B134" s="10">
        <f>_xlfn.XLOOKUP(A134, Sheet4!A:A, Sheet4!C:C)</f>
        <v>0</v>
      </c>
      <c r="C134" s="10">
        <v>-1</v>
      </c>
      <c r="D134" s="10">
        <f>_xlfn.XLOOKUP(A134, Sheet2!A:A, Sheet2!B:B)</f>
        <v>7.5582000000000003</v>
      </c>
      <c r="E134" s="10">
        <f>_xlfn.XLOOKUP(A134, Sheet1!A:A, Sheet1!G:G)</f>
        <v>-1</v>
      </c>
      <c r="F134" s="10">
        <f t="shared" si="2"/>
        <v>-1</v>
      </c>
      <c r="G134" cm="1">
        <f t="array" ref="G134:J134">_xlfn.XLOOKUP(A134, Sheet1!A:A, Sheet1!C:F)</f>
        <v>25</v>
      </c>
      <c r="H134">
        <v>18.75</v>
      </c>
      <c r="I134">
        <v>18.75</v>
      </c>
      <c r="J134">
        <v>25</v>
      </c>
    </row>
    <row r="135" spans="1:10" x14ac:dyDescent="0.3">
      <c r="A135" t="str" cm="1">
        <f t="array" ref="A135">IF(ROW()&lt;=COUNTA(Sheet1!A:A), INDEX(Sheet1!A:A, ROW()),
INDEX(Sheet4!A:A, ROW()-COUNTA(Sheet1!A:A)))</f>
        <v>Al12.8Cr16.5Fe22.2Co21.4Ni27.2</v>
      </c>
      <c r="B135" s="10">
        <f>_xlfn.XLOOKUP(A135, Sheet4!A:A, Sheet4!C:C)</f>
        <v>0</v>
      </c>
      <c r="C135" s="10">
        <v>-1</v>
      </c>
      <c r="D135" s="10">
        <f>_xlfn.XLOOKUP(A135, Sheet2!A:A, Sheet2!B:B)</f>
        <v>7.7881999999999998</v>
      </c>
      <c r="E135" s="10">
        <f>_xlfn.XLOOKUP(A135, Sheet1!A:A, Sheet1!G:G)</f>
        <v>-1</v>
      </c>
      <c r="F135" s="10">
        <f t="shared" si="2"/>
        <v>-1</v>
      </c>
      <c r="G135" cm="1">
        <f t="array" ref="G135:J135">_xlfn.XLOOKUP(A135, Sheet1!A:A, Sheet1!C:F)</f>
        <v>19.600000000000001</v>
      </c>
      <c r="H135">
        <v>18.2</v>
      </c>
      <c r="I135">
        <v>24.5</v>
      </c>
      <c r="J135">
        <v>25.1</v>
      </c>
    </row>
    <row r="136" spans="1:10" x14ac:dyDescent="0.3">
      <c r="A136" t="str" cm="1">
        <f t="array" ref="A136">IF(ROW()&lt;=COUNTA(Sheet1!A:A), INDEX(Sheet1!A:A, ROW()),
INDEX(Sheet4!A:A, ROW()-COUNTA(Sheet1!A:A)))</f>
        <v>Al12.8Cr13.2Fe17.5Co25.1Ni31.4</v>
      </c>
      <c r="B136" s="10">
        <f>_xlfn.XLOOKUP(A136, Sheet4!A:A, Sheet4!C:C)</f>
        <v>0</v>
      </c>
      <c r="C136" s="10">
        <v>-1</v>
      </c>
      <c r="D136" s="10">
        <f>_xlfn.XLOOKUP(A136, Sheet2!A:A, Sheet2!B:B)</f>
        <v>7.9749999999999996</v>
      </c>
      <c r="E136" s="10">
        <f>_xlfn.XLOOKUP(A136, Sheet1!A:A, Sheet1!G:G)</f>
        <v>-1</v>
      </c>
      <c r="F136" s="10">
        <f t="shared" si="2"/>
        <v>-1</v>
      </c>
      <c r="G136" cm="1">
        <f t="array" ref="G136:J136">_xlfn.XLOOKUP(A136, Sheet1!A:A, Sheet1!C:F)</f>
        <v>19.64</v>
      </c>
      <c r="H136">
        <v>18.202999999999999</v>
      </c>
      <c r="I136">
        <v>24.47</v>
      </c>
      <c r="J136">
        <v>25.14</v>
      </c>
    </row>
    <row r="137" spans="1:10" x14ac:dyDescent="0.3">
      <c r="A137" t="str" cm="1">
        <f t="array" ref="A137">IF(ROW()&lt;=COUNTA(Sheet1!A:A), INDEX(Sheet1!A:A, ROW()),
INDEX(Sheet4!A:A, ROW()-COUNTA(Sheet1!A:A)))</f>
        <v>Al12.819Cr13.239Fe17.497Co25.076Ni31.37</v>
      </c>
      <c r="B137" s="10">
        <f>_xlfn.XLOOKUP(A137, Sheet4!A:A, Sheet4!C:C)</f>
        <v>0</v>
      </c>
      <c r="C137" s="10">
        <v>-1</v>
      </c>
      <c r="D137" s="10">
        <f>_xlfn.XLOOKUP(A137, Sheet2!A:A, Sheet2!B:B)</f>
        <v>7.9724000000000004</v>
      </c>
      <c r="E137" s="10">
        <f>_xlfn.XLOOKUP(A137, Sheet1!A:A, Sheet1!G:G)</f>
        <v>-1</v>
      </c>
      <c r="F137" s="10">
        <f t="shared" si="2"/>
        <v>-1</v>
      </c>
      <c r="G137" cm="1">
        <f t="array" ref="G137:J137">_xlfn.XLOOKUP(A137, Sheet1!A:A, Sheet1!C:F)</f>
        <v>16.3</v>
      </c>
      <c r="H137">
        <v>15.9</v>
      </c>
      <c r="I137">
        <v>38</v>
      </c>
      <c r="J137">
        <v>17.2</v>
      </c>
    </row>
    <row r="138" spans="1:10" x14ac:dyDescent="0.3">
      <c r="A138" t="str" cm="1">
        <f t="array" ref="A138">IF(ROW()&lt;=COUNTA(Sheet1!A:A), INDEX(Sheet1!A:A, ROW()),
INDEX(Sheet4!A:A, ROW()-COUNTA(Sheet1!A:A)))</f>
        <v>Al12.84Cr16.458Fe22.17Co21.357Ni27.175</v>
      </c>
      <c r="B138" s="10">
        <f>_xlfn.XLOOKUP(A138, Sheet4!A:A, Sheet4!C:C)</f>
        <v>0</v>
      </c>
      <c r="C138" s="10">
        <v>-1</v>
      </c>
      <c r="D138" s="10">
        <f>_xlfn.XLOOKUP(A138, Sheet2!A:A, Sheet2!B:B)</f>
        <v>7.7858999999999998</v>
      </c>
      <c r="E138" s="10">
        <f>_xlfn.XLOOKUP(A138, Sheet1!A:A, Sheet1!G:G)</f>
        <v>-1</v>
      </c>
      <c r="F138" s="10">
        <f t="shared" si="2"/>
        <v>-1</v>
      </c>
      <c r="G138" cm="1">
        <f t="array" ref="G138:J138">_xlfn.XLOOKUP(A138, Sheet1!A:A, Sheet1!C:F)</f>
        <v>16.337</v>
      </c>
      <c r="H138">
        <v>15.904999999999999</v>
      </c>
      <c r="I138">
        <v>37.985999999999997</v>
      </c>
      <c r="J138">
        <v>17.164999999999999</v>
      </c>
    </row>
    <row r="139" spans="1:10" x14ac:dyDescent="0.3">
      <c r="A139" t="str" cm="1">
        <f t="array" ref="A139">IF(ROW()&lt;=COUNTA(Sheet1!A:A), INDEX(Sheet1!A:A, ROW()),
INDEX(Sheet4!A:A, ROW()-COUNTA(Sheet1!A:A)))</f>
        <v>NiCoFeCrAl0.59</v>
      </c>
      <c r="B139" s="10" t="str">
        <f>_xlfn.XLOOKUP(A139, Sheet4!A:A, Sheet4!C:C)</f>
        <v>FCC</v>
      </c>
      <c r="C139" s="10">
        <v>0</v>
      </c>
      <c r="D139" s="10">
        <f>_xlfn.XLOOKUP(A139, Sheet2!A:A, Sheet2!B:B)</f>
        <v>7.5751999999999997</v>
      </c>
      <c r="E139" s="10">
        <f>_xlfn.XLOOKUP(A139, Sheet1!A:A, Sheet1!G:G)</f>
        <v>-1</v>
      </c>
      <c r="F139" s="10">
        <f t="shared" si="2"/>
        <v>0</v>
      </c>
      <c r="G139" cm="1">
        <f t="array" ref="G139:J139">_xlfn.XLOOKUP(A139, Sheet1!A:A, Sheet1!C:F)</f>
        <v>21.4</v>
      </c>
      <c r="H139">
        <v>16.5</v>
      </c>
      <c r="I139">
        <v>22.2</v>
      </c>
      <c r="J139">
        <v>27.2</v>
      </c>
    </row>
    <row r="140" spans="1:10" x14ac:dyDescent="0.3">
      <c r="A140" t="str" cm="1">
        <f t="array" ref="A140">IF(ROW()&lt;=COUNTA(Sheet1!A:A), INDEX(Sheet1!A:A, ROW()),
INDEX(Sheet4!A:A, ROW()-COUNTA(Sheet1!A:A)))</f>
        <v>Al12.881Cr16.389Fe24.17Co22.435Ni24.126</v>
      </c>
      <c r="B140" s="10">
        <f>_xlfn.XLOOKUP(A140, Sheet4!A:A, Sheet4!C:C)</f>
        <v>0</v>
      </c>
      <c r="C140" s="10">
        <v>-1</v>
      </c>
      <c r="D140" s="10">
        <f>_xlfn.XLOOKUP(A140, Sheet2!A:A, Sheet2!B:B)</f>
        <v>7.7350000000000003</v>
      </c>
      <c r="E140" s="10">
        <f>_xlfn.XLOOKUP(A140, Sheet1!A:A, Sheet1!G:G)</f>
        <v>-1</v>
      </c>
      <c r="F140" s="10">
        <f t="shared" si="2"/>
        <v>-1</v>
      </c>
      <c r="G140" cm="1">
        <f t="array" ref="G140:J140">_xlfn.XLOOKUP(A140, Sheet1!A:A, Sheet1!C:F)</f>
        <v>25.1</v>
      </c>
      <c r="H140">
        <v>13.2</v>
      </c>
      <c r="I140">
        <v>17.5</v>
      </c>
      <c r="J140">
        <v>31.4</v>
      </c>
    </row>
    <row r="141" spans="1:10" x14ac:dyDescent="0.3">
      <c r="A141" t="str" cm="1">
        <f t="array" ref="A141">IF(ROW()&lt;=COUNTA(Sheet1!A:A), INDEX(Sheet1!A:A, ROW()),
INDEX(Sheet4!A:A, ROW()-COUNTA(Sheet1!A:A)))</f>
        <v>Al12.886Cr14.779Fe19.678Co23.273Ni29.385</v>
      </c>
      <c r="B141" s="10">
        <f>_xlfn.XLOOKUP(A141, Sheet4!A:A, Sheet4!C:C)</f>
        <v>0</v>
      </c>
      <c r="C141" s="10">
        <v>-1</v>
      </c>
      <c r="D141" s="10">
        <f>_xlfn.XLOOKUP(A141, Sheet2!A:A, Sheet2!B:B)</f>
        <v>7.8806000000000003</v>
      </c>
      <c r="E141" s="10">
        <f>_xlfn.XLOOKUP(A141, Sheet1!A:A, Sheet1!G:G)</f>
        <v>-1</v>
      </c>
      <c r="F141" s="10">
        <f t="shared" si="2"/>
        <v>-1</v>
      </c>
      <c r="G141" cm="1">
        <f t="array" ref="G141:J141">_xlfn.XLOOKUP(A141, Sheet1!A:A, Sheet1!C:F)</f>
        <v>25.076000000000001</v>
      </c>
      <c r="H141">
        <v>13.239000000000001</v>
      </c>
      <c r="I141">
        <v>17.497</v>
      </c>
      <c r="J141">
        <v>31.37</v>
      </c>
    </row>
    <row r="142" spans="1:10" x14ac:dyDescent="0.3">
      <c r="A142" t="str" cm="1">
        <f t="array" ref="A142">IF(ROW()&lt;=COUNTA(Sheet1!A:A), INDEX(Sheet1!A:A, ROW()),
INDEX(Sheet4!A:A, ROW()-COUNTA(Sheet1!A:A)))</f>
        <v>Al12.9Cr14.8Fe19.7Co23.3Ni29.4</v>
      </c>
      <c r="B142" s="10">
        <f>_xlfn.XLOOKUP(A142, Sheet4!A:A, Sheet4!C:C)</f>
        <v>0</v>
      </c>
      <c r="C142" s="10">
        <v>-1</v>
      </c>
      <c r="D142" s="10">
        <f>_xlfn.XLOOKUP(A142, Sheet2!A:A, Sheet2!B:B)</f>
        <v>7.8800999999999997</v>
      </c>
      <c r="E142" s="10">
        <f>_xlfn.XLOOKUP(A142, Sheet1!A:A, Sheet1!G:G)</f>
        <v>-1</v>
      </c>
      <c r="F142" s="10">
        <f t="shared" si="2"/>
        <v>-1</v>
      </c>
      <c r="G142" cm="1">
        <f t="array" ref="G142:J142">_xlfn.XLOOKUP(A142, Sheet1!A:A, Sheet1!C:F)</f>
        <v>21.356999999999999</v>
      </c>
      <c r="H142">
        <v>16.457999999999998</v>
      </c>
      <c r="I142">
        <v>22.17</v>
      </c>
      <c r="J142">
        <v>27.175000000000001</v>
      </c>
    </row>
    <row r="143" spans="1:10" x14ac:dyDescent="0.3">
      <c r="A143" t="str" cm="1">
        <f t="array" ref="A143">IF(ROW()&lt;=COUNTA(Sheet1!A:A), INDEX(Sheet1!A:A, ROW()),
INDEX(Sheet4!A:A, ROW()-COUNTA(Sheet1!A:A)))</f>
        <v>Al12.9Cr16.4Fe24.2Co22.4Ni24.1</v>
      </c>
      <c r="B143" s="10">
        <f>_xlfn.XLOOKUP(A143, Sheet4!A:A, Sheet4!C:C)</f>
        <v>0</v>
      </c>
      <c r="C143" s="10">
        <v>-1</v>
      </c>
      <c r="D143" s="10">
        <f>_xlfn.XLOOKUP(A143, Sheet2!A:A, Sheet2!B:B)</f>
        <v>7.7329999999999997</v>
      </c>
      <c r="E143" s="10">
        <f>_xlfn.XLOOKUP(A143, Sheet1!A:A, Sheet1!G:G)</f>
        <v>-1</v>
      </c>
      <c r="F143" s="10">
        <f t="shared" si="2"/>
        <v>-1</v>
      </c>
      <c r="G143" cm="1">
        <f t="array" ref="G143:J143">_xlfn.XLOOKUP(A143, Sheet1!A:A, Sheet1!C:F)</f>
        <v>21.786492370000001</v>
      </c>
      <c r="H143">
        <v>21.786492370000001</v>
      </c>
      <c r="I143">
        <v>21.786492370000001</v>
      </c>
      <c r="J143">
        <v>21.786492370000001</v>
      </c>
    </row>
    <row r="144" spans="1:10" x14ac:dyDescent="0.3">
      <c r="A144" t="str" cm="1">
        <f t="array" ref="A144">IF(ROW()&lt;=COUNTA(Sheet1!A:A), INDEX(Sheet1!A:A, ROW()),
INDEX(Sheet4!A:A, ROW()-COUNTA(Sheet1!A:A)))</f>
        <v>Al13Cr23.5Fe20Co20Ni23.5</v>
      </c>
      <c r="B144" s="10">
        <f>_xlfn.XLOOKUP(A144, Sheet4!A:A, Sheet4!C:C)</f>
        <v>0</v>
      </c>
      <c r="C144" s="10">
        <v>-1</v>
      </c>
      <c r="D144" s="10">
        <f>_xlfn.XLOOKUP(A144, Sheet2!A:A, Sheet2!B:B)</f>
        <v>7.55</v>
      </c>
      <c r="E144" s="10">
        <f>_xlfn.XLOOKUP(A144, Sheet1!A:A, Sheet1!G:G)</f>
        <v>-1</v>
      </c>
      <c r="F144" s="10">
        <f t="shared" si="2"/>
        <v>-1</v>
      </c>
      <c r="G144" cm="1">
        <f t="array" ref="G144:J144">_xlfn.XLOOKUP(A144, Sheet1!A:A, Sheet1!C:F)</f>
        <v>22.434999999999999</v>
      </c>
      <c r="H144">
        <v>16.388999999999999</v>
      </c>
      <c r="I144">
        <v>24.17</v>
      </c>
      <c r="J144">
        <v>24.126000000000001</v>
      </c>
    </row>
    <row r="145" spans="1:10" x14ac:dyDescent="0.3">
      <c r="A145" t="str" cm="1">
        <f t="array" ref="A145">IF(ROW()&lt;=COUNTA(Sheet1!A:A), INDEX(Sheet1!A:A, ROW()),
INDEX(Sheet4!A:A, ROW()-COUNTA(Sheet1!A:A)))</f>
        <v>Al13Co21.74Cr21.74Fe21.74Ni21.74</v>
      </c>
      <c r="B145" s="10" t="str">
        <f>_xlfn.XLOOKUP(A145, Sheet4!A:A, Sheet4!C:C)</f>
        <v>FCC+BCC</v>
      </c>
      <c r="C145" s="10">
        <v>-1</v>
      </c>
      <c r="D145" s="10">
        <f>_xlfn.XLOOKUP(A145, Sheet2!A:A, Sheet2!B:B)</f>
        <v>7.5671999999999997</v>
      </c>
      <c r="E145" s="10">
        <f>_xlfn.XLOOKUP(A145, Sheet1!A:A, Sheet1!G:G)</f>
        <v>-1</v>
      </c>
      <c r="F145" s="10">
        <f t="shared" si="2"/>
        <v>-1</v>
      </c>
      <c r="G145" cm="1">
        <f t="array" ref="G145:J145">_xlfn.XLOOKUP(A145, Sheet1!A:A, Sheet1!C:F)</f>
        <v>23.273</v>
      </c>
      <c r="H145">
        <v>14.779</v>
      </c>
      <c r="I145">
        <v>19.678000000000001</v>
      </c>
      <c r="J145">
        <v>29.385000000000002</v>
      </c>
    </row>
    <row r="146" spans="1:10" x14ac:dyDescent="0.3">
      <c r="A146" t="str" cm="1">
        <f t="array" ref="A146">IF(ROW()&lt;=COUNTA(Sheet1!A:A), INDEX(Sheet1!A:A, ROW()),
INDEX(Sheet4!A:A, ROW()-COUNTA(Sheet1!A:A)))</f>
        <v>Al0.6CoCrFeNi</v>
      </c>
      <c r="B146" s="10" t="str">
        <f>_xlfn.XLOOKUP(A146, Sheet4!A:A, Sheet4!C:C)</f>
        <v>FCC</v>
      </c>
      <c r="C146" s="10">
        <v>0</v>
      </c>
      <c r="D146" s="10">
        <f>_xlfn.XLOOKUP(A146, Sheet2!A:A, Sheet2!B:B)</f>
        <v>7.5651999999999999</v>
      </c>
      <c r="E146" s="10">
        <f>_xlfn.XLOOKUP(A146, Sheet1!A:A, Sheet1!G:G)</f>
        <v>-1</v>
      </c>
      <c r="F146" s="10">
        <f t="shared" si="2"/>
        <v>0</v>
      </c>
      <c r="G146" cm="1">
        <f t="array" ref="G146:J146">_xlfn.XLOOKUP(A146, Sheet1!A:A, Sheet1!C:F)</f>
        <v>23.3</v>
      </c>
      <c r="H146">
        <v>14.8</v>
      </c>
      <c r="I146">
        <v>19.7</v>
      </c>
      <c r="J146">
        <v>29.4</v>
      </c>
    </row>
    <row r="147" spans="1:10" x14ac:dyDescent="0.3">
      <c r="A147" t="str" cm="1">
        <f t="array" ref="A147">IF(ROW()&lt;=COUNTA(Sheet1!A:A), INDEX(Sheet1!A:A, ROW()),
INDEX(Sheet4!A:A, ROW()-COUNTA(Sheet1!A:A)))</f>
        <v>Al13.252Cr16.989Fe20.621Co23.772Ni25.366</v>
      </c>
      <c r="B147" s="10">
        <f>_xlfn.XLOOKUP(A147, Sheet4!A:A, Sheet4!C:C)</f>
        <v>0</v>
      </c>
      <c r="C147" s="10">
        <v>-1</v>
      </c>
      <c r="D147" s="10">
        <f>_xlfn.XLOOKUP(A147, Sheet2!A:A, Sheet2!B:B)</f>
        <v>7.7427000000000001</v>
      </c>
      <c r="E147" s="10">
        <f>_xlfn.XLOOKUP(A147, Sheet1!A:A, Sheet1!G:G)</f>
        <v>-1</v>
      </c>
      <c r="F147" s="10">
        <f t="shared" si="2"/>
        <v>-1</v>
      </c>
      <c r="G147" cm="1">
        <f t="array" ref="G147:J147">_xlfn.XLOOKUP(A147, Sheet1!A:A, Sheet1!C:F)</f>
        <v>22.4</v>
      </c>
      <c r="H147">
        <v>16.399999999999999</v>
      </c>
      <c r="I147">
        <v>24.2</v>
      </c>
      <c r="J147">
        <v>24.1</v>
      </c>
    </row>
    <row r="148" spans="1:10" x14ac:dyDescent="0.3">
      <c r="A148" t="str" cm="1">
        <f t="array" ref="A148">IF(ROW()&lt;=COUNTA(Sheet1!A:A), INDEX(Sheet1!A:A, ROW()),
INDEX(Sheet4!A:A, ROW()-COUNTA(Sheet1!A:A)))</f>
        <v>Al13.3Cr17Fe20.6Co23.8Ni25.4</v>
      </c>
      <c r="B148" s="10">
        <f>_xlfn.XLOOKUP(A148, Sheet4!A:A, Sheet4!C:C)</f>
        <v>0</v>
      </c>
      <c r="C148" s="10">
        <v>-1</v>
      </c>
      <c r="D148" s="10">
        <f>_xlfn.XLOOKUP(A148, Sheet2!A:A, Sheet2!B:B)</f>
        <v>7.7412999999999998</v>
      </c>
      <c r="E148" s="10">
        <f>_xlfn.XLOOKUP(A148, Sheet1!A:A, Sheet1!G:G)</f>
        <v>-1</v>
      </c>
      <c r="F148" s="10">
        <f t="shared" si="2"/>
        <v>-1</v>
      </c>
      <c r="G148" cm="1">
        <f t="array" ref="G148:J148">_xlfn.XLOOKUP(A148, Sheet1!A:A, Sheet1!C:F)</f>
        <v>20</v>
      </c>
      <c r="H148">
        <v>23.5</v>
      </c>
      <c r="I148">
        <v>20</v>
      </c>
      <c r="J148">
        <v>23.5</v>
      </c>
    </row>
    <row r="149" spans="1:10" x14ac:dyDescent="0.3">
      <c r="A149" t="str" cm="1">
        <f t="array" ref="A149">IF(ROW()&lt;=COUNTA(Sheet1!A:A), INDEX(Sheet1!A:A, ROW()),
INDEX(Sheet4!A:A, ROW()-COUNTA(Sheet1!A:A)))</f>
        <v>Al13.3Cr17.8Fe12.5Co27.5Ni29</v>
      </c>
      <c r="B149" s="10">
        <f>_xlfn.XLOOKUP(A149, Sheet4!A:A, Sheet4!C:C)</f>
        <v>0</v>
      </c>
      <c r="C149" s="10">
        <v>-1</v>
      </c>
      <c r="D149" s="10">
        <f>_xlfn.XLOOKUP(A149, Sheet2!A:A, Sheet2!B:B)</f>
        <v>7.8342000000000001</v>
      </c>
      <c r="E149" s="10">
        <f>_xlfn.XLOOKUP(A149, Sheet1!A:A, Sheet1!G:G)</f>
        <v>-1</v>
      </c>
      <c r="F149" s="10">
        <f t="shared" si="2"/>
        <v>-1</v>
      </c>
      <c r="G149" cm="1">
        <f t="array" ref="G149:J149">_xlfn.XLOOKUP(A149, Sheet1!A:A, Sheet1!C:F)</f>
        <v>21.74</v>
      </c>
      <c r="H149">
        <v>21.74</v>
      </c>
      <c r="I149">
        <v>21.74</v>
      </c>
      <c r="J149">
        <v>21.74</v>
      </c>
    </row>
    <row r="150" spans="1:10" x14ac:dyDescent="0.3">
      <c r="A150" t="str" cm="1">
        <f t="array" ref="A150">IF(ROW()&lt;=COUNTA(Sheet1!A:A), INDEX(Sheet1!A:A, ROW()),
INDEX(Sheet4!A:A, ROW()-COUNTA(Sheet1!A:A)))</f>
        <v>Al13.289Cr17.754Fe12.462Co27.477Ni29.018</v>
      </c>
      <c r="B150" s="10">
        <f>_xlfn.XLOOKUP(A150, Sheet4!A:A, Sheet4!C:C)</f>
        <v>0</v>
      </c>
      <c r="C150" s="10">
        <v>-1</v>
      </c>
      <c r="D150" s="10">
        <f>_xlfn.XLOOKUP(A150, Sheet2!A:A, Sheet2!B:B)</f>
        <v>7.8356000000000003</v>
      </c>
      <c r="E150" s="10">
        <f>_xlfn.XLOOKUP(A150, Sheet1!A:A, Sheet1!G:G)</f>
        <v>-1</v>
      </c>
      <c r="F150" s="10">
        <f t="shared" si="2"/>
        <v>-1</v>
      </c>
      <c r="G150" cm="1">
        <f t="array" ref="G150:J150">_xlfn.XLOOKUP(A150, Sheet1!A:A, Sheet1!C:F)</f>
        <v>21.739130429999999</v>
      </c>
      <c r="H150">
        <v>21.739130429999999</v>
      </c>
      <c r="I150">
        <v>21.739130429999999</v>
      </c>
      <c r="J150">
        <v>21.739130429999999</v>
      </c>
    </row>
    <row r="151" spans="1:10" x14ac:dyDescent="0.3">
      <c r="A151" t="str" cm="1">
        <f t="array" ref="A151">IF(ROW()&lt;=COUNTA(Sheet1!A:A), INDEX(Sheet1!A:A, ROW()),
INDEX(Sheet4!A:A, ROW()-COUNTA(Sheet1!A:A)))</f>
        <v>Al13.3Cr17.7Fe10.5Co28.5Ni30</v>
      </c>
      <c r="B151" s="10">
        <f>_xlfn.XLOOKUP(A151, Sheet4!A:A, Sheet4!C:C)</f>
        <v>0</v>
      </c>
      <c r="C151" s="10">
        <v>-1</v>
      </c>
      <c r="D151" s="10">
        <f>_xlfn.XLOOKUP(A151, Sheet2!A:A, Sheet2!B:B)</f>
        <v>7.8659999999999997</v>
      </c>
      <c r="E151" s="10">
        <f>_xlfn.XLOOKUP(A151, Sheet1!A:A, Sheet1!G:G)</f>
        <v>-1</v>
      </c>
      <c r="F151" s="10">
        <f t="shared" si="2"/>
        <v>-1</v>
      </c>
      <c r="G151" cm="1">
        <f t="array" ref="G151:J151">_xlfn.XLOOKUP(A151, Sheet1!A:A, Sheet1!C:F)</f>
        <v>21.739130429999999</v>
      </c>
      <c r="H151">
        <v>21.739130429999999</v>
      </c>
      <c r="I151">
        <v>21.739130429999999</v>
      </c>
      <c r="J151">
        <v>21.739130429999999</v>
      </c>
    </row>
    <row r="152" spans="1:10" x14ac:dyDescent="0.3">
      <c r="A152" t="str" cm="1">
        <f t="array" ref="A152">IF(ROW()&lt;=COUNTA(Sheet1!A:A), INDEX(Sheet1!A:A, ROW()),
INDEX(Sheet4!A:A, ROW()-COUNTA(Sheet1!A:A)))</f>
        <v>Al13.301Cr17.708Fe10.49Co28.537Ni29.964</v>
      </c>
      <c r="B152" s="10">
        <f>_xlfn.XLOOKUP(A152, Sheet4!A:A, Sheet4!C:C)</f>
        <v>0</v>
      </c>
      <c r="C152" s="10">
        <v>-1</v>
      </c>
      <c r="D152" s="10">
        <f>_xlfn.XLOOKUP(A152, Sheet2!A:A, Sheet2!B:B)</f>
        <v>7.8654000000000002</v>
      </c>
      <c r="E152" s="10">
        <f>_xlfn.XLOOKUP(A152, Sheet1!A:A, Sheet1!G:G)</f>
        <v>-1</v>
      </c>
      <c r="F152" s="10">
        <f t="shared" si="2"/>
        <v>-1</v>
      </c>
      <c r="G152" cm="1">
        <f t="array" ref="G152:J152">_xlfn.XLOOKUP(A152, Sheet1!A:A, Sheet1!C:F)</f>
        <v>23.771999999999998</v>
      </c>
      <c r="H152">
        <v>16.989000000000001</v>
      </c>
      <c r="I152">
        <v>20.620999999999999</v>
      </c>
      <c r="J152">
        <v>25.366</v>
      </c>
    </row>
    <row r="153" spans="1:10" x14ac:dyDescent="0.3">
      <c r="A153" t="str" cm="1">
        <f t="array" ref="A153">IF(ROW()&lt;=COUNTA(Sheet1!A:A), INDEX(Sheet1!A:A, ROW()),
INDEX(Sheet4!A:A, ROW()-COUNTA(Sheet1!A:A)))</f>
        <v>Al13.3Cr17.4Fe14.7Co26.5Ni28</v>
      </c>
      <c r="B153" s="10">
        <f>_xlfn.XLOOKUP(A153, Sheet4!A:A, Sheet4!C:C)</f>
        <v>0</v>
      </c>
      <c r="C153" s="10">
        <v>-1</v>
      </c>
      <c r="D153" s="10">
        <f>_xlfn.XLOOKUP(A153, Sheet2!A:A, Sheet2!B:B)</f>
        <v>7.8117999999999999</v>
      </c>
      <c r="E153" s="10">
        <f>_xlfn.XLOOKUP(A153, Sheet1!A:A, Sheet1!G:G)</f>
        <v>-1</v>
      </c>
      <c r="F153" s="10">
        <f t="shared" si="2"/>
        <v>-1</v>
      </c>
      <c r="G153" cm="1">
        <f t="array" ref="G153:J153">_xlfn.XLOOKUP(A153, Sheet1!A:A, Sheet1!C:F)</f>
        <v>23.8</v>
      </c>
      <c r="H153">
        <v>17</v>
      </c>
      <c r="I153">
        <v>20.6</v>
      </c>
      <c r="J153">
        <v>25.4</v>
      </c>
    </row>
    <row r="154" spans="1:10" x14ac:dyDescent="0.3">
      <c r="A154" t="str" cm="1">
        <f t="array" ref="A154">IF(ROW()&lt;=COUNTA(Sheet1!A:A), INDEX(Sheet1!A:A, ROW()),
INDEX(Sheet4!A:A, ROW()-COUNTA(Sheet1!A:A)))</f>
        <v>Al13.322Cr17.421Fe14.715Co26.519Ni28.023</v>
      </c>
      <c r="B154" s="10">
        <f>_xlfn.XLOOKUP(A154, Sheet4!A:A, Sheet4!C:C)</f>
        <v>0</v>
      </c>
      <c r="C154" s="10">
        <v>-1</v>
      </c>
      <c r="D154" s="10">
        <f>_xlfn.XLOOKUP(A154, Sheet2!A:A, Sheet2!B:B)</f>
        <v>7.8110999999999997</v>
      </c>
      <c r="E154" s="10">
        <f>_xlfn.XLOOKUP(A154, Sheet1!A:A, Sheet1!G:G)</f>
        <v>-1</v>
      </c>
      <c r="F154" s="10">
        <f t="shared" si="2"/>
        <v>-1</v>
      </c>
      <c r="G154" cm="1">
        <f t="array" ref="G154:J154">_xlfn.XLOOKUP(A154, Sheet1!A:A, Sheet1!C:F)</f>
        <v>27.5</v>
      </c>
      <c r="H154">
        <v>17.8</v>
      </c>
      <c r="I154">
        <v>12.5</v>
      </c>
      <c r="J154">
        <v>29</v>
      </c>
    </row>
    <row r="155" spans="1:10" x14ac:dyDescent="0.3">
      <c r="A155" t="str" cm="1">
        <f t="array" ref="A155">IF(ROW()&lt;=COUNTA(Sheet1!A:A), INDEX(Sheet1!A:A, ROW()),
INDEX(Sheet4!A:A, ROW()-COUNTA(Sheet1!A:A)))</f>
        <v>Al13.379Cr17.516Fe7.6821Co30.133Ni31.29</v>
      </c>
      <c r="B155" s="10">
        <f>_xlfn.XLOOKUP(A155, Sheet4!A:A, Sheet4!C:C)</f>
        <v>0</v>
      </c>
      <c r="C155" s="10">
        <v>-1</v>
      </c>
      <c r="D155" s="10">
        <f>_xlfn.XLOOKUP(A155, Sheet2!A:A, Sheet2!B:B)</f>
        <v>7.9078999999999997</v>
      </c>
      <c r="E155" s="10">
        <f>_xlfn.XLOOKUP(A155, Sheet1!A:A, Sheet1!G:G)</f>
        <v>-1</v>
      </c>
      <c r="F155" s="10">
        <f t="shared" si="2"/>
        <v>-1</v>
      </c>
      <c r="G155" cm="1">
        <f t="array" ref="G155:J155">_xlfn.XLOOKUP(A155, Sheet1!A:A, Sheet1!C:F)</f>
        <v>27.477</v>
      </c>
      <c r="H155">
        <v>17.754000000000001</v>
      </c>
      <c r="I155">
        <v>12.462</v>
      </c>
      <c r="J155">
        <v>29.018000000000001</v>
      </c>
    </row>
    <row r="156" spans="1:10" x14ac:dyDescent="0.3">
      <c r="A156" t="str" cm="1">
        <f t="array" ref="A156">IF(ROW()&lt;=COUNTA(Sheet1!A:A), INDEX(Sheet1!A:A, ROW()),
INDEX(Sheet4!A:A, ROW()-COUNTA(Sheet1!A:A)))</f>
        <v>Al13.4Cr17.5Fe7.7Co30.1Ni31.3</v>
      </c>
      <c r="B156" s="10">
        <f>_xlfn.XLOOKUP(A156, Sheet4!A:A, Sheet4!C:C)</f>
        <v>0</v>
      </c>
      <c r="C156" s="10">
        <v>-1</v>
      </c>
      <c r="D156" s="10">
        <f>_xlfn.XLOOKUP(A156, Sheet2!A:A, Sheet2!B:B)</f>
        <v>7.907</v>
      </c>
      <c r="E156" s="10">
        <f>_xlfn.XLOOKUP(A156, Sheet1!A:A, Sheet1!G:G)</f>
        <v>-1</v>
      </c>
      <c r="F156" s="10">
        <f t="shared" si="2"/>
        <v>-1</v>
      </c>
      <c r="G156" cm="1">
        <f t="array" ref="G156:J156">_xlfn.XLOOKUP(A156, Sheet1!A:A, Sheet1!C:F)</f>
        <v>28.5</v>
      </c>
      <c r="H156">
        <v>17.7</v>
      </c>
      <c r="I156">
        <v>10.5</v>
      </c>
      <c r="J156">
        <v>30</v>
      </c>
    </row>
    <row r="157" spans="1:10" x14ac:dyDescent="0.3">
      <c r="A157" t="str" cm="1">
        <f t="array" ref="A157">IF(ROW()&lt;=COUNTA(Sheet1!A:A), INDEX(Sheet1!A:A, ROW()),
INDEX(Sheet4!A:A, ROW()-COUNTA(Sheet1!A:A)))</f>
        <v>Al13.479Cr16.819Fe32.96Co17.792Ni18.949</v>
      </c>
      <c r="B157" s="10">
        <f>_xlfn.XLOOKUP(A157, Sheet4!A:A, Sheet4!C:C)</f>
        <v>0</v>
      </c>
      <c r="C157" s="10">
        <v>-1</v>
      </c>
      <c r="D157" s="10">
        <f>_xlfn.XLOOKUP(A157, Sheet2!A:A, Sheet2!B:B)</f>
        <v>7.5465999999999998</v>
      </c>
      <c r="E157" s="10">
        <f>_xlfn.XLOOKUP(A157, Sheet1!A:A, Sheet1!G:G)</f>
        <v>-1</v>
      </c>
      <c r="F157" s="10">
        <f t="shared" si="2"/>
        <v>-1</v>
      </c>
      <c r="G157" cm="1">
        <f t="array" ref="G157:J157">_xlfn.XLOOKUP(A157, Sheet1!A:A, Sheet1!C:F)</f>
        <v>28.536999999999999</v>
      </c>
      <c r="H157">
        <v>17.707999999999998</v>
      </c>
      <c r="I157">
        <v>10.49</v>
      </c>
      <c r="J157">
        <v>29.963999999999999</v>
      </c>
    </row>
    <row r="158" spans="1:10" x14ac:dyDescent="0.3">
      <c r="A158" t="str" cm="1">
        <f t="array" ref="A158">IF(ROW()&lt;=COUNTA(Sheet1!A:A), INDEX(Sheet1!A:A, ROW()),
INDEX(Sheet4!A:A, ROW()-COUNTA(Sheet1!A:A)))</f>
        <v>Al13.5Cr17.6Fe9Co29.3Ni30.7</v>
      </c>
      <c r="B158" s="10">
        <f>_xlfn.XLOOKUP(A158, Sheet4!A:A, Sheet4!C:C)</f>
        <v>0</v>
      </c>
      <c r="C158" s="10">
        <v>-1</v>
      </c>
      <c r="D158" s="10">
        <f>_xlfn.XLOOKUP(A158, Sheet2!A:A, Sheet2!B:B)</f>
        <v>7.8800999999999997</v>
      </c>
      <c r="E158" s="10">
        <f>_xlfn.XLOOKUP(A158, Sheet1!A:A, Sheet1!G:G)</f>
        <v>-1</v>
      </c>
      <c r="F158" s="10">
        <f t="shared" si="2"/>
        <v>-1</v>
      </c>
      <c r="G158" cm="1">
        <f t="array" ref="G158:J158">_xlfn.XLOOKUP(A158, Sheet1!A:A, Sheet1!C:F)</f>
        <v>26.5</v>
      </c>
      <c r="H158">
        <v>17.399999999999999</v>
      </c>
      <c r="I158">
        <v>14.7</v>
      </c>
      <c r="J158">
        <v>28</v>
      </c>
    </row>
    <row r="159" spans="1:10" x14ac:dyDescent="0.3">
      <c r="A159" t="str" cm="1">
        <f t="array" ref="A159">IF(ROW()&lt;=COUNTA(Sheet1!A:A), INDEX(Sheet1!A:A, ROW()),
INDEX(Sheet4!A:A, ROW()-COUNTA(Sheet1!A:A)))</f>
        <v>Al13.487Cr17.579Fe8.9655Co29.282Ni30.686</v>
      </c>
      <c r="B159" s="10">
        <f>_xlfn.XLOOKUP(A159, Sheet4!A:A, Sheet4!C:C)</f>
        <v>0</v>
      </c>
      <c r="C159" s="10">
        <v>-1</v>
      </c>
      <c r="D159" s="10">
        <f>_xlfn.XLOOKUP(A159, Sheet2!A:A, Sheet2!B:B)</f>
        <v>7.8806000000000003</v>
      </c>
      <c r="E159" s="10">
        <f>_xlfn.XLOOKUP(A159, Sheet1!A:A, Sheet1!G:G)</f>
        <v>-1</v>
      </c>
      <c r="F159" s="10">
        <f t="shared" si="2"/>
        <v>-1</v>
      </c>
      <c r="G159" cm="1">
        <f t="array" ref="G159:J159">_xlfn.XLOOKUP(A159, Sheet1!A:A, Sheet1!C:F)</f>
        <v>26.518999999999998</v>
      </c>
      <c r="H159">
        <v>17.420999999999999</v>
      </c>
      <c r="I159">
        <v>14.715</v>
      </c>
      <c r="J159">
        <v>28.023</v>
      </c>
    </row>
    <row r="160" spans="1:10" x14ac:dyDescent="0.3">
      <c r="A160" t="str" cm="1">
        <f t="array" ref="A160">IF(ROW()&lt;=COUNTA(Sheet1!A:A), INDEX(Sheet1!A:A, ROW()),
INDEX(Sheet4!A:A, ROW()-COUNTA(Sheet1!A:A)))</f>
        <v>Al13.5Cr16.8Fe33Co17.8Ni18.9</v>
      </c>
      <c r="B160" s="10">
        <f>_xlfn.XLOOKUP(A160, Sheet4!A:A, Sheet4!C:C)</f>
        <v>0</v>
      </c>
      <c r="C160" s="10">
        <v>-1</v>
      </c>
      <c r="D160" s="10">
        <f>_xlfn.XLOOKUP(A160, Sheet2!A:A, Sheet2!B:B)</f>
        <v>7.5449999999999999</v>
      </c>
      <c r="E160" s="10">
        <f>_xlfn.XLOOKUP(A160, Sheet1!A:A, Sheet1!G:G)</f>
        <v>-1</v>
      </c>
      <c r="F160" s="10">
        <f t="shared" si="2"/>
        <v>-1</v>
      </c>
      <c r="G160" cm="1">
        <f t="array" ref="G160:J160">_xlfn.XLOOKUP(A160, Sheet1!A:A, Sheet1!C:F)</f>
        <v>30.132999999999999</v>
      </c>
      <c r="H160">
        <v>17.515999999999998</v>
      </c>
      <c r="I160">
        <v>7.6821000000000002</v>
      </c>
      <c r="J160">
        <v>31.29</v>
      </c>
    </row>
    <row r="161" spans="1:10" x14ac:dyDescent="0.3">
      <c r="A161" t="str" cm="1">
        <f t="array" ref="A161">IF(ROW()&lt;=COUNTA(Sheet1!A:A), INDEX(Sheet1!A:A, ROW()),
INDEX(Sheet4!A:A, ROW()-COUNTA(Sheet1!A:A)))</f>
        <v>Al13.557Cr17.189Fe17.498Co24.99Ni26.766</v>
      </c>
      <c r="B161" s="10">
        <f>_xlfn.XLOOKUP(A161, Sheet4!A:A, Sheet4!C:C)</f>
        <v>0</v>
      </c>
      <c r="C161" s="10">
        <v>-1</v>
      </c>
      <c r="D161" s="10">
        <f>_xlfn.XLOOKUP(A161, Sheet2!A:A, Sheet2!B:B)</f>
        <v>7.7636000000000003</v>
      </c>
      <c r="E161" s="10">
        <f>_xlfn.XLOOKUP(A161, Sheet1!A:A, Sheet1!G:G)</f>
        <v>-1</v>
      </c>
      <c r="F161" s="10">
        <f t="shared" si="2"/>
        <v>-1</v>
      </c>
      <c r="G161" cm="1">
        <f t="array" ref="G161:J161">_xlfn.XLOOKUP(A161, Sheet1!A:A, Sheet1!C:F)</f>
        <v>30.1</v>
      </c>
      <c r="H161">
        <v>17.5</v>
      </c>
      <c r="I161">
        <v>7.7</v>
      </c>
      <c r="J161">
        <v>31.3</v>
      </c>
    </row>
    <row r="162" spans="1:10" x14ac:dyDescent="0.3">
      <c r="A162" t="str" cm="1">
        <f t="array" ref="A162">IF(ROW()&lt;=COUNTA(Sheet1!A:A), INDEX(Sheet1!A:A, ROW()),
INDEX(Sheet4!A:A, ROW()-COUNTA(Sheet1!A:A)))</f>
        <v>Al13.6Cr17.2Fe17.5Co25Ni26.8</v>
      </c>
      <c r="B162" s="10">
        <f>_xlfn.XLOOKUP(A162, Sheet4!A:A, Sheet4!C:C)</f>
        <v>0</v>
      </c>
      <c r="C162" s="10">
        <v>-1</v>
      </c>
      <c r="D162" s="10">
        <f>_xlfn.XLOOKUP(A162, Sheet2!A:A, Sheet2!B:B)</f>
        <v>7.7622</v>
      </c>
      <c r="E162" s="10">
        <f>_xlfn.XLOOKUP(A162, Sheet1!A:A, Sheet1!G:G)</f>
        <v>-1</v>
      </c>
      <c r="F162" s="10">
        <f t="shared" si="2"/>
        <v>-1</v>
      </c>
      <c r="G162" cm="1">
        <f t="array" ref="G162:J162">_xlfn.XLOOKUP(A162, Sheet1!A:A, Sheet1!C:F)</f>
        <v>17.792000000000002</v>
      </c>
      <c r="H162">
        <v>16.818999999999999</v>
      </c>
      <c r="I162">
        <v>32.96</v>
      </c>
      <c r="J162">
        <v>18.949000000000002</v>
      </c>
    </row>
    <row r="163" spans="1:10" x14ac:dyDescent="0.3">
      <c r="A163" t="str" cm="1">
        <f t="array" ref="A163">IF(ROW()&lt;=COUNTA(Sheet1!A:A), INDEX(Sheet1!A:A, ROW()),
INDEX(Sheet4!A:A, ROW()-COUNTA(Sheet1!A:A)))</f>
        <v>Al13.886Cr19.928Fe26.999Co17.344Ni21.844</v>
      </c>
      <c r="B163" s="10">
        <f>_xlfn.XLOOKUP(A163, Sheet4!A:A, Sheet4!C:C)</f>
        <v>0</v>
      </c>
      <c r="C163" s="10">
        <v>-1</v>
      </c>
      <c r="D163" s="10">
        <f>_xlfn.XLOOKUP(A163, Sheet2!A:A, Sheet2!B:B)</f>
        <v>7.5175000000000001</v>
      </c>
      <c r="E163" s="10">
        <f>_xlfn.XLOOKUP(A163, Sheet1!A:A, Sheet1!G:G)</f>
        <v>-1</v>
      </c>
      <c r="F163" s="10">
        <f t="shared" si="2"/>
        <v>-1</v>
      </c>
      <c r="G163" cm="1">
        <f t="array" ref="G163:J163">_xlfn.XLOOKUP(A163, Sheet1!A:A, Sheet1!C:F)</f>
        <v>29.3</v>
      </c>
      <c r="H163">
        <v>17.600000000000001</v>
      </c>
      <c r="I163">
        <v>9</v>
      </c>
      <c r="J163">
        <v>30.7</v>
      </c>
    </row>
    <row r="164" spans="1:10" x14ac:dyDescent="0.3">
      <c r="A164" t="str" cm="1">
        <f t="array" ref="A164">IF(ROW()&lt;=COUNTA(Sheet1!A:A), INDEX(Sheet1!A:A, ROW()),
INDEX(Sheet4!A:A, ROW()-COUNTA(Sheet1!A:A)))</f>
        <v>Al13.9Cr19.9Fe27Co17.3Ni21.8</v>
      </c>
      <c r="B164" s="10">
        <f>_xlfn.XLOOKUP(A164, Sheet4!A:A, Sheet4!C:C)</f>
        <v>0</v>
      </c>
      <c r="C164" s="10">
        <v>-1</v>
      </c>
      <c r="D164" s="10">
        <f>_xlfn.XLOOKUP(A164, Sheet2!A:A, Sheet2!B:B)</f>
        <v>7.5155000000000003</v>
      </c>
      <c r="E164" s="10">
        <f>_xlfn.XLOOKUP(A164, Sheet1!A:A, Sheet1!G:G)</f>
        <v>-1</v>
      </c>
      <c r="F164" s="10">
        <f t="shared" si="2"/>
        <v>-1</v>
      </c>
      <c r="G164" cm="1">
        <f t="array" ref="G164:J164">_xlfn.XLOOKUP(A164, Sheet1!A:A, Sheet1!C:F)</f>
        <v>29.282</v>
      </c>
      <c r="H164">
        <v>17.579000000000001</v>
      </c>
      <c r="I164">
        <v>8.9655000000000005</v>
      </c>
      <c r="J164">
        <v>30.686</v>
      </c>
    </row>
    <row r="165" spans="1:10" x14ac:dyDescent="0.3">
      <c r="A165" t="str" cm="1">
        <f t="array" ref="A165">IF(ROW()&lt;=COUNTA(Sheet1!A:A), INDEX(Sheet1!A:A, ROW()),
INDEX(Sheet4!A:A, ROW()-COUNTA(Sheet1!A:A)))</f>
        <v>Fe34Cr34Ni14Al14Co4</v>
      </c>
      <c r="B165" s="10" t="str">
        <f>_xlfn.XLOOKUP(A165, Sheet4!A:A, Sheet4!C:C)</f>
        <v>BCC+B2(ordered BCC)</v>
      </c>
      <c r="C165" s="10">
        <v>1</v>
      </c>
      <c r="D165" s="10">
        <f>_xlfn.XLOOKUP(A165, Sheet2!A:A, Sheet2!B:B)</f>
        <v>6.94</v>
      </c>
      <c r="E165" s="10">
        <f>_xlfn.XLOOKUP(A165, Sheet1!A:A, Sheet1!G:G)</f>
        <v>-1</v>
      </c>
      <c r="F165" s="10">
        <f t="shared" si="2"/>
        <v>1</v>
      </c>
      <c r="G165" cm="1">
        <f t="array" ref="G165:J165">_xlfn.XLOOKUP(A165, Sheet1!A:A, Sheet1!C:F)</f>
        <v>17.8</v>
      </c>
      <c r="H165">
        <v>16.8</v>
      </c>
      <c r="I165">
        <v>33</v>
      </c>
      <c r="J165">
        <v>18.899999999999999</v>
      </c>
    </row>
    <row r="166" spans="1:10" x14ac:dyDescent="0.3">
      <c r="A166" t="str" cm="1">
        <f t="array" ref="A166">IF(ROW()&lt;=COUNTA(Sheet1!A:A), INDEX(Sheet1!A:A, ROW()),
INDEX(Sheet4!A:A, ROW()-COUNTA(Sheet1!A:A)))</f>
        <v>Al14.18Cr17.818Fe28.374Co19.114Ni20.513</v>
      </c>
      <c r="B166" s="10">
        <f>_xlfn.XLOOKUP(A166, Sheet4!A:A, Sheet4!C:C)</f>
        <v>0</v>
      </c>
      <c r="C166" s="10">
        <v>-1</v>
      </c>
      <c r="D166" s="10">
        <f>_xlfn.XLOOKUP(A166, Sheet2!A:A, Sheet2!B:B)</f>
        <v>7.5359999999999996</v>
      </c>
      <c r="E166" s="10">
        <f>_xlfn.XLOOKUP(A166, Sheet1!A:A, Sheet1!G:G)</f>
        <v>-1</v>
      </c>
      <c r="F166" s="10">
        <f t="shared" si="2"/>
        <v>-1</v>
      </c>
      <c r="G166" cm="1">
        <f t="array" ref="G166:J166">_xlfn.XLOOKUP(A166, Sheet1!A:A, Sheet1!C:F)</f>
        <v>24.99</v>
      </c>
      <c r="H166">
        <v>17.189</v>
      </c>
      <c r="I166">
        <v>17.498000000000001</v>
      </c>
      <c r="J166">
        <v>26.765999999999998</v>
      </c>
    </row>
    <row r="167" spans="1:10" x14ac:dyDescent="0.3">
      <c r="A167" t="str" cm="1">
        <f t="array" ref="A167">IF(ROW()&lt;=COUNTA(Sheet1!A:A), INDEX(Sheet1!A:A, ROW()),
INDEX(Sheet4!A:A, ROW()-COUNTA(Sheet1!A:A)))</f>
        <v>Al14.2Cr17.8Fe28.4Co19.1Ni20.5</v>
      </c>
      <c r="B167" s="10">
        <f>_xlfn.XLOOKUP(A167, Sheet4!A:A, Sheet4!C:C)</f>
        <v>0</v>
      </c>
      <c r="C167" s="10">
        <v>-1</v>
      </c>
      <c r="D167" s="10">
        <f>_xlfn.XLOOKUP(A167, Sheet2!A:A, Sheet2!B:B)</f>
        <v>7.5350000000000001</v>
      </c>
      <c r="E167" s="10">
        <f>_xlfn.XLOOKUP(A167, Sheet1!A:A, Sheet1!G:G)</f>
        <v>-1</v>
      </c>
      <c r="F167" s="10">
        <f t="shared" si="2"/>
        <v>-1</v>
      </c>
      <c r="G167" cm="1">
        <f t="array" ref="G167:J167">_xlfn.XLOOKUP(A167, Sheet1!A:A, Sheet1!C:F)</f>
        <v>25</v>
      </c>
      <c r="H167">
        <v>17.2</v>
      </c>
      <c r="I167">
        <v>17.5</v>
      </c>
      <c r="J167">
        <v>26.8</v>
      </c>
    </row>
    <row r="168" spans="1:10" x14ac:dyDescent="0.3">
      <c r="A168" t="str" cm="1">
        <f t="array" ref="A168">IF(ROW()&lt;=COUNTA(Sheet1!A:A), INDEX(Sheet1!A:A, ROW()),
INDEX(Sheet4!A:A, ROW()-COUNTA(Sheet1!A:A)))</f>
        <v>AlCoCrFeNi3.0</v>
      </c>
      <c r="B168" s="10">
        <f>_xlfn.XLOOKUP(A168, Sheet4!A:A, Sheet4!C:C)</f>
        <v>0</v>
      </c>
      <c r="C168" s="10">
        <v>-1</v>
      </c>
      <c r="D168" s="10">
        <f>_xlfn.XLOOKUP(A168, Sheet2!A:A, Sheet2!B:B)</f>
        <v>8</v>
      </c>
      <c r="E168" s="10">
        <f>_xlfn.XLOOKUP(A168, Sheet1!A:A, Sheet1!G:G)</f>
        <v>-1</v>
      </c>
      <c r="F168" s="10">
        <f t="shared" si="2"/>
        <v>-1</v>
      </c>
      <c r="G168" cm="1">
        <f t="array" ref="G168:J168">_xlfn.XLOOKUP(A168, Sheet1!A:A, Sheet1!C:F)</f>
        <v>17.344000000000001</v>
      </c>
      <c r="H168">
        <v>19.928000000000001</v>
      </c>
      <c r="I168">
        <v>26.998999999999999</v>
      </c>
      <c r="J168">
        <v>21.844000000000001</v>
      </c>
    </row>
    <row r="169" spans="1:10" x14ac:dyDescent="0.3">
      <c r="A169" t="str" cm="1">
        <f t="array" ref="A169">IF(ROW()&lt;=COUNTA(Sheet1!A:A), INDEX(Sheet1!A:A, ROW()),
INDEX(Sheet4!A:A, ROW()-COUNTA(Sheet1!A:A)))</f>
        <v>AlCoCr2FeNi2</v>
      </c>
      <c r="B169" s="10">
        <f>_xlfn.XLOOKUP(A169, Sheet4!A:A, Sheet4!C:C)</f>
        <v>0</v>
      </c>
      <c r="C169" s="10">
        <v>-1</v>
      </c>
      <c r="D169" s="10">
        <f>_xlfn.XLOOKUP(A169, Sheet2!A:A, Sheet2!B:B)</f>
        <v>7.4286000000000003</v>
      </c>
      <c r="E169" s="10">
        <f>_xlfn.XLOOKUP(A169, Sheet1!A:A, Sheet1!G:G)</f>
        <v>-1</v>
      </c>
      <c r="F169" s="10">
        <f t="shared" si="2"/>
        <v>-1</v>
      </c>
      <c r="G169" cm="1">
        <f t="array" ref="G169:J169">_xlfn.XLOOKUP(A169, Sheet1!A:A, Sheet1!C:F)</f>
        <v>17.3</v>
      </c>
      <c r="H169">
        <v>19.899999999999999</v>
      </c>
      <c r="I169">
        <v>27</v>
      </c>
      <c r="J169">
        <v>21.8</v>
      </c>
    </row>
    <row r="170" spans="1:10" x14ac:dyDescent="0.3">
      <c r="A170" t="str" cm="1">
        <f t="array" ref="A170">IF(ROW()&lt;=COUNTA(Sheet1!A:A), INDEX(Sheet1!A:A, ROW()),
INDEX(Sheet4!A:A, ROW()-COUNTA(Sheet1!A:A)))</f>
        <v>Al0.85CoCrFeNi2.1</v>
      </c>
      <c r="B170" s="10">
        <f>_xlfn.XLOOKUP(A170, Sheet4!A:A, Sheet4!C:C)</f>
        <v>0</v>
      </c>
      <c r="C170" s="10">
        <v>-1</v>
      </c>
      <c r="D170" s="10">
        <f>_xlfn.XLOOKUP(A170, Sheet2!A:A, Sheet2!B:B)</f>
        <v>7.8235000000000001</v>
      </c>
      <c r="E170" s="10">
        <f>_xlfn.XLOOKUP(A170, Sheet1!A:A, Sheet1!G:G)</f>
        <v>-1</v>
      </c>
      <c r="F170" s="10">
        <f t="shared" si="2"/>
        <v>-1</v>
      </c>
      <c r="G170" cm="1">
        <f t="array" ref="G170:J170">_xlfn.XLOOKUP(A170, Sheet1!A:A, Sheet1!C:F)</f>
        <v>4</v>
      </c>
      <c r="H170">
        <v>34</v>
      </c>
      <c r="I170">
        <v>34</v>
      </c>
      <c r="J170">
        <v>14</v>
      </c>
    </row>
    <row r="171" spans="1:10" x14ac:dyDescent="0.3">
      <c r="A171" t="str" cm="1">
        <f t="array" ref="A171">IF(ROW()&lt;=COUNTA(Sheet1!A:A), INDEX(Sheet1!A:A, ROW()),
INDEX(Sheet4!A:A, ROW()-COUNTA(Sheet1!A:A)))</f>
        <v>Al15Co30Cr15Fe40Ni5</v>
      </c>
      <c r="B171" s="10">
        <f>_xlfn.XLOOKUP(A171, Sheet4!A:A, Sheet4!C:C)</f>
        <v>0</v>
      </c>
      <c r="C171" s="10">
        <v>-1</v>
      </c>
      <c r="D171" s="10">
        <f>_xlfn.XLOOKUP(A171, Sheet2!A:A, Sheet2!B:B)</f>
        <v>7.3810000000000002</v>
      </c>
      <c r="E171" s="10">
        <f>_xlfn.XLOOKUP(A171, Sheet1!A:A, Sheet1!G:G)</f>
        <v>-1</v>
      </c>
      <c r="F171" s="10">
        <f t="shared" si="2"/>
        <v>-1</v>
      </c>
      <c r="G171" cm="1">
        <f t="array" ref="G171:J171">_xlfn.XLOOKUP(A171, Sheet1!A:A, Sheet1!C:F)</f>
        <v>19.114000000000001</v>
      </c>
      <c r="H171">
        <v>17.818000000000001</v>
      </c>
      <c r="I171">
        <v>28.373999999999999</v>
      </c>
      <c r="J171">
        <v>20.513000000000002</v>
      </c>
    </row>
    <row r="172" spans="1:10" x14ac:dyDescent="0.3">
      <c r="A172" t="str" cm="1">
        <f t="array" ref="A172">IF(ROW()&lt;=COUNTA(Sheet1!A:A), INDEX(Sheet1!A:A, ROW()),
INDEX(Sheet4!A:A, ROW()-COUNTA(Sheet1!A:A)))</f>
        <v>Al14.3Cr18.1Fe24.6Co18.9Ni24.1</v>
      </c>
      <c r="B172" s="10">
        <f>_xlfn.XLOOKUP(A172, Sheet4!A:A, Sheet4!C:C)</f>
        <v>0</v>
      </c>
      <c r="C172" s="10">
        <v>-1</v>
      </c>
      <c r="D172" s="10">
        <f>_xlfn.XLOOKUP(A172, Sheet2!A:A, Sheet2!B:B)</f>
        <v>7.5940000000000003</v>
      </c>
      <c r="E172" s="10">
        <f>_xlfn.XLOOKUP(A172, Sheet1!A:A, Sheet1!G:G)</f>
        <v>-1</v>
      </c>
      <c r="F172" s="10">
        <f t="shared" si="2"/>
        <v>-1</v>
      </c>
      <c r="G172" cm="1">
        <f t="array" ref="G172:J172">_xlfn.XLOOKUP(A172, Sheet1!A:A, Sheet1!C:F)</f>
        <v>19.100000000000001</v>
      </c>
      <c r="H172">
        <v>17.8</v>
      </c>
      <c r="I172">
        <v>28.4</v>
      </c>
      <c r="J172">
        <v>20.5</v>
      </c>
    </row>
    <row r="173" spans="1:10" x14ac:dyDescent="0.3">
      <c r="A173" t="str" cm="1">
        <f t="array" ref="A173">IF(ROW()&lt;=COUNTA(Sheet1!A:A), INDEX(Sheet1!A:A, ROW()),
INDEX(Sheet4!A:A, ROW()-COUNTA(Sheet1!A:A)))</f>
        <v>Al14.321Cr18.079Fe24.613Co18.905Ni24.082</v>
      </c>
      <c r="B173" s="10">
        <f>_xlfn.XLOOKUP(A173, Sheet4!A:A, Sheet4!C:C)</f>
        <v>0</v>
      </c>
      <c r="C173" s="10">
        <v>-1</v>
      </c>
      <c r="D173" s="10">
        <f>_xlfn.XLOOKUP(A173, Sheet2!A:A, Sheet2!B:B)</f>
        <v>7.5930999999999997</v>
      </c>
      <c r="E173" s="10">
        <f>_xlfn.XLOOKUP(A173, Sheet1!A:A, Sheet1!G:G)</f>
        <v>-1</v>
      </c>
      <c r="F173" s="10">
        <f t="shared" si="2"/>
        <v>-1</v>
      </c>
      <c r="G173" cm="1">
        <f t="array" ref="G173:J173">_xlfn.XLOOKUP(A173, Sheet1!A:A, Sheet1!C:F)</f>
        <v>14.28571429</v>
      </c>
      <c r="H173">
        <v>14.28571429</v>
      </c>
      <c r="I173">
        <v>14.28571429</v>
      </c>
      <c r="J173">
        <v>42.857142860000003</v>
      </c>
    </row>
    <row r="174" spans="1:10" x14ac:dyDescent="0.3">
      <c r="A174" t="str" cm="1">
        <f t="array" ref="A174">IF(ROW()&lt;=COUNTA(Sheet1!A:A), INDEX(Sheet1!A:A, ROW()),
INDEX(Sheet4!A:A, ROW()-COUNTA(Sheet1!A:A)))</f>
        <v>Al14.497Cr18.628Fe24.345Co20.467Ni22.063</v>
      </c>
      <c r="B174" s="10">
        <f>_xlfn.XLOOKUP(A174, Sheet4!A:A, Sheet4!C:C)</f>
        <v>0</v>
      </c>
      <c r="C174" s="10">
        <v>-1</v>
      </c>
      <c r="D174" s="10">
        <f>_xlfn.XLOOKUP(A174, Sheet2!A:A, Sheet2!B:B)</f>
        <v>7.5484999999999998</v>
      </c>
      <c r="E174" s="10">
        <f>_xlfn.XLOOKUP(A174, Sheet1!A:A, Sheet1!G:G)</f>
        <v>-1</v>
      </c>
      <c r="F174" s="10">
        <f t="shared" si="2"/>
        <v>-1</v>
      </c>
      <c r="G174" cm="1">
        <f t="array" ref="G174:J174">_xlfn.XLOOKUP(A174, Sheet1!A:A, Sheet1!C:F)</f>
        <v>14.28571429</v>
      </c>
      <c r="H174">
        <v>28.571428569999998</v>
      </c>
      <c r="I174">
        <v>14.28571429</v>
      </c>
      <c r="J174">
        <v>28.571428569999998</v>
      </c>
    </row>
    <row r="175" spans="1:10" x14ac:dyDescent="0.3">
      <c r="A175" t="str" cm="1">
        <f t="array" ref="A175">IF(ROW()&lt;=COUNTA(Sheet1!A:A), INDEX(Sheet1!A:A, ROW()),
INDEX(Sheet4!A:A, ROW()-COUNTA(Sheet1!A:A)))</f>
        <v>Al14.5Cr18.6Fe24.3Co20.5Ni22.1</v>
      </c>
      <c r="B175" s="10">
        <f>_xlfn.XLOOKUP(A175, Sheet4!A:A, Sheet4!C:C)</f>
        <v>0</v>
      </c>
      <c r="C175" s="10">
        <v>-1</v>
      </c>
      <c r="D175" s="10">
        <f>_xlfn.XLOOKUP(A175, Sheet2!A:A, Sheet2!B:B)</f>
        <v>7.55</v>
      </c>
      <c r="E175" s="10">
        <f>_xlfn.XLOOKUP(A175, Sheet1!A:A, Sheet1!G:G)</f>
        <v>-1</v>
      </c>
      <c r="F175" s="10">
        <f t="shared" si="2"/>
        <v>-1</v>
      </c>
      <c r="G175" cm="1">
        <f t="array" ref="G175:J175">_xlfn.XLOOKUP(A175, Sheet1!A:A, Sheet1!C:F)</f>
        <v>16.806722690000001</v>
      </c>
      <c r="H175">
        <v>16.806722690000001</v>
      </c>
      <c r="I175">
        <v>16.806722690000001</v>
      </c>
      <c r="J175">
        <v>35.294117649999997</v>
      </c>
    </row>
    <row r="176" spans="1:10" x14ac:dyDescent="0.3">
      <c r="A176" t="str" cm="1">
        <f t="array" ref="A176">IF(ROW()&lt;=COUNTA(Sheet1!A:A), INDEX(Sheet1!A:A, ROW()),
INDEX(Sheet4!A:A, ROW()-COUNTA(Sheet1!A:A)))</f>
        <v>Al14.8Cr13.2Fe17.4Co24.3Ni30.4</v>
      </c>
      <c r="B176" s="10">
        <f>_xlfn.XLOOKUP(A176, Sheet4!A:A, Sheet4!C:C)</f>
        <v>0</v>
      </c>
      <c r="C176" s="10">
        <v>-1</v>
      </c>
      <c r="D176" s="10">
        <f>_xlfn.XLOOKUP(A176, Sheet2!A:A, Sheet2!B:B)</f>
        <v>7.8472</v>
      </c>
      <c r="E176" s="10">
        <f>_xlfn.XLOOKUP(A176, Sheet1!A:A, Sheet1!G:G)</f>
        <v>-1</v>
      </c>
      <c r="F176" s="10">
        <f t="shared" si="2"/>
        <v>-1</v>
      </c>
      <c r="G176" cm="1">
        <f t="array" ref="G176:J176">_xlfn.XLOOKUP(A176, Sheet1!A:A, Sheet1!C:F)</f>
        <v>30</v>
      </c>
      <c r="H176">
        <v>15</v>
      </c>
      <c r="I176">
        <v>40</v>
      </c>
      <c r="J176">
        <v>5</v>
      </c>
    </row>
    <row r="177" spans="1:10" x14ac:dyDescent="0.3">
      <c r="A177" t="str" cm="1">
        <f t="array" ref="A177">IF(ROW()&lt;=COUNTA(Sheet1!A:A), INDEX(Sheet1!A:A, ROW()),
INDEX(Sheet4!A:A, ROW()-COUNTA(Sheet1!A:A)))</f>
        <v>Al14.788Cr13.16Fe17.403Co24.252Ni30.397</v>
      </c>
      <c r="B177" s="10">
        <f>_xlfn.XLOOKUP(A177, Sheet4!A:A, Sheet4!C:C)</f>
        <v>0</v>
      </c>
      <c r="C177" s="10">
        <v>-1</v>
      </c>
      <c r="D177" s="10">
        <f>_xlfn.XLOOKUP(A177, Sheet2!A:A, Sheet2!B:B)</f>
        <v>7.8479000000000001</v>
      </c>
      <c r="E177" s="10">
        <f>_xlfn.XLOOKUP(A177, Sheet1!A:A, Sheet1!G:G)</f>
        <v>-1</v>
      </c>
      <c r="F177" s="10">
        <f t="shared" si="2"/>
        <v>-1</v>
      </c>
      <c r="G177" cm="1">
        <f t="array" ref="G177:J177">_xlfn.XLOOKUP(A177, Sheet1!A:A, Sheet1!C:F)</f>
        <v>18.899999999999999</v>
      </c>
      <c r="H177">
        <v>18.100000000000001</v>
      </c>
      <c r="I177">
        <v>24.6</v>
      </c>
      <c r="J177">
        <v>24.1</v>
      </c>
    </row>
    <row r="178" spans="1:10" x14ac:dyDescent="0.3">
      <c r="A178" t="str" cm="1">
        <f t="array" ref="A178">IF(ROW()&lt;=COUNTA(Sheet1!A:A), INDEX(Sheet1!A:A, ROW()),
INDEX(Sheet4!A:A, ROW()-COUNTA(Sheet1!A:A)))</f>
        <v>Al14.8Co21.3Cr21.3Fe21.3Ni21.3</v>
      </c>
      <c r="B178" s="10" t="str">
        <f>_xlfn.XLOOKUP(A178, Sheet4!A:A, Sheet4!C:C)</f>
        <v>BCC+FCC+B2(ordered BCC)</v>
      </c>
      <c r="C178" s="10">
        <v>1</v>
      </c>
      <c r="D178" s="10">
        <f>_xlfn.XLOOKUP(A178, Sheet2!A:A, Sheet2!B:B)</f>
        <v>7.4729999999999999</v>
      </c>
      <c r="E178" s="10">
        <f>_xlfn.XLOOKUP(A178, Sheet1!A:A, Sheet1!G:G)</f>
        <v>-1</v>
      </c>
      <c r="F178" s="10">
        <f t="shared" si="2"/>
        <v>1</v>
      </c>
      <c r="G178" cm="1">
        <f t="array" ref="G178:J178">_xlfn.XLOOKUP(A178, Sheet1!A:A, Sheet1!C:F)</f>
        <v>18.905000000000001</v>
      </c>
      <c r="H178">
        <v>18.079000000000001</v>
      </c>
      <c r="I178">
        <v>24.613</v>
      </c>
      <c r="J178">
        <v>24.082000000000001</v>
      </c>
    </row>
    <row r="179" spans="1:10" x14ac:dyDescent="0.3">
      <c r="A179" t="str" cm="1">
        <f t="array" ref="A179">IF(ROW()&lt;=COUNTA(Sheet1!A:A), INDEX(Sheet1!A:A, ROW()),
INDEX(Sheet4!A:A, ROW()-COUNTA(Sheet1!A:A)))</f>
        <v>AlCoCrFeNi2.75</v>
      </c>
      <c r="B179" s="10">
        <f>_xlfn.XLOOKUP(A179, Sheet4!A:A, Sheet4!C:C)</f>
        <v>0</v>
      </c>
      <c r="C179" s="10">
        <v>-1</v>
      </c>
      <c r="D179" s="10">
        <f>_xlfn.XLOOKUP(A179, Sheet2!A:A, Sheet2!B:B)</f>
        <v>7.9259000000000004</v>
      </c>
      <c r="E179" s="10">
        <f>_xlfn.XLOOKUP(A179, Sheet1!A:A, Sheet1!G:G)</f>
        <v>-1</v>
      </c>
      <c r="F179" s="10">
        <f t="shared" si="2"/>
        <v>-1</v>
      </c>
      <c r="G179" cm="1">
        <f t="array" ref="G179:J179">_xlfn.XLOOKUP(A179, Sheet1!A:A, Sheet1!C:F)</f>
        <v>20.466999999999999</v>
      </c>
      <c r="H179">
        <v>18.628</v>
      </c>
      <c r="I179">
        <v>24.344999999999999</v>
      </c>
      <c r="J179">
        <v>22.062999999999999</v>
      </c>
    </row>
    <row r="180" spans="1:10" x14ac:dyDescent="0.3">
      <c r="A180" t="str" cm="1">
        <f t="array" ref="A180">IF(ROW()&lt;=COUNTA(Sheet1!A:A), INDEX(Sheet1!A:A, ROW()),
INDEX(Sheet4!A:A, ROW()-COUNTA(Sheet1!A:A)))</f>
        <v>Al14.8Cr14.8Fe19.6Co22.3Ni28.4</v>
      </c>
      <c r="B180" s="10">
        <f>_xlfn.XLOOKUP(A180, Sheet4!A:A, Sheet4!C:C)</f>
        <v>0</v>
      </c>
      <c r="C180" s="10">
        <v>-1</v>
      </c>
      <c r="D180" s="10">
        <f>_xlfn.XLOOKUP(A180, Sheet2!A:A, Sheet2!B:B)</f>
        <v>7.7548000000000004</v>
      </c>
      <c r="E180" s="10">
        <f>_xlfn.XLOOKUP(A180, Sheet1!A:A, Sheet1!G:G)</f>
        <v>-1</v>
      </c>
      <c r="F180" s="10">
        <f t="shared" si="2"/>
        <v>-1</v>
      </c>
      <c r="G180" cm="1">
        <f t="array" ref="G180:J180">_xlfn.XLOOKUP(A180, Sheet1!A:A, Sheet1!C:F)</f>
        <v>20.5</v>
      </c>
      <c r="H180">
        <v>18.600000000000001</v>
      </c>
      <c r="I180">
        <v>24.3</v>
      </c>
      <c r="J180">
        <v>22.1</v>
      </c>
    </row>
    <row r="181" spans="1:10" x14ac:dyDescent="0.3">
      <c r="A181" t="str" cm="1">
        <f t="array" ref="A181">IF(ROW()&lt;=COUNTA(Sheet1!A:A), INDEX(Sheet1!A:A, ROW()),
INDEX(Sheet4!A:A, ROW()-COUNTA(Sheet1!A:A)))</f>
        <v>Al14.83Cr14.837Fe19.63Co22.337Ni28.365</v>
      </c>
      <c r="B181" s="10">
        <f>_xlfn.XLOOKUP(A181, Sheet4!A:A, Sheet4!C:C)</f>
        <v>0</v>
      </c>
      <c r="C181" s="10">
        <v>-1</v>
      </c>
      <c r="D181" s="10">
        <f>_xlfn.XLOOKUP(A181, Sheet2!A:A, Sheet2!B:B)</f>
        <v>7.7523999999999997</v>
      </c>
      <c r="E181" s="10">
        <f>_xlfn.XLOOKUP(A181, Sheet1!A:A, Sheet1!G:G)</f>
        <v>-1</v>
      </c>
      <c r="F181" s="10">
        <f t="shared" si="2"/>
        <v>-1</v>
      </c>
      <c r="G181" cm="1">
        <f t="array" ref="G181:J181">_xlfn.XLOOKUP(A181, Sheet1!A:A, Sheet1!C:F)</f>
        <v>24.3</v>
      </c>
      <c r="H181">
        <v>13.2</v>
      </c>
      <c r="I181">
        <v>17.399999999999999</v>
      </c>
      <c r="J181">
        <v>30.4</v>
      </c>
    </row>
    <row r="182" spans="1:10" x14ac:dyDescent="0.3">
      <c r="A182" t="str" cm="1">
        <f t="array" ref="A182">IF(ROW()&lt;=COUNTA(Sheet1!A:A), INDEX(Sheet1!A:A, ROW()),
INDEX(Sheet4!A:A, ROW()-COUNTA(Sheet1!A:A)))</f>
        <v>Al14.875Cr19.132Fe32.462Co16.22Ni17.311</v>
      </c>
      <c r="B182" s="10">
        <f>_xlfn.XLOOKUP(A182, Sheet4!A:A, Sheet4!C:C)</f>
        <v>0</v>
      </c>
      <c r="C182" s="10">
        <v>-1</v>
      </c>
      <c r="D182" s="10">
        <f>_xlfn.XLOOKUP(A182, Sheet2!A:A, Sheet2!B:B)</f>
        <v>7.3819999999999997</v>
      </c>
      <c r="E182" s="10">
        <f>_xlfn.XLOOKUP(A182, Sheet1!A:A, Sheet1!G:G)</f>
        <v>-1</v>
      </c>
      <c r="F182" s="10">
        <f t="shared" si="2"/>
        <v>-1</v>
      </c>
      <c r="G182" cm="1">
        <f t="array" ref="G182:J182">_xlfn.XLOOKUP(A182, Sheet1!A:A, Sheet1!C:F)</f>
        <v>24.251999999999999</v>
      </c>
      <c r="H182">
        <v>13.16</v>
      </c>
      <c r="I182">
        <v>17.402999999999999</v>
      </c>
      <c r="J182">
        <v>30.396999999999998</v>
      </c>
    </row>
    <row r="183" spans="1:10" x14ac:dyDescent="0.3">
      <c r="A183" t="str" cm="1">
        <f t="array" ref="A183">IF(ROW()&lt;=COUNTA(Sheet1!A:A), INDEX(Sheet1!A:A, ROW()),
INDEX(Sheet4!A:A, ROW()-COUNTA(Sheet1!A:A)))</f>
        <v>Al14.877Cr16.287Fe21.804Co20.776Ni26.255</v>
      </c>
      <c r="B183" s="10">
        <f>_xlfn.XLOOKUP(A183, Sheet4!A:A, Sheet4!C:C)</f>
        <v>0</v>
      </c>
      <c r="C183" s="10">
        <v>-1</v>
      </c>
      <c r="D183" s="10">
        <f>_xlfn.XLOOKUP(A183, Sheet2!A:A, Sheet2!B:B)</f>
        <v>7.6632999999999996</v>
      </c>
      <c r="E183" s="10">
        <f>_xlfn.XLOOKUP(A183, Sheet1!A:A, Sheet1!G:G)</f>
        <v>-1</v>
      </c>
      <c r="F183" s="10">
        <f t="shared" si="2"/>
        <v>-1</v>
      </c>
      <c r="G183" cm="1">
        <f t="array" ref="G183:J183">_xlfn.XLOOKUP(A183, Sheet1!A:A, Sheet1!C:F)</f>
        <v>21.3</v>
      </c>
      <c r="H183">
        <v>21.3</v>
      </c>
      <c r="I183">
        <v>21.3</v>
      </c>
      <c r="J183">
        <v>21.3</v>
      </c>
    </row>
    <row r="184" spans="1:10" x14ac:dyDescent="0.3">
      <c r="A184" t="str" cm="1">
        <f t="array" ref="A184">IF(ROW()&lt;=COUNTA(Sheet1!A:A), INDEX(Sheet1!A:A, ROW()),
INDEX(Sheet4!A:A, ROW()-COUNTA(Sheet1!A:A)))</f>
        <v>Al14.9Cr16.3Fe21.8Co20.8Ni26.3</v>
      </c>
      <c r="B184" s="10">
        <f>_xlfn.XLOOKUP(A184, Sheet4!A:A, Sheet4!C:C)</f>
        <v>0</v>
      </c>
      <c r="C184" s="10">
        <v>-1</v>
      </c>
      <c r="D184" s="10">
        <f>_xlfn.XLOOKUP(A184, Sheet2!A:A, Sheet2!B:B)</f>
        <v>7.6632999999999996</v>
      </c>
      <c r="E184" s="10">
        <f>_xlfn.XLOOKUP(A184, Sheet1!A:A, Sheet1!G:G)</f>
        <v>-1</v>
      </c>
      <c r="F184" s="10">
        <f t="shared" si="2"/>
        <v>-1</v>
      </c>
      <c r="G184" cm="1">
        <f t="array" ref="G184:J184">_xlfn.XLOOKUP(A184, Sheet1!A:A, Sheet1!C:F)</f>
        <v>21.3</v>
      </c>
      <c r="H184">
        <v>21.3</v>
      </c>
      <c r="I184">
        <v>21.3</v>
      </c>
      <c r="J184">
        <v>21.3</v>
      </c>
    </row>
    <row r="185" spans="1:10" x14ac:dyDescent="0.3">
      <c r="A185" t="str" cm="1">
        <f t="array" ref="A185">IF(ROW()&lt;=COUNTA(Sheet1!A:A), INDEX(Sheet1!A:A, ROW()),
INDEX(Sheet4!A:A, ROW()-COUNTA(Sheet1!A:A)))</f>
        <v>Al0.7CoCrFeNi</v>
      </c>
      <c r="B185" s="10" t="str">
        <f>_xlfn.XLOOKUP(A185, Sheet4!A:A, Sheet4!C:C)</f>
        <v>FCC+BCC</v>
      </c>
      <c r="C185" s="10">
        <v>-1</v>
      </c>
      <c r="D185" s="10">
        <f>_xlfn.XLOOKUP(A185, Sheet2!A:A, Sheet2!B:B)</f>
        <v>7.4680999999999997</v>
      </c>
      <c r="E185" s="10">
        <f>_xlfn.XLOOKUP(A185, Sheet1!A:A, Sheet1!G:G)</f>
        <v>-1</v>
      </c>
      <c r="F185" s="10">
        <f t="shared" si="2"/>
        <v>-1</v>
      </c>
      <c r="G185" cm="1">
        <f t="array" ref="G185:J185">_xlfn.XLOOKUP(A185, Sheet1!A:A, Sheet1!C:F)</f>
        <v>14.81481481</v>
      </c>
      <c r="H185">
        <v>14.81481481</v>
      </c>
      <c r="I185">
        <v>14.81481481</v>
      </c>
      <c r="J185">
        <v>40.74074074</v>
      </c>
    </row>
    <row r="186" spans="1:10" x14ac:dyDescent="0.3">
      <c r="A186" t="str" cm="1">
        <f t="array" ref="A186">IF(ROW()&lt;=COUNTA(Sheet1!A:A), INDEX(Sheet1!A:A, ROW()),
INDEX(Sheet4!A:A, ROW()-COUNTA(Sheet1!A:A)))</f>
        <v>Al14.9Cr19.1Fe32.5Co16.2Ni17.3</v>
      </c>
      <c r="B186" s="10">
        <f>_xlfn.XLOOKUP(A186, Sheet4!A:A, Sheet4!C:C)</f>
        <v>0</v>
      </c>
      <c r="C186" s="10">
        <v>-1</v>
      </c>
      <c r="D186" s="10">
        <f>_xlfn.XLOOKUP(A186, Sheet2!A:A, Sheet2!B:B)</f>
        <v>7.3810000000000002</v>
      </c>
      <c r="E186" s="10">
        <f>_xlfn.XLOOKUP(A186, Sheet1!A:A, Sheet1!G:G)</f>
        <v>-1</v>
      </c>
      <c r="F186" s="10">
        <f t="shared" si="2"/>
        <v>-1</v>
      </c>
      <c r="G186" cm="1">
        <f t="array" ref="G186:J186">_xlfn.XLOOKUP(A186, Sheet1!A:A, Sheet1!C:F)</f>
        <v>22.3</v>
      </c>
      <c r="H186">
        <v>14.8</v>
      </c>
      <c r="I186">
        <v>19.600000000000001</v>
      </c>
      <c r="J186">
        <v>28.4</v>
      </c>
    </row>
    <row r="187" spans="1:10" x14ac:dyDescent="0.3">
      <c r="A187" t="str" cm="1">
        <f t="array" ref="A187">IF(ROW()&lt;=COUNTA(Sheet1!A:A), INDEX(Sheet1!A:A, ROW()),
INDEX(Sheet4!A:A, ROW()-COUNTA(Sheet1!A:A)))</f>
        <v>Al14.907Cr19.271Fe20.641Co21.738Ni23.443</v>
      </c>
      <c r="B187" s="10">
        <f>_xlfn.XLOOKUP(A187, Sheet4!A:A, Sheet4!C:C)</f>
        <v>0</v>
      </c>
      <c r="C187" s="10">
        <v>-1</v>
      </c>
      <c r="D187" s="10">
        <f>_xlfn.XLOOKUP(A187, Sheet2!A:A, Sheet2!B:B)</f>
        <v>7.5555000000000003</v>
      </c>
      <c r="E187" s="10">
        <f>_xlfn.XLOOKUP(A187, Sheet1!A:A, Sheet1!G:G)</f>
        <v>-1</v>
      </c>
      <c r="F187" s="10">
        <f t="shared" si="2"/>
        <v>-1</v>
      </c>
      <c r="G187" cm="1">
        <f t="array" ref="G187:J187">_xlfn.XLOOKUP(A187, Sheet1!A:A, Sheet1!C:F)</f>
        <v>22.337</v>
      </c>
      <c r="H187">
        <v>14.837</v>
      </c>
      <c r="I187">
        <v>19.63</v>
      </c>
      <c r="J187">
        <v>28.364999999999998</v>
      </c>
    </row>
    <row r="188" spans="1:10" x14ac:dyDescent="0.3">
      <c r="A188" t="str" cm="1">
        <f t="array" ref="A188">IF(ROW()&lt;=COUNTA(Sheet1!A:A), INDEX(Sheet1!A:A, ROW()),
INDEX(Sheet4!A:A, ROW()-COUNTA(Sheet1!A:A)))</f>
        <v>Al14.9Cr19.3Fe20.6Co21.7Ni23.4</v>
      </c>
      <c r="B188" s="10">
        <f>_xlfn.XLOOKUP(A188, Sheet4!A:A, Sheet4!C:C)</f>
        <v>0</v>
      </c>
      <c r="C188" s="10">
        <v>-1</v>
      </c>
      <c r="D188" s="10">
        <f>_xlfn.XLOOKUP(A188, Sheet2!A:A, Sheet2!B:B)</f>
        <v>7.5536000000000003</v>
      </c>
      <c r="E188" s="10">
        <f>_xlfn.XLOOKUP(A188, Sheet1!A:A, Sheet1!G:G)</f>
        <v>-1</v>
      </c>
      <c r="F188" s="10">
        <f t="shared" si="2"/>
        <v>-1</v>
      </c>
      <c r="G188" cm="1">
        <f t="array" ref="G188:J188">_xlfn.XLOOKUP(A188, Sheet1!A:A, Sheet1!C:F)</f>
        <v>16.22</v>
      </c>
      <c r="H188">
        <v>19.132000000000001</v>
      </c>
      <c r="I188">
        <v>32.462000000000003</v>
      </c>
      <c r="J188">
        <v>17.311</v>
      </c>
    </row>
    <row r="189" spans="1:10" x14ac:dyDescent="0.3">
      <c r="A189" t="str" cm="1">
        <f t="array" ref="A189">IF(ROW()&lt;=COUNTA(Sheet1!A:A), INDEX(Sheet1!A:A, ROW()),
INDEX(Sheet4!A:A, ROW()-COUNTA(Sheet1!A:A)))</f>
        <v>Al0.6CoCr0.4FeNi</v>
      </c>
      <c r="B189" s="10">
        <f>_xlfn.XLOOKUP(A189, Sheet4!A:A, Sheet4!C:C)</f>
        <v>0</v>
      </c>
      <c r="C189" s="10">
        <v>-1</v>
      </c>
      <c r="D189" s="10">
        <f>_xlfn.XLOOKUP(A189, Sheet2!A:A, Sheet2!B:B)</f>
        <v>7.8</v>
      </c>
      <c r="E189" s="10">
        <f>_xlfn.XLOOKUP(A189, Sheet1!A:A, Sheet1!G:G)</f>
        <v>-1</v>
      </c>
      <c r="F189" s="10">
        <f t="shared" si="2"/>
        <v>-1</v>
      </c>
      <c r="G189" cm="1">
        <f t="array" ref="G189:J189">_xlfn.XLOOKUP(A189, Sheet1!A:A, Sheet1!C:F)</f>
        <v>20.776</v>
      </c>
      <c r="H189">
        <v>16.286999999999999</v>
      </c>
      <c r="I189">
        <v>21.803999999999998</v>
      </c>
      <c r="J189">
        <v>26.254999999999999</v>
      </c>
    </row>
    <row r="190" spans="1:10" x14ac:dyDescent="0.3">
      <c r="A190" t="str" cm="1">
        <f t="array" ref="A190">IF(ROW()&lt;=COUNTA(Sheet1!A:A), INDEX(Sheet1!A:A, ROW()),
INDEX(Sheet4!A:A, ROW()-COUNTA(Sheet1!A:A)))</f>
        <v>Al15.1Cr20.3Fe6.9Co28.2Ni29.5</v>
      </c>
      <c r="B190" s="10">
        <f>_xlfn.XLOOKUP(A190, Sheet4!A:A, Sheet4!C:C)</f>
        <v>0</v>
      </c>
      <c r="C190" s="10">
        <v>-1</v>
      </c>
      <c r="D190" s="10">
        <f>_xlfn.XLOOKUP(A190, Sheet2!A:A, Sheet2!B:B)</f>
        <v>7.7110000000000003</v>
      </c>
      <c r="E190" s="10">
        <f>_xlfn.XLOOKUP(A190, Sheet1!A:A, Sheet1!G:G)</f>
        <v>-1</v>
      </c>
      <c r="F190" s="10">
        <f t="shared" si="2"/>
        <v>-1</v>
      </c>
      <c r="G190" cm="1">
        <f t="array" ref="G190:J190">_xlfn.XLOOKUP(A190, Sheet1!A:A, Sheet1!C:F)</f>
        <v>20.8</v>
      </c>
      <c r="H190">
        <v>16.3</v>
      </c>
      <c r="I190">
        <v>21.8</v>
      </c>
      <c r="J190">
        <v>26.3</v>
      </c>
    </row>
    <row r="191" spans="1:10" x14ac:dyDescent="0.3">
      <c r="A191" t="str" cm="1">
        <f t="array" ref="A191">IF(ROW()&lt;=COUNTA(Sheet1!A:A), INDEX(Sheet1!A:A, ROW()),
INDEX(Sheet4!A:A, ROW()-COUNTA(Sheet1!A:A)))</f>
        <v>Al15.125Cr20.286Fe6.8925Co28.225Ni29.472</v>
      </c>
      <c r="B191" s="10">
        <f>_xlfn.XLOOKUP(A191, Sheet4!A:A, Sheet4!C:C)</f>
        <v>0</v>
      </c>
      <c r="C191" s="10">
        <v>-1</v>
      </c>
      <c r="D191" s="10">
        <f>_xlfn.XLOOKUP(A191, Sheet2!A:A, Sheet2!B:B)</f>
        <v>7.7096999999999998</v>
      </c>
      <c r="E191" s="10">
        <f>_xlfn.XLOOKUP(A191, Sheet1!A:A, Sheet1!G:G)</f>
        <v>1</v>
      </c>
      <c r="F191" s="10">
        <f t="shared" si="2"/>
        <v>1</v>
      </c>
      <c r="G191" cm="1">
        <f t="array" ref="G191:J191">_xlfn.XLOOKUP(A191, Sheet1!A:A, Sheet1!C:F)</f>
        <v>21.276595740000001</v>
      </c>
      <c r="H191">
        <v>21.276595740000001</v>
      </c>
      <c r="I191">
        <v>21.276595740000001</v>
      </c>
      <c r="J191">
        <v>21.276595740000001</v>
      </c>
    </row>
    <row r="192" spans="1:10" x14ac:dyDescent="0.3">
      <c r="A192" t="str" cm="1">
        <f t="array" ref="A192">IF(ROW()&lt;=COUNTA(Sheet1!A:A), INDEX(Sheet1!A:A, ROW()),
INDEX(Sheet4!A:A, ROW()-COUNTA(Sheet1!A:A)))</f>
        <v>Al15.2Cr19.9Fe17.4Co23.2Ni24.3</v>
      </c>
      <c r="B192" s="10">
        <f>_xlfn.XLOOKUP(A192, Sheet4!A:A, Sheet4!C:C)</f>
        <v>0</v>
      </c>
      <c r="C192" s="10">
        <v>-1</v>
      </c>
      <c r="D192" s="10">
        <f>_xlfn.XLOOKUP(A192, Sheet2!A:A, Sheet2!B:B)</f>
        <v>7.56</v>
      </c>
      <c r="E192" s="10">
        <f>_xlfn.XLOOKUP(A192, Sheet1!A:A, Sheet1!G:G)</f>
        <v>-1</v>
      </c>
      <c r="F192" s="10">
        <f t="shared" si="2"/>
        <v>-1</v>
      </c>
      <c r="G192" cm="1">
        <f t="array" ref="G192:J192">_xlfn.XLOOKUP(A192, Sheet1!A:A, Sheet1!C:F)</f>
        <v>16.2</v>
      </c>
      <c r="H192">
        <v>19.100000000000001</v>
      </c>
      <c r="I192">
        <v>32.5</v>
      </c>
      <c r="J192">
        <v>17.3</v>
      </c>
    </row>
    <row r="193" spans="1:10" x14ac:dyDescent="0.3">
      <c r="A193" t="str" cm="1">
        <f t="array" ref="A193">IF(ROW()&lt;=COUNTA(Sheet1!A:A), INDEX(Sheet1!A:A, ROW()),
INDEX(Sheet4!A:A, ROW()-COUNTA(Sheet1!A:A)))</f>
        <v>Al15.247Cr19.915Fe17.397Co23.157Ni24.284</v>
      </c>
      <c r="B193" s="10">
        <f>_xlfn.XLOOKUP(A193, Sheet4!A:A, Sheet4!C:C)</f>
        <v>0</v>
      </c>
      <c r="C193" s="10">
        <v>-1</v>
      </c>
      <c r="D193" s="10">
        <f>_xlfn.XLOOKUP(A193, Sheet2!A:A, Sheet2!B:B)</f>
        <v>7.5566000000000004</v>
      </c>
      <c r="E193" s="10">
        <f>_xlfn.XLOOKUP(A193, Sheet1!A:A, Sheet1!G:G)</f>
        <v>-1</v>
      </c>
      <c r="F193" s="10">
        <f t="shared" si="2"/>
        <v>-1</v>
      </c>
      <c r="G193" cm="1">
        <f t="array" ref="G193:J193">_xlfn.XLOOKUP(A193, Sheet1!A:A, Sheet1!C:F)</f>
        <v>21.738</v>
      </c>
      <c r="H193">
        <v>19.271000000000001</v>
      </c>
      <c r="I193">
        <v>20.640999999999998</v>
      </c>
      <c r="J193">
        <v>23.443000000000001</v>
      </c>
    </row>
    <row r="194" spans="1:10" x14ac:dyDescent="0.3">
      <c r="A194" t="str" cm="1">
        <f t="array" ref="A194">IF(ROW()&lt;=COUNTA(Sheet1!A:A), INDEX(Sheet1!A:A, ROW()),
INDEX(Sheet4!A:A, ROW()-COUNTA(Sheet1!A:A)))</f>
        <v>Al15.3Cr20.4Fe7.7Co27.4Ni29.2</v>
      </c>
      <c r="B194" s="10">
        <f>_xlfn.XLOOKUP(A194, Sheet4!A:A, Sheet4!C:C)</f>
        <v>0</v>
      </c>
      <c r="C194" s="10">
        <v>-1</v>
      </c>
      <c r="D194" s="10">
        <f>_xlfn.XLOOKUP(A194, Sheet2!A:A, Sheet2!B:B)</f>
        <v>7.6849999999999996</v>
      </c>
      <c r="E194" s="10">
        <f>_xlfn.XLOOKUP(A194, Sheet1!A:A, Sheet1!G:G)</f>
        <v>-1</v>
      </c>
      <c r="F194" s="10">
        <f t="shared" si="2"/>
        <v>-1</v>
      </c>
      <c r="G194" cm="1">
        <f t="array" ref="G194:J194">_xlfn.XLOOKUP(A194, Sheet1!A:A, Sheet1!C:F)</f>
        <v>21.7</v>
      </c>
      <c r="H194">
        <v>19.3</v>
      </c>
      <c r="I194">
        <v>20.6</v>
      </c>
      <c r="J194">
        <v>23.4</v>
      </c>
    </row>
    <row r="195" spans="1:10" x14ac:dyDescent="0.3">
      <c r="A195" t="str" cm="1">
        <f t="array" ref="A195">IF(ROW()&lt;=COUNTA(Sheet1!A:A), INDEX(Sheet1!A:A, ROW()),
INDEX(Sheet4!A:A, ROW()-COUNTA(Sheet1!A:A)))</f>
        <v>Al15.327Cr20.411Fe7.7228Co27.382Ni29.157</v>
      </c>
      <c r="B195" s="10">
        <f>_xlfn.XLOOKUP(A195, Sheet4!A:A, Sheet4!C:C)</f>
        <v>0</v>
      </c>
      <c r="C195" s="10">
        <v>-1</v>
      </c>
      <c r="D195" s="10">
        <f>_xlfn.XLOOKUP(A195, Sheet2!A:A, Sheet2!B:B)</f>
        <v>7.6824000000000003</v>
      </c>
      <c r="E195" s="10">
        <f>_xlfn.XLOOKUP(A195, Sheet1!A:A, Sheet1!G:G)</f>
        <v>-1</v>
      </c>
      <c r="F195" s="10">
        <f t="shared" ref="F195:F258" si="3">IF(OR(C195=1, E195=1), 1,
   IF(OR(C195=0, E195=0), 0,
      -1))</f>
        <v>-1</v>
      </c>
      <c r="G195" cm="1">
        <f t="array" ref="G195:J195">_xlfn.XLOOKUP(A195, Sheet1!A:A, Sheet1!C:F)</f>
        <v>25</v>
      </c>
      <c r="H195">
        <v>10</v>
      </c>
      <c r="I195">
        <v>25</v>
      </c>
      <c r="J195">
        <v>25</v>
      </c>
    </row>
    <row r="196" spans="1:10" x14ac:dyDescent="0.3">
      <c r="A196" t="str" cm="1">
        <f t="array" ref="A196">IF(ROW()&lt;=COUNTA(Sheet1!A:A), INDEX(Sheet1!A:A, ROW()),
INDEX(Sheet4!A:A, ROW()-COUNTA(Sheet1!A:A)))</f>
        <v>Al15.379Cr20.469Fe9.0169Co26.904Ni28.231</v>
      </c>
      <c r="B196" s="10">
        <f>_xlfn.XLOOKUP(A196, Sheet4!A:A, Sheet4!C:C)</f>
        <v>0</v>
      </c>
      <c r="C196" s="10">
        <v>-1</v>
      </c>
      <c r="D196" s="10">
        <f>_xlfn.XLOOKUP(A196, Sheet2!A:A, Sheet2!B:B)</f>
        <v>7.6553000000000004</v>
      </c>
      <c r="E196" s="10">
        <f>_xlfn.XLOOKUP(A196, Sheet1!A:A, Sheet1!G:G)</f>
        <v>-1</v>
      </c>
      <c r="F196" s="10">
        <f t="shared" si="3"/>
        <v>-1</v>
      </c>
      <c r="G196" cm="1">
        <f t="array" ref="G196:J196">_xlfn.XLOOKUP(A196, Sheet1!A:A, Sheet1!C:F)</f>
        <v>28.2</v>
      </c>
      <c r="H196">
        <v>20.3</v>
      </c>
      <c r="I196">
        <v>6.9</v>
      </c>
      <c r="J196">
        <v>29.5</v>
      </c>
    </row>
    <row r="197" spans="1:10" x14ac:dyDescent="0.3">
      <c r="A197" t="str" cm="1">
        <f t="array" ref="A197">IF(ROW()&lt;=COUNTA(Sheet1!A:A), INDEX(Sheet1!A:A, ROW()),
INDEX(Sheet4!A:A, ROW()-COUNTA(Sheet1!A:A)))</f>
        <v>AlCoCrFeNi2.5</v>
      </c>
      <c r="B197" s="10">
        <f>_xlfn.XLOOKUP(A197, Sheet4!A:A, Sheet4!C:C)</f>
        <v>0</v>
      </c>
      <c r="C197" s="10">
        <v>-1</v>
      </c>
      <c r="D197" s="10">
        <f>_xlfn.XLOOKUP(A197, Sheet2!A:A, Sheet2!B:B)</f>
        <v>7.8461999999999996</v>
      </c>
      <c r="E197" s="10">
        <f>_xlfn.XLOOKUP(A197, Sheet1!A:A, Sheet1!G:G)</f>
        <v>-1</v>
      </c>
      <c r="F197" s="10">
        <f t="shared" si="3"/>
        <v>-1</v>
      </c>
      <c r="G197" cm="1">
        <f t="array" ref="G197:J197">_xlfn.XLOOKUP(A197, Sheet1!A:A, Sheet1!C:F)</f>
        <v>28.225000000000001</v>
      </c>
      <c r="H197">
        <v>20.286000000000001</v>
      </c>
      <c r="I197">
        <v>6.8925000000000001</v>
      </c>
      <c r="J197">
        <v>29.472000000000001</v>
      </c>
    </row>
    <row r="198" spans="1:10" x14ac:dyDescent="0.3">
      <c r="A198" t="str" cm="1">
        <f t="array" ref="A198">IF(ROW()&lt;=COUNTA(Sheet1!A:A), INDEX(Sheet1!A:A, ROW()),
INDEX(Sheet4!A:A, ROW()-COUNTA(Sheet1!A:A)))</f>
        <v>Al15.4Cr20.5Fe9Co26.9Ni28.2</v>
      </c>
      <c r="B198" s="10">
        <f>_xlfn.XLOOKUP(A198, Sheet4!A:A, Sheet4!C:C)</f>
        <v>0</v>
      </c>
      <c r="C198" s="10">
        <v>-1</v>
      </c>
      <c r="D198" s="10">
        <f>_xlfn.XLOOKUP(A198, Sheet2!A:A, Sheet2!B:B)</f>
        <v>7.6529999999999996</v>
      </c>
      <c r="E198" s="10">
        <f>_xlfn.XLOOKUP(A198, Sheet1!A:A, Sheet1!G:G)</f>
        <v>-1</v>
      </c>
      <c r="F198" s="10">
        <f t="shared" si="3"/>
        <v>-1</v>
      </c>
      <c r="G198" cm="1">
        <f t="array" ref="G198:J198">_xlfn.XLOOKUP(A198, Sheet1!A:A, Sheet1!C:F)</f>
        <v>23.2</v>
      </c>
      <c r="H198">
        <v>19.899999999999999</v>
      </c>
      <c r="I198">
        <v>17.399999999999999</v>
      </c>
      <c r="J198">
        <v>24.3</v>
      </c>
    </row>
    <row r="199" spans="1:10" x14ac:dyDescent="0.3">
      <c r="A199" t="str" cm="1">
        <f t="array" ref="A199">IF(ROW()&lt;=COUNTA(Sheet1!A:A), INDEX(Sheet1!A:A, ROW()),
INDEX(Sheet4!A:A, ROW()-COUNTA(Sheet1!A:A)))</f>
        <v>Al15.6Cr20.4Fe12.6Co25Ni26.4</v>
      </c>
      <c r="B199" s="10">
        <f>_xlfn.XLOOKUP(A199, Sheet4!A:A, Sheet4!C:C)</f>
        <v>0</v>
      </c>
      <c r="C199" s="10">
        <v>-1</v>
      </c>
      <c r="D199" s="10">
        <f>_xlfn.XLOOKUP(A199, Sheet2!A:A, Sheet2!B:B)</f>
        <v>7.59</v>
      </c>
      <c r="E199" s="10">
        <f>_xlfn.XLOOKUP(A199, Sheet1!A:A, Sheet1!G:G)</f>
        <v>-1</v>
      </c>
      <c r="F199" s="10">
        <f t="shared" si="3"/>
        <v>-1</v>
      </c>
      <c r="G199" cm="1">
        <f t="array" ref="G199:J199">_xlfn.XLOOKUP(A199, Sheet1!A:A, Sheet1!C:F)</f>
        <v>23.157</v>
      </c>
      <c r="H199">
        <v>19.914999999999999</v>
      </c>
      <c r="I199">
        <v>17.396999999999998</v>
      </c>
      <c r="J199">
        <v>24.283999999999999</v>
      </c>
    </row>
    <row r="200" spans="1:10" x14ac:dyDescent="0.3">
      <c r="A200" t="str" cm="1">
        <f t="array" ref="A200">IF(ROW()&lt;=COUNTA(Sheet1!A:A), INDEX(Sheet1!A:A, ROW()),
INDEX(Sheet4!A:A, ROW()-COUNTA(Sheet1!A:A)))</f>
        <v>Al0.74NiCoFeCr</v>
      </c>
      <c r="B200" s="10">
        <f>_xlfn.XLOOKUP(A200, Sheet4!A:A, Sheet4!C:C)</f>
        <v>0</v>
      </c>
      <c r="C200" s="10">
        <v>-1</v>
      </c>
      <c r="D200" s="10">
        <f>_xlfn.XLOOKUP(A200, Sheet2!A:A, Sheet2!B:B)</f>
        <v>7.4303999999999997</v>
      </c>
      <c r="E200" s="10">
        <f>_xlfn.XLOOKUP(A200, Sheet1!A:A, Sheet1!G:G)</f>
        <v>-1</v>
      </c>
      <c r="F200" s="10">
        <f t="shared" si="3"/>
        <v>-1</v>
      </c>
      <c r="G200" cm="1">
        <f t="array" ref="G200:J200">_xlfn.XLOOKUP(A200, Sheet1!A:A, Sheet1!C:F)</f>
        <v>27.4</v>
      </c>
      <c r="H200">
        <v>20.399999999999999</v>
      </c>
      <c r="I200">
        <v>7.7</v>
      </c>
      <c r="J200">
        <v>29.2</v>
      </c>
    </row>
    <row r="201" spans="1:10" x14ac:dyDescent="0.3">
      <c r="A201" t="str" cm="1">
        <f t="array" ref="A201">IF(ROW()&lt;=COUNTA(Sheet1!A:A), INDEX(Sheet1!A:A, ROW()),
INDEX(Sheet4!A:A, ROW()-COUNTA(Sheet1!A:A)))</f>
        <v>Al15.63Ni21.09Co21.09Fe21.09Cr21.09</v>
      </c>
      <c r="B201" s="10" t="str">
        <f>_xlfn.XLOOKUP(A201, Sheet4!A:A, Sheet4!C:C)</f>
        <v>FCC+BCC</v>
      </c>
      <c r="C201" s="10">
        <v>-1</v>
      </c>
      <c r="D201" s="10">
        <f>_xlfn.XLOOKUP(A201, Sheet2!A:A, Sheet2!B:B)</f>
        <v>7.4292999999999996</v>
      </c>
      <c r="E201" s="10">
        <f>_xlfn.XLOOKUP(A201, Sheet1!A:A, Sheet1!G:G)</f>
        <v>-1</v>
      </c>
      <c r="F201" s="10">
        <f t="shared" si="3"/>
        <v>-1</v>
      </c>
      <c r="G201" cm="1">
        <f t="array" ref="G201:J201">_xlfn.XLOOKUP(A201, Sheet1!A:A, Sheet1!C:F)</f>
        <v>27.382000000000001</v>
      </c>
      <c r="H201">
        <v>20.411000000000001</v>
      </c>
      <c r="I201">
        <v>7.7228000000000003</v>
      </c>
      <c r="J201">
        <v>29.157</v>
      </c>
    </row>
    <row r="202" spans="1:10" x14ac:dyDescent="0.3">
      <c r="A202" t="str" cm="1">
        <f t="array" ref="A202">IF(ROW()&lt;=COUNTA(Sheet1!A:A), INDEX(Sheet1!A:A, ROW()),
INDEX(Sheet4!A:A, ROW()-COUNTA(Sheet1!A:A)))</f>
        <v>Al15.635Cr20.423Fe12.565Co24.963Ni26.415</v>
      </c>
      <c r="B202" s="10">
        <f>_xlfn.XLOOKUP(A202, Sheet4!A:A, Sheet4!C:C)</f>
        <v>0</v>
      </c>
      <c r="C202" s="10">
        <v>-1</v>
      </c>
      <c r="D202" s="10">
        <f>_xlfn.XLOOKUP(A202, Sheet2!A:A, Sheet2!B:B)</f>
        <v>7.5876999999999999</v>
      </c>
      <c r="E202" s="10">
        <f>_xlfn.XLOOKUP(A202, Sheet1!A:A, Sheet1!G:G)</f>
        <v>-1</v>
      </c>
      <c r="F202" s="10">
        <f t="shared" si="3"/>
        <v>-1</v>
      </c>
      <c r="G202" cm="1">
        <f t="array" ref="G202:J202">_xlfn.XLOOKUP(A202, Sheet1!A:A, Sheet1!C:F)</f>
        <v>26.904</v>
      </c>
      <c r="H202">
        <v>20.469000000000001</v>
      </c>
      <c r="I202">
        <v>9.0168999999999997</v>
      </c>
      <c r="J202">
        <v>28.231000000000002</v>
      </c>
    </row>
    <row r="203" spans="1:10" x14ac:dyDescent="0.3">
      <c r="A203" t="str" cm="1">
        <f t="array" ref="A203">IF(ROW()&lt;=COUNTA(Sheet1!A:A), INDEX(Sheet1!A:A, ROW()),
INDEX(Sheet4!A:A, ROW()-COUNTA(Sheet1!A:A)))</f>
        <v>Al15.7Cr20.5Fe10.5Co25.8Ni27.5</v>
      </c>
      <c r="B203" s="10">
        <f>_xlfn.XLOOKUP(A203, Sheet4!A:A, Sheet4!C:C)</f>
        <v>0</v>
      </c>
      <c r="C203" s="10">
        <v>-1</v>
      </c>
      <c r="D203" s="10">
        <f>_xlfn.XLOOKUP(A203, Sheet2!A:A, Sheet2!B:B)</f>
        <v>7.6130000000000004</v>
      </c>
      <c r="E203" s="10">
        <f>_xlfn.XLOOKUP(A203, Sheet1!A:A, Sheet1!G:G)</f>
        <v>-1</v>
      </c>
      <c r="F203" s="10">
        <f t="shared" si="3"/>
        <v>-1</v>
      </c>
      <c r="G203" cm="1">
        <f t="array" ref="G203:J203">_xlfn.XLOOKUP(A203, Sheet1!A:A, Sheet1!C:F)</f>
        <v>15.38461538</v>
      </c>
      <c r="H203">
        <v>15.38461538</v>
      </c>
      <c r="I203">
        <v>15.38461538</v>
      </c>
      <c r="J203">
        <v>38.46153846</v>
      </c>
    </row>
    <row r="204" spans="1:10" x14ac:dyDescent="0.3">
      <c r="A204" t="str" cm="1">
        <f t="array" ref="A204">IF(ROW()&lt;=COUNTA(Sheet1!A:A), INDEX(Sheet1!A:A, ROW()),
INDEX(Sheet4!A:A, ROW()-COUNTA(Sheet1!A:A)))</f>
        <v>Al15.711Cr20.459Fe10.494Co25.808Ni27.528</v>
      </c>
      <c r="B204" s="10">
        <f>_xlfn.XLOOKUP(A204, Sheet4!A:A, Sheet4!C:C)</f>
        <v>0</v>
      </c>
      <c r="C204" s="10">
        <v>-1</v>
      </c>
      <c r="D204" s="10">
        <f>_xlfn.XLOOKUP(A204, Sheet2!A:A, Sheet2!B:B)</f>
        <v>7.6139000000000001</v>
      </c>
      <c r="E204" s="10">
        <f>_xlfn.XLOOKUP(A204, Sheet1!A:A, Sheet1!G:G)</f>
        <v>-1</v>
      </c>
      <c r="F204" s="10">
        <f t="shared" si="3"/>
        <v>-1</v>
      </c>
      <c r="G204" cm="1">
        <f t="array" ref="G204:J204">_xlfn.XLOOKUP(A204, Sheet1!A:A, Sheet1!C:F)</f>
        <v>26.9</v>
      </c>
      <c r="H204">
        <v>20.5</v>
      </c>
      <c r="I204">
        <v>9</v>
      </c>
      <c r="J204">
        <v>28.2</v>
      </c>
    </row>
    <row r="205" spans="1:10" x14ac:dyDescent="0.3">
      <c r="A205" t="str" cm="1">
        <f t="array" ref="A205">IF(ROW()&lt;=COUNTA(Sheet1!A:A), INDEX(Sheet1!A:A, ROW()),
INDEX(Sheet4!A:A, ROW()-COUNTA(Sheet1!A:A)))</f>
        <v>Al15.765Cr19.918Fe14.693Co24.089Ni25.536</v>
      </c>
      <c r="B205" s="10">
        <f>_xlfn.XLOOKUP(A205, Sheet4!A:A, Sheet4!C:C)</f>
        <v>0</v>
      </c>
      <c r="C205" s="10">
        <v>-1</v>
      </c>
      <c r="D205" s="10">
        <f>_xlfn.XLOOKUP(A205, Sheet2!A:A, Sheet2!B:B)</f>
        <v>7.5650000000000004</v>
      </c>
      <c r="E205" s="10">
        <f>_xlfn.XLOOKUP(A205, Sheet1!A:A, Sheet1!G:G)</f>
        <v>-1</v>
      </c>
      <c r="F205" s="10">
        <f t="shared" si="3"/>
        <v>-1</v>
      </c>
      <c r="G205" cm="1">
        <f t="array" ref="G205:J205">_xlfn.XLOOKUP(A205, Sheet1!A:A, Sheet1!C:F)</f>
        <v>25</v>
      </c>
      <c r="H205">
        <v>20.399999999999999</v>
      </c>
      <c r="I205">
        <v>12.6</v>
      </c>
      <c r="J205">
        <v>26.4</v>
      </c>
    </row>
    <row r="206" spans="1:10" x14ac:dyDescent="0.3">
      <c r="A206" t="str" cm="1">
        <f t="array" ref="A206">IF(ROW()&lt;=COUNTA(Sheet1!A:A), INDEX(Sheet1!A:A, ROW()),
INDEX(Sheet4!A:A, ROW()-COUNTA(Sheet1!A:A)))</f>
        <v>Al0.75CoCrFeNi</v>
      </c>
      <c r="B206" s="10" t="str">
        <f>_xlfn.XLOOKUP(A206, Sheet4!A:A, Sheet4!C:C)</f>
        <v>FCC+BCC</v>
      </c>
      <c r="C206" s="10">
        <v>-1</v>
      </c>
      <c r="D206" s="10">
        <f>_xlfn.XLOOKUP(A206, Sheet2!A:A, Sheet2!B:B)</f>
        <v>7.4211</v>
      </c>
      <c r="E206" s="10">
        <f>_xlfn.XLOOKUP(A206, Sheet1!A:A, Sheet1!G:G)</f>
        <v>-1</v>
      </c>
      <c r="F206" s="10">
        <f t="shared" si="3"/>
        <v>-1</v>
      </c>
      <c r="G206" cm="1">
        <f t="array" ref="G206:J206">_xlfn.XLOOKUP(A206, Sheet1!A:A, Sheet1!C:F)</f>
        <v>21.097046410000001</v>
      </c>
      <c r="H206">
        <v>21.097046410000001</v>
      </c>
      <c r="I206">
        <v>21.097046410000001</v>
      </c>
      <c r="J206">
        <v>21.097046410000001</v>
      </c>
    </row>
    <row r="207" spans="1:10" x14ac:dyDescent="0.3">
      <c r="A207" t="str" cm="1">
        <f t="array" ref="A207">IF(ROW()&lt;=COUNTA(Sheet1!A:A), INDEX(Sheet1!A:A, ROW()),
INDEX(Sheet4!A:A, ROW()-COUNTA(Sheet1!A:A)))</f>
        <v>Al15.8Cr19.9Fe14.7Co24.1Ni25.5</v>
      </c>
      <c r="B207" s="10">
        <f>_xlfn.XLOOKUP(A207, Sheet4!A:A, Sheet4!C:C)</f>
        <v>0</v>
      </c>
      <c r="C207" s="10">
        <v>-1</v>
      </c>
      <c r="D207" s="10">
        <f>_xlfn.XLOOKUP(A207, Sheet2!A:A, Sheet2!B:B)</f>
        <v>7.5629999999999997</v>
      </c>
      <c r="E207" s="10">
        <f>_xlfn.XLOOKUP(A207, Sheet1!A:A, Sheet1!G:G)</f>
        <v>-1</v>
      </c>
      <c r="F207" s="10">
        <f t="shared" si="3"/>
        <v>-1</v>
      </c>
      <c r="G207" cm="1">
        <f t="array" ref="G207:J207">_xlfn.XLOOKUP(A207, Sheet1!A:A, Sheet1!C:F)</f>
        <v>21.09</v>
      </c>
      <c r="H207">
        <v>21.09</v>
      </c>
      <c r="I207">
        <v>21.09</v>
      </c>
      <c r="J207">
        <v>21.09</v>
      </c>
    </row>
    <row r="208" spans="1:10" x14ac:dyDescent="0.3">
      <c r="A208" t="str" cm="1">
        <f t="array" ref="A208">IF(ROW()&lt;=COUNTA(Sheet1!A:A), INDEX(Sheet1!A:A, ROW()),
INDEX(Sheet4!A:A, ROW()-COUNTA(Sheet1!A:A)))</f>
        <v>AlCoCrFeNi2.25</v>
      </c>
      <c r="B208" s="10">
        <f>_xlfn.XLOOKUP(A208, Sheet4!A:A, Sheet4!C:C)</f>
        <v>0</v>
      </c>
      <c r="C208" s="10">
        <v>-1</v>
      </c>
      <c r="D208" s="10">
        <f>_xlfn.XLOOKUP(A208, Sheet2!A:A, Sheet2!B:B)</f>
        <v>7.76</v>
      </c>
      <c r="E208" s="10">
        <f>_xlfn.XLOOKUP(A208, Sheet1!A:A, Sheet1!G:G)</f>
        <v>-1</v>
      </c>
      <c r="F208" s="10">
        <f t="shared" si="3"/>
        <v>-1</v>
      </c>
      <c r="G208" cm="1">
        <f t="array" ref="G208:J208">_xlfn.XLOOKUP(A208, Sheet1!A:A, Sheet1!C:F)</f>
        <v>21.09</v>
      </c>
      <c r="H208">
        <v>21.09</v>
      </c>
      <c r="I208">
        <v>21.09</v>
      </c>
      <c r="J208">
        <v>21.09</v>
      </c>
    </row>
    <row r="209" spans="1:10" x14ac:dyDescent="0.3">
      <c r="A209" t="str" cm="1">
        <f t="array" ref="A209">IF(ROW()&lt;=COUNTA(Sheet1!A:A), INDEX(Sheet1!A:A, ROW()),
INDEX(Sheet4!A:A, ROW()-COUNTA(Sheet1!A:A)))</f>
        <v>Al16Co16Cr16Fe16Ni16Fe20</v>
      </c>
      <c r="B209" s="10">
        <f>_xlfn.XLOOKUP(A209, Sheet4!A:A, Sheet4!C:C)</f>
        <v>0</v>
      </c>
      <c r="C209" s="10">
        <v>-1</v>
      </c>
      <c r="D209" s="10">
        <f>_xlfn.XLOOKUP(A209, Sheet2!A:A, Sheet2!B:B)</f>
        <v>7.36</v>
      </c>
      <c r="E209" s="10">
        <f>_xlfn.XLOOKUP(A209, Sheet1!A:A, Sheet1!G:G)</f>
        <v>-1</v>
      </c>
      <c r="F209" s="10">
        <f t="shared" si="3"/>
        <v>-1</v>
      </c>
      <c r="G209" cm="1">
        <f t="array" ref="G209:J209">_xlfn.XLOOKUP(A209, Sheet1!A:A, Sheet1!C:F)</f>
        <v>24.963000000000001</v>
      </c>
      <c r="H209">
        <v>20.422999999999998</v>
      </c>
      <c r="I209">
        <v>12.565</v>
      </c>
      <c r="J209">
        <v>26.414999999999999</v>
      </c>
    </row>
    <row r="210" spans="1:10" x14ac:dyDescent="0.3">
      <c r="A210" t="str" cm="1">
        <f t="array" ref="A210">IF(ROW()&lt;=COUNTA(Sheet1!A:A), INDEX(Sheet1!A:A, ROW()),
INDEX(Sheet4!A:A, ROW()-COUNTA(Sheet1!A:A)))</f>
        <v>Al16Co21Cr21Fe21Ni21</v>
      </c>
      <c r="B210" s="10" t="str">
        <f>_xlfn.XLOOKUP(A210, Sheet4!A:A, Sheet4!C:C)</f>
        <v>FCC+BCC</v>
      </c>
      <c r="C210" s="10">
        <v>-1</v>
      </c>
      <c r="D210" s="10">
        <f>_xlfn.XLOOKUP(A210, Sheet2!A:A, Sheet2!B:B)</f>
        <v>7.41</v>
      </c>
      <c r="E210" s="10">
        <f>_xlfn.XLOOKUP(A210, Sheet1!A:A, Sheet1!G:G)</f>
        <v>-1</v>
      </c>
      <c r="F210" s="10">
        <f t="shared" si="3"/>
        <v>-1</v>
      </c>
      <c r="G210" cm="1">
        <f t="array" ref="G210:J210">_xlfn.XLOOKUP(A210, Sheet1!A:A, Sheet1!C:F)</f>
        <v>25.8</v>
      </c>
      <c r="H210">
        <v>20.5</v>
      </c>
      <c r="I210">
        <v>10.5</v>
      </c>
      <c r="J210">
        <v>27.5</v>
      </c>
    </row>
    <row r="211" spans="1:10" x14ac:dyDescent="0.3">
      <c r="A211" t="str" cm="1">
        <f t="array" ref="A211">IF(ROW()&lt;=COUNTA(Sheet1!A:A), INDEX(Sheet1!A:A, ROW()),
INDEX(Sheet4!A:A, ROW()-COUNTA(Sheet1!A:A)))</f>
        <v>Al16Co41Cr15Fe10Ni18</v>
      </c>
      <c r="B211" s="10">
        <f>_xlfn.XLOOKUP(A211, Sheet4!A:A, Sheet4!C:C)</f>
        <v>0</v>
      </c>
      <c r="C211" s="10">
        <v>-1</v>
      </c>
      <c r="D211" s="10">
        <f>_xlfn.XLOOKUP(A211, Sheet2!A:A, Sheet2!B:B)</f>
        <v>7.67</v>
      </c>
      <c r="E211" s="10">
        <f>_xlfn.XLOOKUP(A211, Sheet1!A:A, Sheet1!G:G)</f>
        <v>-1</v>
      </c>
      <c r="F211" s="10">
        <f t="shared" si="3"/>
        <v>-1</v>
      </c>
      <c r="G211" cm="1">
        <f t="array" ref="G211:J211">_xlfn.XLOOKUP(A211, Sheet1!A:A, Sheet1!C:F)</f>
        <v>25.808</v>
      </c>
      <c r="H211">
        <v>20.459</v>
      </c>
      <c r="I211">
        <v>10.494</v>
      </c>
      <c r="J211">
        <v>27.527999999999999</v>
      </c>
    </row>
    <row r="212" spans="1:10" x14ac:dyDescent="0.3">
      <c r="A212" t="str" cm="1">
        <f t="array" ref="A212">IF(ROW()&lt;=COUNTA(Sheet1!A:A), INDEX(Sheet1!A:A, ROW()),
INDEX(Sheet4!A:A, ROW()-COUNTA(Sheet1!A:A)))</f>
        <v>Al16.052Cr20.094Fe27.863Co17.358Ni18.633</v>
      </c>
      <c r="B212" s="10">
        <f>_xlfn.XLOOKUP(A212, Sheet4!A:A, Sheet4!C:C)</f>
        <v>0</v>
      </c>
      <c r="C212" s="10">
        <v>-1</v>
      </c>
      <c r="D212" s="10">
        <f>_xlfn.XLOOKUP(A212, Sheet2!A:A, Sheet2!B:B)</f>
        <v>7.3418000000000001</v>
      </c>
      <c r="E212" s="10">
        <f>_xlfn.XLOOKUP(A212, Sheet1!A:A, Sheet1!G:G)</f>
        <v>-1</v>
      </c>
      <c r="F212" s="10">
        <f t="shared" si="3"/>
        <v>-1</v>
      </c>
      <c r="G212" cm="1">
        <f t="array" ref="G212:J212">_xlfn.XLOOKUP(A212, Sheet1!A:A, Sheet1!C:F)</f>
        <v>24.088999999999999</v>
      </c>
      <c r="H212">
        <v>19.917999999999999</v>
      </c>
      <c r="I212">
        <v>14.693</v>
      </c>
      <c r="J212">
        <v>25.536000000000001</v>
      </c>
    </row>
    <row r="213" spans="1:10" x14ac:dyDescent="0.3">
      <c r="A213" t="str" cm="1">
        <f t="array" ref="A213">IF(ROW()&lt;=COUNTA(Sheet1!A:A), INDEX(Sheet1!A:A, ROW()),
INDEX(Sheet4!A:A, ROW()-COUNTA(Sheet1!A:A)))</f>
        <v>Al16.1Cr20.1Fe27.9Co17.4Ni18.6</v>
      </c>
      <c r="B213" s="10">
        <f>_xlfn.XLOOKUP(A213, Sheet4!A:A, Sheet4!C:C)</f>
        <v>0</v>
      </c>
      <c r="C213" s="10">
        <v>-1</v>
      </c>
      <c r="D213" s="10">
        <f>_xlfn.XLOOKUP(A213, Sheet2!A:A, Sheet2!B:B)</f>
        <v>7.3396999999999997</v>
      </c>
      <c r="E213" s="10">
        <f>_xlfn.XLOOKUP(A213, Sheet1!A:A, Sheet1!G:G)</f>
        <v>-1</v>
      </c>
      <c r="F213" s="10">
        <f t="shared" si="3"/>
        <v>-1</v>
      </c>
      <c r="G213" cm="1">
        <f t="array" ref="G213:J213">_xlfn.XLOOKUP(A213, Sheet1!A:A, Sheet1!C:F)</f>
        <v>21.05263158</v>
      </c>
      <c r="H213">
        <v>21.05263158</v>
      </c>
      <c r="I213">
        <v>21.05263158</v>
      </c>
      <c r="J213">
        <v>21.05263158</v>
      </c>
    </row>
    <row r="214" spans="1:10" x14ac:dyDescent="0.3">
      <c r="A214" t="str" cm="1">
        <f t="array" ref="A214">IF(ROW()&lt;=COUNTA(Sheet1!A:A), INDEX(Sheet1!A:A, ROW()),
INDEX(Sheet4!A:A, ROW()-COUNTA(Sheet1!A:A)))</f>
        <v>Al16.1Cr19.7Fe26.4Co16.7Ni21.1</v>
      </c>
      <c r="B214" s="10">
        <f>_xlfn.XLOOKUP(A214, Sheet4!A:A, Sheet4!C:C)</f>
        <v>0</v>
      </c>
      <c r="C214" s="10">
        <v>-1</v>
      </c>
      <c r="D214" s="10">
        <f>_xlfn.XLOOKUP(A214, Sheet2!A:A, Sheet2!B:B)</f>
        <v>7.39</v>
      </c>
      <c r="E214" s="10">
        <f>_xlfn.XLOOKUP(A214, Sheet1!A:A, Sheet1!G:G)</f>
        <v>-1</v>
      </c>
      <c r="F214" s="10">
        <f t="shared" si="3"/>
        <v>-1</v>
      </c>
      <c r="G214" cm="1">
        <f t="array" ref="G214:J214">_xlfn.XLOOKUP(A214, Sheet1!A:A, Sheet1!C:F)</f>
        <v>21.05263158</v>
      </c>
      <c r="H214">
        <v>21.05263158</v>
      </c>
      <c r="I214">
        <v>21.05263158</v>
      </c>
      <c r="J214">
        <v>21.05263158</v>
      </c>
    </row>
    <row r="215" spans="1:10" x14ac:dyDescent="0.3">
      <c r="A215" t="str" cm="1">
        <f t="array" ref="A215">IF(ROW()&lt;=COUNTA(Sheet1!A:A), INDEX(Sheet1!A:A, ROW()),
INDEX(Sheet4!A:A, ROW()-COUNTA(Sheet1!A:A)))</f>
        <v>AlCoCrFeNi2.2</v>
      </c>
      <c r="B215" s="10" t="str">
        <f>_xlfn.XLOOKUP(A215, Sheet4!A:A, Sheet4!C:C)</f>
        <v>FCC+B2(ordered BCC)</v>
      </c>
      <c r="C215" s="10">
        <v>1</v>
      </c>
      <c r="D215" s="10">
        <f>_xlfn.XLOOKUP(A215, Sheet2!A:A, Sheet2!B:B)</f>
        <v>7.7419000000000002</v>
      </c>
      <c r="E215" s="10">
        <f>_xlfn.XLOOKUP(A215, Sheet1!A:A, Sheet1!G:G)</f>
        <v>-1</v>
      </c>
      <c r="F215" s="10">
        <f t="shared" si="3"/>
        <v>1</v>
      </c>
      <c r="G215" cm="1">
        <f t="array" ref="G215:J215">_xlfn.XLOOKUP(A215, Sheet1!A:A, Sheet1!C:F)</f>
        <v>24.1</v>
      </c>
      <c r="H215">
        <v>19.899999999999999</v>
      </c>
      <c r="I215">
        <v>14.7</v>
      </c>
      <c r="J215">
        <v>25.5</v>
      </c>
    </row>
    <row r="216" spans="1:10" x14ac:dyDescent="0.3">
      <c r="A216" t="str" cm="1">
        <f t="array" ref="A216">IF(ROW()&lt;=COUNTA(Sheet1!A:A), INDEX(Sheet1!A:A, ROW()),
INDEX(Sheet4!A:A, ROW()-COUNTA(Sheet1!A:A)))</f>
        <v>Al16.13Cr19.712Fe26.373Co16.721Ni21.064</v>
      </c>
      <c r="B216" s="10">
        <f>_xlfn.XLOOKUP(A216, Sheet4!A:A, Sheet4!C:C)</f>
        <v>0</v>
      </c>
      <c r="C216" s="10">
        <v>-1</v>
      </c>
      <c r="D216" s="10">
        <f>_xlfn.XLOOKUP(A216, Sheet2!A:A, Sheet2!B:B)</f>
        <v>7.3876999999999997</v>
      </c>
      <c r="E216" s="10">
        <f>_xlfn.XLOOKUP(A216, Sheet1!A:A, Sheet1!G:G)</f>
        <v>-1</v>
      </c>
      <c r="F216" s="10">
        <f t="shared" si="3"/>
        <v>-1</v>
      </c>
      <c r="G216" cm="1">
        <f t="array" ref="G216:J216">_xlfn.XLOOKUP(A216, Sheet1!A:A, Sheet1!C:F)</f>
        <v>16</v>
      </c>
      <c r="H216">
        <v>16</v>
      </c>
      <c r="I216">
        <v>16</v>
      </c>
      <c r="J216">
        <v>36</v>
      </c>
    </row>
    <row r="217" spans="1:10" x14ac:dyDescent="0.3">
      <c r="A217" t="str" cm="1">
        <f t="array" ref="A217">IF(ROW()&lt;=COUNTA(Sheet1!A:A), INDEX(Sheet1!A:A, ROW()),
INDEX(Sheet4!A:A, ROW()-COUNTA(Sheet1!A:A)))</f>
        <v>AlCoCrFeNi2.1</v>
      </c>
      <c r="B217" s="10" t="str">
        <f>_xlfn.XLOOKUP(A217, Sheet4!A:A, Sheet4!C:C)</f>
        <v>FCC+BCC</v>
      </c>
      <c r="C217" s="10">
        <v>-1</v>
      </c>
      <c r="D217" s="10">
        <f>_xlfn.XLOOKUP(A217, Sheet2!A:A, Sheet2!B:B)</f>
        <v>7.7049000000000003</v>
      </c>
      <c r="E217" s="10">
        <f>_xlfn.XLOOKUP(A217, Sheet1!A:A, Sheet1!G:G)</f>
        <v>-1</v>
      </c>
      <c r="F217" s="10">
        <f t="shared" si="3"/>
        <v>-1</v>
      </c>
      <c r="G217" cm="1">
        <f t="array" ref="G217:J217">_xlfn.XLOOKUP(A217, Sheet1!A:A, Sheet1!C:F)</f>
        <v>16</v>
      </c>
      <c r="H217">
        <v>16</v>
      </c>
      <c r="I217">
        <v>20</v>
      </c>
      <c r="J217">
        <v>16</v>
      </c>
    </row>
    <row r="218" spans="1:10" x14ac:dyDescent="0.3">
      <c r="A218" t="str" cm="1">
        <f t="array" ref="A218">IF(ROW()&lt;=COUNTA(Sheet1!A:A), INDEX(Sheet1!A:A, ROW()),
INDEX(Sheet4!A:A, ROW()-COUNTA(Sheet1!A:A)))</f>
        <v>Al16.5Cr21.4Fe31.8Co14.6Ni15.7</v>
      </c>
      <c r="B218" s="10">
        <f>_xlfn.XLOOKUP(A218, Sheet4!A:A, Sheet4!C:C)</f>
        <v>0</v>
      </c>
      <c r="C218" s="10">
        <v>-1</v>
      </c>
      <c r="D218" s="10">
        <f>_xlfn.XLOOKUP(A218, Sheet2!A:A, Sheet2!B:B)</f>
        <v>7.2069999999999999</v>
      </c>
      <c r="E218" s="10">
        <f>_xlfn.XLOOKUP(A218, Sheet1!A:A, Sheet1!G:G)</f>
        <v>-1</v>
      </c>
      <c r="F218" s="10">
        <f t="shared" si="3"/>
        <v>-1</v>
      </c>
      <c r="G218" cm="1">
        <f t="array" ref="G218:J218">_xlfn.XLOOKUP(A218, Sheet1!A:A, Sheet1!C:F)</f>
        <v>21</v>
      </c>
      <c r="H218">
        <v>21</v>
      </c>
      <c r="I218">
        <v>21</v>
      </c>
      <c r="J218">
        <v>21</v>
      </c>
    </row>
    <row r="219" spans="1:10" x14ac:dyDescent="0.3">
      <c r="A219" t="str" cm="1">
        <f t="array" ref="A219">IF(ROW()&lt;=COUNTA(Sheet1!A:A), INDEX(Sheet1!A:A, ROW()),
INDEX(Sheet4!A:A, ROW()-COUNTA(Sheet1!A:A)))</f>
        <v>Al16.515Cr21.37Fe31.821Co14.633Ni15.659</v>
      </c>
      <c r="B219" s="10">
        <f>_xlfn.XLOOKUP(A219, Sheet4!A:A, Sheet4!C:C)</f>
        <v>0</v>
      </c>
      <c r="C219" s="10">
        <v>-1</v>
      </c>
      <c r="D219" s="10">
        <f>_xlfn.XLOOKUP(A219, Sheet2!A:A, Sheet2!B:B)</f>
        <v>7.2062999999999997</v>
      </c>
      <c r="E219" s="10">
        <f>_xlfn.XLOOKUP(A219, Sheet1!A:A, Sheet1!G:G)</f>
        <v>-1</v>
      </c>
      <c r="F219" s="10">
        <f t="shared" si="3"/>
        <v>-1</v>
      </c>
      <c r="G219" cm="1">
        <f t="array" ref="G219:J219">_xlfn.XLOOKUP(A219, Sheet1!A:A, Sheet1!C:F)</f>
        <v>41</v>
      </c>
      <c r="H219">
        <v>15</v>
      </c>
      <c r="I219">
        <v>10</v>
      </c>
      <c r="J219">
        <v>18</v>
      </c>
    </row>
    <row r="220" spans="1:10" x14ac:dyDescent="0.3">
      <c r="A220" t="str" cm="1">
        <f t="array" ref="A220">IF(ROW()&lt;=COUNTA(Sheet1!A:A), INDEX(Sheet1!A:A, ROW()),
INDEX(Sheet4!A:A, ROW()-COUNTA(Sheet1!A:A)))</f>
        <v>Al16.59Cr16.43Fe21.664Co20.035Ni25.28</v>
      </c>
      <c r="B220" s="10">
        <f>_xlfn.XLOOKUP(A220, Sheet4!A:A, Sheet4!C:C)</f>
        <v>0</v>
      </c>
      <c r="C220" s="10">
        <v>-1</v>
      </c>
      <c r="D220" s="10">
        <f>_xlfn.XLOOKUP(A220, Sheet2!A:A, Sheet2!B:B)</f>
        <v>7.5477999999999996</v>
      </c>
      <c r="E220" s="10">
        <f>_xlfn.XLOOKUP(A220, Sheet1!A:A, Sheet1!G:G)</f>
        <v>-1</v>
      </c>
      <c r="F220" s="10">
        <f t="shared" si="3"/>
        <v>-1</v>
      </c>
      <c r="G220" cm="1">
        <f t="array" ref="G220:J220">_xlfn.XLOOKUP(A220, Sheet1!A:A, Sheet1!C:F)</f>
        <v>17.358000000000001</v>
      </c>
      <c r="H220">
        <v>20.094000000000001</v>
      </c>
      <c r="I220">
        <v>27.863</v>
      </c>
      <c r="J220">
        <v>18.632999999999999</v>
      </c>
    </row>
    <row r="221" spans="1:10" x14ac:dyDescent="0.3">
      <c r="A221" t="str" cm="1">
        <f t="array" ref="A221">IF(ROW()&lt;=COUNTA(Sheet1!A:A), INDEX(Sheet1!A:A, ROW()),
INDEX(Sheet4!A:A, ROW()-COUNTA(Sheet1!A:A)))</f>
        <v>Al16.6Cr17.8Fe24Co18.3Ni23.3</v>
      </c>
      <c r="B221" s="10">
        <f>_xlfn.XLOOKUP(A221, Sheet4!A:A, Sheet4!C:C)</f>
        <v>0</v>
      </c>
      <c r="C221" s="10">
        <v>-1</v>
      </c>
      <c r="D221" s="10">
        <f>_xlfn.XLOOKUP(A221, Sheet2!A:A, Sheet2!B:B)</f>
        <v>7.4630000000000001</v>
      </c>
      <c r="E221" s="10">
        <f>_xlfn.XLOOKUP(A221, Sheet1!A:A, Sheet1!G:G)</f>
        <v>-1</v>
      </c>
      <c r="F221" s="10">
        <f t="shared" si="3"/>
        <v>-1</v>
      </c>
      <c r="G221" cm="1">
        <f t="array" ref="G221:J221">_xlfn.XLOOKUP(A221, Sheet1!A:A, Sheet1!C:F)</f>
        <v>17.399999999999999</v>
      </c>
      <c r="H221">
        <v>20.100000000000001</v>
      </c>
      <c r="I221">
        <v>27.9</v>
      </c>
      <c r="J221">
        <v>18.600000000000001</v>
      </c>
    </row>
    <row r="222" spans="1:10" x14ac:dyDescent="0.3">
      <c r="A222" t="str" cm="1">
        <f t="array" ref="A222">IF(ROW()&lt;=COUNTA(Sheet1!A:A), INDEX(Sheet1!A:A, ROW()),
INDEX(Sheet4!A:A, ROW()-COUNTA(Sheet1!A:A)))</f>
        <v>Al16.6Cr16.4Fe21.7Co20Ni25.3</v>
      </c>
      <c r="B222" s="10">
        <f>_xlfn.XLOOKUP(A222, Sheet4!A:A, Sheet4!C:C)</f>
        <v>0</v>
      </c>
      <c r="C222" s="10">
        <v>-1</v>
      </c>
      <c r="D222" s="10">
        <f>_xlfn.XLOOKUP(A222, Sheet2!A:A, Sheet2!B:B)</f>
        <v>7.548</v>
      </c>
      <c r="E222" s="10">
        <f>_xlfn.XLOOKUP(A222, Sheet1!A:A, Sheet1!G:G)</f>
        <v>-1</v>
      </c>
      <c r="F222" s="10">
        <f t="shared" si="3"/>
        <v>-1</v>
      </c>
      <c r="G222" cm="1">
        <f t="array" ref="G222:J222">_xlfn.XLOOKUP(A222, Sheet1!A:A, Sheet1!C:F)</f>
        <v>16.7</v>
      </c>
      <c r="H222">
        <v>19.7</v>
      </c>
      <c r="I222">
        <v>26.4</v>
      </c>
      <c r="J222">
        <v>21.1</v>
      </c>
    </row>
    <row r="223" spans="1:10" x14ac:dyDescent="0.3">
      <c r="A223" t="str" cm="1">
        <f t="array" ref="A223">IF(ROW()&lt;=COUNTA(Sheet1!A:A), INDEX(Sheet1!A:A, ROW()),
INDEX(Sheet4!A:A, ROW()-COUNTA(Sheet1!A:A)))</f>
        <v>Al16.605Cr17.798Fe23.996Co18.329Ni23.271</v>
      </c>
      <c r="B223" s="10">
        <f>_xlfn.XLOOKUP(A223, Sheet4!A:A, Sheet4!C:C)</f>
        <v>0</v>
      </c>
      <c r="C223" s="10">
        <v>-1</v>
      </c>
      <c r="D223" s="10">
        <f>_xlfn.XLOOKUP(A223, Sheet2!A:A, Sheet2!B:B)</f>
        <v>7.4625000000000004</v>
      </c>
      <c r="E223" s="10">
        <f>_xlfn.XLOOKUP(A223, Sheet1!A:A, Sheet1!G:G)</f>
        <v>1</v>
      </c>
      <c r="F223" s="10">
        <f t="shared" si="3"/>
        <v>1</v>
      </c>
      <c r="G223" cm="1">
        <f t="array" ref="G223:J223">_xlfn.XLOOKUP(A223, Sheet1!A:A, Sheet1!C:F)</f>
        <v>16.129032259999999</v>
      </c>
      <c r="H223">
        <v>16.129032259999999</v>
      </c>
      <c r="I223">
        <v>16.129032259999999</v>
      </c>
      <c r="J223">
        <v>35.483870969999998</v>
      </c>
    </row>
    <row r="224" spans="1:10" x14ac:dyDescent="0.3">
      <c r="A224" t="str" cm="1">
        <f t="array" ref="A224">IF(ROW()&lt;=COUNTA(Sheet1!A:A), INDEX(Sheet1!A:A, ROW()),
INDEX(Sheet4!A:A, ROW()-COUNTA(Sheet1!A:A)))</f>
        <v>Al16.6Co20.8Cr20.8Fe20.8Ni20.8</v>
      </c>
      <c r="B224" s="10" t="str">
        <f>_xlfn.XLOOKUP(A224, Sheet4!A:A, Sheet4!C:C)</f>
        <v>IM</v>
      </c>
      <c r="C224" s="10">
        <v>-1</v>
      </c>
      <c r="D224" s="10">
        <f>_xlfn.XLOOKUP(A224, Sheet2!A:A, Sheet2!B:B)</f>
        <v>7.3768000000000002</v>
      </c>
      <c r="E224" s="10">
        <f>_xlfn.XLOOKUP(A224, Sheet1!A:A, Sheet1!G:G)</f>
        <v>-1</v>
      </c>
      <c r="F224" s="10">
        <f t="shared" si="3"/>
        <v>-1</v>
      </c>
      <c r="G224" cm="1">
        <f t="array" ref="G224:J224">_xlfn.XLOOKUP(A224, Sheet1!A:A, Sheet1!C:F)</f>
        <v>16.721</v>
      </c>
      <c r="H224">
        <v>19.712</v>
      </c>
      <c r="I224">
        <v>26.373000000000001</v>
      </c>
      <c r="J224">
        <v>21.064</v>
      </c>
    </row>
    <row r="225" spans="1:10" x14ac:dyDescent="0.3">
      <c r="A225" t="str" cm="1">
        <f t="array" ref="A225">IF(ROW()&lt;=COUNTA(Sheet1!A:A), INDEX(Sheet1!A:A, ROW()),
INDEX(Sheet4!A:A, ROW()-COUNTA(Sheet1!A:A)))</f>
        <v>AlCo0.2CrFeNi2.8</v>
      </c>
      <c r="B225" s="10">
        <f>_xlfn.XLOOKUP(A225, Sheet4!A:A, Sheet4!C:C)</f>
        <v>0</v>
      </c>
      <c r="C225" s="10">
        <v>-1</v>
      </c>
      <c r="D225" s="10">
        <f>_xlfn.XLOOKUP(A225, Sheet2!A:A, Sheet2!B:B)</f>
        <v>7.8</v>
      </c>
      <c r="E225" s="10">
        <f>_xlfn.XLOOKUP(A225, Sheet1!A:A, Sheet1!G:G)</f>
        <v>1</v>
      </c>
      <c r="F225" s="10">
        <f t="shared" si="3"/>
        <v>1</v>
      </c>
      <c r="G225" cm="1">
        <f t="array" ref="G225:J225">_xlfn.XLOOKUP(A225, Sheet1!A:A, Sheet1!C:F)</f>
        <v>16.393442619999998</v>
      </c>
      <c r="H225">
        <v>16.393442619999998</v>
      </c>
      <c r="I225">
        <v>16.393442619999998</v>
      </c>
      <c r="J225">
        <v>34.426229509999999</v>
      </c>
    </row>
    <row r="226" spans="1:10" x14ac:dyDescent="0.3">
      <c r="A226" t="str" cm="1">
        <f t="array" ref="A226">IF(ROW()&lt;=COUNTA(Sheet1!A:A), INDEX(Sheet1!A:A, ROW()),
INDEX(Sheet4!A:A, ROW()-COUNTA(Sheet1!A:A)))</f>
        <v>AlCo0.4CrFeNi2.6</v>
      </c>
      <c r="B226" s="10">
        <f>_xlfn.XLOOKUP(A226, Sheet4!A:A, Sheet4!C:C)</f>
        <v>0</v>
      </c>
      <c r="C226" s="10">
        <v>-1</v>
      </c>
      <c r="D226" s="10">
        <f>_xlfn.XLOOKUP(A226, Sheet2!A:A, Sheet2!B:B)</f>
        <v>7.7667000000000002</v>
      </c>
      <c r="E226" s="10">
        <f>_xlfn.XLOOKUP(A226, Sheet1!A:A, Sheet1!G:G)</f>
        <v>-1</v>
      </c>
      <c r="F226" s="10">
        <f t="shared" si="3"/>
        <v>-1</v>
      </c>
      <c r="G226" cm="1">
        <f t="array" ref="G226:J226">_xlfn.XLOOKUP(A226, Sheet1!A:A, Sheet1!C:F)</f>
        <v>14.6</v>
      </c>
      <c r="H226">
        <v>21.4</v>
      </c>
      <c r="I226">
        <v>31.8</v>
      </c>
      <c r="J226">
        <v>15.7</v>
      </c>
    </row>
    <row r="227" spans="1:10" x14ac:dyDescent="0.3">
      <c r="A227" t="str" cm="1">
        <f t="array" ref="A227">IF(ROW()&lt;=COUNTA(Sheet1!A:A), INDEX(Sheet1!A:A, ROW()),
INDEX(Sheet4!A:A, ROW()-COUNTA(Sheet1!A:A)))</f>
        <v>AlCo0.6CrFeNi2.4</v>
      </c>
      <c r="B227" s="10">
        <f>_xlfn.XLOOKUP(A227, Sheet4!A:A, Sheet4!C:C)</f>
        <v>0</v>
      </c>
      <c r="C227" s="10">
        <v>-1</v>
      </c>
      <c r="D227" s="10">
        <f>_xlfn.XLOOKUP(A227, Sheet2!A:A, Sheet2!B:B)</f>
        <v>7.7332999999999998</v>
      </c>
      <c r="E227" s="10">
        <f>_xlfn.XLOOKUP(A227, Sheet1!A:A, Sheet1!G:G)</f>
        <v>-1</v>
      </c>
      <c r="F227" s="10">
        <f t="shared" si="3"/>
        <v>-1</v>
      </c>
      <c r="G227" cm="1">
        <f t="array" ref="G227:J227">_xlfn.XLOOKUP(A227, Sheet1!A:A, Sheet1!C:F)</f>
        <v>14.632999999999999</v>
      </c>
      <c r="H227">
        <v>21.37</v>
      </c>
      <c r="I227">
        <v>31.821000000000002</v>
      </c>
      <c r="J227">
        <v>15.659000000000001</v>
      </c>
    </row>
    <row r="228" spans="1:10" x14ac:dyDescent="0.3">
      <c r="A228" t="str" cm="1">
        <f t="array" ref="A228">IF(ROW()&lt;=COUNTA(Sheet1!A:A), INDEX(Sheet1!A:A, ROW()),
INDEX(Sheet4!A:A, ROW()-COUNTA(Sheet1!A:A)))</f>
        <v>AlCo0.8CrFeNi2.2</v>
      </c>
      <c r="B228" s="10">
        <f>_xlfn.XLOOKUP(A228, Sheet4!A:A, Sheet4!C:C)</f>
        <v>0</v>
      </c>
      <c r="C228" s="10">
        <v>-1</v>
      </c>
      <c r="D228" s="10">
        <f>_xlfn.XLOOKUP(A228, Sheet2!A:A, Sheet2!B:B)</f>
        <v>7.7</v>
      </c>
      <c r="E228" s="10">
        <f>_xlfn.XLOOKUP(A228, Sheet1!A:A, Sheet1!G:G)</f>
        <v>-1</v>
      </c>
      <c r="F228" s="10">
        <f t="shared" si="3"/>
        <v>-1</v>
      </c>
      <c r="G228" cm="1">
        <f t="array" ref="G228:J228">_xlfn.XLOOKUP(A228, Sheet1!A:A, Sheet1!C:F)</f>
        <v>20.035</v>
      </c>
      <c r="H228">
        <v>16.43</v>
      </c>
      <c r="I228">
        <v>21.664000000000001</v>
      </c>
      <c r="J228">
        <v>25.28</v>
      </c>
    </row>
    <row r="229" spans="1:10" x14ac:dyDescent="0.3">
      <c r="A229" t="str" cm="1">
        <f t="array" ref="A229">IF(ROW()&lt;=COUNTA(Sheet1!A:A), INDEX(Sheet1!A:A, ROW()),
INDEX(Sheet4!A:A, ROW()-COUNTA(Sheet1!A:A)))</f>
        <v>AlCoCrFeNi2</v>
      </c>
      <c r="B229" s="10">
        <f>_xlfn.XLOOKUP(A229, Sheet4!A:A, Sheet4!C:C)</f>
        <v>0</v>
      </c>
      <c r="C229" s="10">
        <v>-1</v>
      </c>
      <c r="D229" s="10">
        <f>_xlfn.XLOOKUP(A229, Sheet2!A:A, Sheet2!B:B)</f>
        <v>7.6666999999999996</v>
      </c>
      <c r="E229" s="10">
        <f>_xlfn.XLOOKUP(A229, Sheet1!A:A, Sheet1!G:G)</f>
        <v>-1</v>
      </c>
      <c r="F229" s="10">
        <f t="shared" si="3"/>
        <v>-1</v>
      </c>
      <c r="G229" cm="1">
        <f t="array" ref="G229:J229">_xlfn.XLOOKUP(A229, Sheet1!A:A, Sheet1!C:F)</f>
        <v>18.3</v>
      </c>
      <c r="H229">
        <v>17.8</v>
      </c>
      <c r="I229">
        <v>24</v>
      </c>
      <c r="J229">
        <v>23.3</v>
      </c>
    </row>
    <row r="230" spans="1:10" x14ac:dyDescent="0.3">
      <c r="A230" t="str" cm="1">
        <f t="array" ref="A230">IF(ROW()&lt;=COUNTA(Sheet1!A:A), INDEX(Sheet1!A:A, ROW()),
INDEX(Sheet4!A:A, ROW()-COUNTA(Sheet1!A:A)))</f>
        <v>AlCoCr2FeNi</v>
      </c>
      <c r="B230" s="10" t="str">
        <f>_xlfn.XLOOKUP(A230, Sheet4!A:A, Sheet4!C:C)</f>
        <v>IM</v>
      </c>
      <c r="C230" s="10">
        <v>-1</v>
      </c>
      <c r="D230" s="10">
        <f>_xlfn.XLOOKUP(A230, Sheet2!A:A, Sheet2!B:B)</f>
        <v>7</v>
      </c>
      <c r="E230" s="10">
        <f>_xlfn.XLOOKUP(A230, Sheet1!A:A, Sheet1!G:G)</f>
        <v>-1</v>
      </c>
      <c r="F230" s="10">
        <f t="shared" si="3"/>
        <v>-1</v>
      </c>
      <c r="G230" cm="1">
        <f t="array" ref="G230:J230">_xlfn.XLOOKUP(A230, Sheet1!A:A, Sheet1!C:F)</f>
        <v>20</v>
      </c>
      <c r="H230">
        <v>16.399999999999999</v>
      </c>
      <c r="I230">
        <v>21.7</v>
      </c>
      <c r="J230">
        <v>25.3</v>
      </c>
    </row>
    <row r="231" spans="1:10" x14ac:dyDescent="0.3">
      <c r="A231" t="str" cm="1">
        <f t="array" ref="A231">IF(ROW()&lt;=COUNTA(Sheet1!A:A), INDEX(Sheet1!A:A, ROW()),
INDEX(Sheet4!A:A, ROW()-COUNTA(Sheet1!A:A)))</f>
        <v>Al0.8CoCrFeNi</v>
      </c>
      <c r="B231" s="10" t="str">
        <f>_xlfn.XLOOKUP(A231, Sheet4!A:A, Sheet4!C:C)</f>
        <v>FCC+BCC</v>
      </c>
      <c r="C231" s="10">
        <v>-1</v>
      </c>
      <c r="D231" s="10">
        <f>_xlfn.XLOOKUP(A231, Sheet2!A:A, Sheet2!B:B)</f>
        <v>7.375</v>
      </c>
      <c r="E231" s="10">
        <f>_xlfn.XLOOKUP(A231, Sheet1!A:A, Sheet1!G:G)</f>
        <v>-1</v>
      </c>
      <c r="F231" s="10">
        <f t="shared" si="3"/>
        <v>-1</v>
      </c>
      <c r="G231" cm="1">
        <f t="array" ref="G231:J231">_xlfn.XLOOKUP(A231, Sheet1!A:A, Sheet1!C:F)</f>
        <v>18.329000000000001</v>
      </c>
      <c r="H231">
        <v>17.797999999999998</v>
      </c>
      <c r="I231">
        <v>23.995999999999999</v>
      </c>
      <c r="J231">
        <v>23.271000000000001</v>
      </c>
    </row>
    <row r="232" spans="1:10" x14ac:dyDescent="0.3">
      <c r="A232" t="str" cm="1">
        <f t="array" ref="A232">IF(ROW()&lt;=COUNTA(Sheet1!A:A), INDEX(Sheet1!A:A, ROW()),
INDEX(Sheet4!A:A, ROW()-COUNTA(Sheet1!A:A)))</f>
        <v>Al16.7Cr22.8Fe31.1Co12.9Ni16.5</v>
      </c>
      <c r="B232" s="10">
        <f>_xlfn.XLOOKUP(A232, Sheet4!A:A, Sheet4!C:C)</f>
        <v>0</v>
      </c>
      <c r="C232" s="10">
        <v>-1</v>
      </c>
      <c r="D232" s="10">
        <f>_xlfn.XLOOKUP(A232, Sheet2!A:A, Sheet2!B:B)</f>
        <v>7.1680000000000001</v>
      </c>
      <c r="E232" s="10">
        <f>_xlfn.XLOOKUP(A232, Sheet1!A:A, Sheet1!G:G)</f>
        <v>-1</v>
      </c>
      <c r="F232" s="10">
        <f t="shared" si="3"/>
        <v>-1</v>
      </c>
      <c r="G232" cm="1">
        <f t="array" ref="G232:J232">_xlfn.XLOOKUP(A232, Sheet1!A:A, Sheet1!C:F)</f>
        <v>20.8</v>
      </c>
      <c r="H232">
        <v>20.8</v>
      </c>
      <c r="I232">
        <v>20.8</v>
      </c>
      <c r="J232">
        <v>20.8</v>
      </c>
    </row>
    <row r="233" spans="1:10" x14ac:dyDescent="0.3">
      <c r="A233" t="str" cm="1">
        <f t="array" ref="A233">IF(ROW()&lt;=COUNTA(Sheet1!A:A), INDEX(Sheet1!A:A, ROW()),
INDEX(Sheet4!A:A, ROW()-COUNTA(Sheet1!A:A)))</f>
        <v>Al16.7Cr13.3Fe17.4Co23.3Ni29.3</v>
      </c>
      <c r="B233" s="10">
        <f>_xlfn.XLOOKUP(A233, Sheet4!A:A, Sheet4!C:C)</f>
        <v>0</v>
      </c>
      <c r="C233" s="10">
        <v>-1</v>
      </c>
      <c r="D233" s="10">
        <f>_xlfn.XLOOKUP(A233, Sheet2!A:A, Sheet2!B:B)</f>
        <v>7.718</v>
      </c>
      <c r="E233" s="10">
        <f>_xlfn.XLOOKUP(A233, Sheet1!A:A, Sheet1!G:G)</f>
        <v>1</v>
      </c>
      <c r="F233" s="10">
        <f t="shared" si="3"/>
        <v>1</v>
      </c>
      <c r="G233" cm="1">
        <f t="array" ref="G233:J233">_xlfn.XLOOKUP(A233, Sheet1!A:A, Sheet1!C:F)</f>
        <v>3.3333333330000001</v>
      </c>
      <c r="H233">
        <v>16.666666670000001</v>
      </c>
      <c r="I233">
        <v>16.666666670000001</v>
      </c>
      <c r="J233">
        <v>46.666666669999998</v>
      </c>
    </row>
    <row r="234" spans="1:10" x14ac:dyDescent="0.3">
      <c r="A234" t="str" cm="1">
        <f t="array" ref="A234">IF(ROW()&lt;=COUNTA(Sheet1!A:A), INDEX(Sheet1!A:A, ROW()),
INDEX(Sheet4!A:A, ROW()-COUNTA(Sheet1!A:A)))</f>
        <v>Al16.7Cr11.8Fe15.4Co24.7Ni31.3</v>
      </c>
      <c r="B234" s="10">
        <f>_xlfn.XLOOKUP(A234, Sheet4!A:A, Sheet4!C:C)</f>
        <v>0</v>
      </c>
      <c r="C234" s="10">
        <v>-1</v>
      </c>
      <c r="D234" s="10">
        <f>_xlfn.XLOOKUP(A234, Sheet2!A:A, Sheet2!B:B)</f>
        <v>7.8018000000000001</v>
      </c>
      <c r="E234" s="10">
        <f>_xlfn.XLOOKUP(A234, Sheet1!A:A, Sheet1!G:G)</f>
        <v>1</v>
      </c>
      <c r="F234" s="10">
        <f t="shared" si="3"/>
        <v>1</v>
      </c>
      <c r="G234" cm="1">
        <f t="array" ref="G234:J234">_xlfn.XLOOKUP(A234, Sheet1!A:A, Sheet1!C:F)</f>
        <v>6.6666666670000003</v>
      </c>
      <c r="H234">
        <v>16.666666670000001</v>
      </c>
      <c r="I234">
        <v>16.666666670000001</v>
      </c>
      <c r="J234">
        <v>43.333333330000002</v>
      </c>
    </row>
    <row r="235" spans="1:10" x14ac:dyDescent="0.3">
      <c r="A235" t="str" cm="1">
        <f t="array" ref="A235">IF(ROW()&lt;=COUNTA(Sheet1!A:A), INDEX(Sheet1!A:A, ROW()),
INDEX(Sheet4!A:A, ROW()-COUNTA(Sheet1!A:A)))</f>
        <v>Al16.728Cr13.283Fe17.359Co23.316Ni29.314</v>
      </c>
      <c r="B235" s="10">
        <f>_xlfn.XLOOKUP(A235, Sheet4!A:A, Sheet4!C:C)</f>
        <v>0</v>
      </c>
      <c r="C235" s="10">
        <v>-1</v>
      </c>
      <c r="D235" s="10">
        <f>_xlfn.XLOOKUP(A235, Sheet2!A:A, Sheet2!B:B)</f>
        <v>7.7173999999999996</v>
      </c>
      <c r="E235" s="10">
        <f>_xlfn.XLOOKUP(A235, Sheet1!A:A, Sheet1!G:G)</f>
        <v>1</v>
      </c>
      <c r="F235" s="10">
        <f t="shared" si="3"/>
        <v>1</v>
      </c>
      <c r="G235" cm="1">
        <f t="array" ref="G235:J235">_xlfn.XLOOKUP(A235, Sheet1!A:A, Sheet1!C:F)</f>
        <v>10</v>
      </c>
      <c r="H235">
        <v>16.666666670000001</v>
      </c>
      <c r="I235">
        <v>16.666666670000001</v>
      </c>
      <c r="J235">
        <v>40</v>
      </c>
    </row>
    <row r="236" spans="1:10" x14ac:dyDescent="0.3">
      <c r="A236" t="str" cm="1">
        <f t="array" ref="A236">IF(ROW()&lt;=COUNTA(Sheet1!A:A), INDEX(Sheet1!A:A, ROW()),
INDEX(Sheet4!A:A, ROW()-COUNTA(Sheet1!A:A)))</f>
        <v>Al16.729Cr22.828Fe31.096Co12.858Ni16.489</v>
      </c>
      <c r="B236" s="10">
        <f>_xlfn.XLOOKUP(A236, Sheet4!A:A, Sheet4!C:C)</f>
        <v>0</v>
      </c>
      <c r="C236" s="10">
        <v>-1</v>
      </c>
      <c r="D236" s="10">
        <f>_xlfn.XLOOKUP(A236, Sheet2!A:A, Sheet2!B:B)</f>
        <v>7.1654</v>
      </c>
      <c r="E236" s="10">
        <f>_xlfn.XLOOKUP(A236, Sheet1!A:A, Sheet1!G:G)</f>
        <v>1</v>
      </c>
      <c r="F236" s="10">
        <f t="shared" si="3"/>
        <v>1</v>
      </c>
      <c r="G236" cm="1">
        <f t="array" ref="G236:J236">_xlfn.XLOOKUP(A236, Sheet1!A:A, Sheet1!C:F)</f>
        <v>13.33333333</v>
      </c>
      <c r="H236">
        <v>16.666666670000001</v>
      </c>
      <c r="I236">
        <v>16.666666670000001</v>
      </c>
      <c r="J236">
        <v>36.666666669999998</v>
      </c>
    </row>
    <row r="237" spans="1:10" x14ac:dyDescent="0.3">
      <c r="A237" t="str" cm="1">
        <f t="array" ref="A237">IF(ROW()&lt;=COUNTA(Sheet1!A:A), INDEX(Sheet1!A:A, ROW()),
INDEX(Sheet4!A:A, ROW()-COUNTA(Sheet1!A:A)))</f>
        <v>Al16.748Cr11.833Fe15.412Co24.729Ni31.277</v>
      </c>
      <c r="B237" s="10">
        <f>_xlfn.XLOOKUP(A237, Sheet4!A:A, Sheet4!C:C)</f>
        <v>0</v>
      </c>
      <c r="C237" s="10">
        <v>-1</v>
      </c>
      <c r="D237" s="10">
        <f>_xlfn.XLOOKUP(A237, Sheet2!A:A, Sheet2!B:B)</f>
        <v>7.7988</v>
      </c>
      <c r="E237" s="10">
        <f>_xlfn.XLOOKUP(A237, Sheet1!A:A, Sheet1!G:G)</f>
        <v>1</v>
      </c>
      <c r="F237" s="10">
        <f t="shared" si="3"/>
        <v>1</v>
      </c>
      <c r="G237" cm="1">
        <f t="array" ref="G237:J237">_xlfn.XLOOKUP(A237, Sheet1!A:A, Sheet1!C:F)</f>
        <v>16.666666670000001</v>
      </c>
      <c r="H237">
        <v>16.666666670000001</v>
      </c>
      <c r="I237">
        <v>16.666666670000001</v>
      </c>
      <c r="J237">
        <v>33.333333330000002</v>
      </c>
    </row>
    <row r="238" spans="1:10" x14ac:dyDescent="0.3">
      <c r="A238" t="str" cm="1">
        <f t="array" ref="A238">IF(ROW()&lt;=COUNTA(Sheet1!A:A), INDEX(Sheet1!A:A, ROW()),
INDEX(Sheet4!A:A, ROW()-COUNTA(Sheet1!A:A)))</f>
        <v>Al16.9Cr21.8Fe20.5Co19.7Ni21.1</v>
      </c>
      <c r="B238" s="10">
        <f>_xlfn.XLOOKUP(A238, Sheet4!A:A, Sheet4!C:C)</f>
        <v>0</v>
      </c>
      <c r="C238" s="10">
        <v>-1</v>
      </c>
      <c r="D238" s="10">
        <f>_xlfn.XLOOKUP(A238, Sheet2!A:A, Sheet2!B:B)</f>
        <v>7.3380000000000001</v>
      </c>
      <c r="E238" s="10">
        <f>_xlfn.XLOOKUP(A238, Sheet1!A:A, Sheet1!G:G)</f>
        <v>-1</v>
      </c>
      <c r="F238" s="10">
        <f t="shared" si="3"/>
        <v>-1</v>
      </c>
      <c r="G238" cm="1">
        <f t="array" ref="G238:J238">_xlfn.XLOOKUP(A238, Sheet1!A:A, Sheet1!C:F)</f>
        <v>16.666666670000001</v>
      </c>
      <c r="H238">
        <v>33.333333330000002</v>
      </c>
      <c r="I238">
        <v>16.666666670000001</v>
      </c>
      <c r="J238">
        <v>16.666666670000001</v>
      </c>
    </row>
    <row r="239" spans="1:10" x14ac:dyDescent="0.3">
      <c r="A239" t="str" cm="1">
        <f t="array" ref="A239">IF(ROW()&lt;=COUNTA(Sheet1!A:A), INDEX(Sheet1!A:A, ROW()),
INDEX(Sheet4!A:A, ROW()-COUNTA(Sheet1!A:A)))</f>
        <v>Al16.915Cr21.793Fe20.497Co19.733Ni21.062</v>
      </c>
      <c r="B239" s="10">
        <f>_xlfn.XLOOKUP(A239, Sheet4!A:A, Sheet4!C:C)</f>
        <v>0</v>
      </c>
      <c r="C239" s="10">
        <v>-1</v>
      </c>
      <c r="D239" s="10">
        <f>_xlfn.XLOOKUP(A239, Sheet2!A:A, Sheet2!B:B)</f>
        <v>7.3369999999999997</v>
      </c>
      <c r="E239" s="10">
        <f>_xlfn.XLOOKUP(A239, Sheet1!A:A, Sheet1!G:G)</f>
        <v>-1</v>
      </c>
      <c r="F239" s="10">
        <f t="shared" si="3"/>
        <v>-1</v>
      </c>
      <c r="G239" cm="1">
        <f t="array" ref="G239:J239">_xlfn.XLOOKUP(A239, Sheet1!A:A, Sheet1!C:F)</f>
        <v>20.833333329999999</v>
      </c>
      <c r="H239">
        <v>20.833333329999999</v>
      </c>
      <c r="I239">
        <v>20.833333329999999</v>
      </c>
      <c r="J239">
        <v>20.833333329999999</v>
      </c>
    </row>
    <row r="240" spans="1:10" x14ac:dyDescent="0.3">
      <c r="A240" t="str" cm="1">
        <f t="array" ref="A240">IF(ROW()&lt;=COUNTA(Sheet1!A:A), INDEX(Sheet1!A:A, ROW()),
INDEX(Sheet4!A:A, ROW()-COUNTA(Sheet1!A:A)))</f>
        <v>AlCo1.9CrFeNi</v>
      </c>
      <c r="B240" s="10">
        <f>_xlfn.XLOOKUP(A240, Sheet4!A:A, Sheet4!C:C)</f>
        <v>0</v>
      </c>
      <c r="C240" s="10">
        <v>-1</v>
      </c>
      <c r="D240" s="10">
        <f>_xlfn.XLOOKUP(A240, Sheet2!A:A, Sheet2!B:B)</f>
        <v>7.4745999999999997</v>
      </c>
      <c r="E240" s="10">
        <f>_xlfn.XLOOKUP(A240, Sheet1!A:A, Sheet1!G:G)</f>
        <v>-1</v>
      </c>
      <c r="F240" s="10">
        <f t="shared" si="3"/>
        <v>-1</v>
      </c>
      <c r="G240" cm="1">
        <f t="array" ref="G240:J240">_xlfn.XLOOKUP(A240, Sheet1!A:A, Sheet1!C:F)</f>
        <v>12.9</v>
      </c>
      <c r="H240">
        <v>22.8</v>
      </c>
      <c r="I240">
        <v>31.1</v>
      </c>
      <c r="J240">
        <v>16.5</v>
      </c>
    </row>
    <row r="241" spans="1:10" x14ac:dyDescent="0.3">
      <c r="A241" t="str" cm="1">
        <f t="array" ref="A241">IF(ROW()&lt;=COUNTA(Sheet1!A:A), INDEX(Sheet1!A:A, ROW()),
INDEX(Sheet4!A:A, ROW()-COUNTA(Sheet1!A:A)))</f>
        <v>Al17Co14.3Cr14.3Fe14.3Ni40.1</v>
      </c>
      <c r="B241" s="10">
        <f>_xlfn.XLOOKUP(A241, Sheet4!A:A, Sheet4!C:C)</f>
        <v>0</v>
      </c>
      <c r="C241" s="10">
        <v>-1</v>
      </c>
      <c r="D241" s="10">
        <f>_xlfn.XLOOKUP(A241, Sheet2!A:A, Sheet2!B:B)</f>
        <v>7.8090000000000002</v>
      </c>
      <c r="E241" s="10">
        <f>_xlfn.XLOOKUP(A241, Sheet1!A:A, Sheet1!G:G)</f>
        <v>-1</v>
      </c>
      <c r="F241" s="10">
        <f t="shared" si="3"/>
        <v>-1</v>
      </c>
      <c r="G241" cm="1">
        <f t="array" ref="G241:J241">_xlfn.XLOOKUP(A241, Sheet1!A:A, Sheet1!C:F)</f>
        <v>23.3</v>
      </c>
      <c r="H241">
        <v>13.3</v>
      </c>
      <c r="I241">
        <v>17.399999999999999</v>
      </c>
      <c r="J241">
        <v>29.3</v>
      </c>
    </row>
    <row r="242" spans="1:10" x14ac:dyDescent="0.3">
      <c r="A242" t="str" cm="1">
        <f t="array" ref="A242">IF(ROW()&lt;=COUNTA(Sheet1!A:A), INDEX(Sheet1!A:A, ROW()),
INDEX(Sheet4!A:A, ROW()-COUNTA(Sheet1!A:A)))</f>
        <v>Al17Co14.3Cr14.3Fe28.6Ni25.8</v>
      </c>
      <c r="B242" s="10">
        <f>_xlfn.XLOOKUP(A242, Sheet4!A:A, Sheet4!C:C)</f>
        <v>0</v>
      </c>
      <c r="C242" s="10">
        <v>-1</v>
      </c>
      <c r="D242" s="10">
        <f>_xlfn.XLOOKUP(A242, Sheet2!A:A, Sheet2!B:B)</f>
        <v>7.5229999999999997</v>
      </c>
      <c r="E242" s="10">
        <f>_xlfn.XLOOKUP(A242, Sheet1!A:A, Sheet1!G:G)</f>
        <v>-1</v>
      </c>
      <c r="F242" s="10">
        <f t="shared" si="3"/>
        <v>-1</v>
      </c>
      <c r="G242" cm="1">
        <f t="array" ref="G242:J242">_xlfn.XLOOKUP(A242, Sheet1!A:A, Sheet1!C:F)</f>
        <v>24.7</v>
      </c>
      <c r="H242">
        <v>11.8</v>
      </c>
      <c r="I242">
        <v>15.4</v>
      </c>
      <c r="J242">
        <v>31.3</v>
      </c>
    </row>
    <row r="243" spans="1:10" x14ac:dyDescent="0.3">
      <c r="A243" t="str" cm="1">
        <f t="array" ref="A243">IF(ROW()&lt;=COUNTA(Sheet1!A:A), INDEX(Sheet1!A:A, ROW()),
INDEX(Sheet4!A:A, ROW()-COUNTA(Sheet1!A:A)))</f>
        <v>Al17Co17Cr17Fe17Ni17Fe15</v>
      </c>
      <c r="B243" s="10">
        <f>_xlfn.XLOOKUP(A243, Sheet4!A:A, Sheet4!C:C)</f>
        <v>0</v>
      </c>
      <c r="C243" s="10">
        <v>-1</v>
      </c>
      <c r="D243" s="10">
        <f>_xlfn.XLOOKUP(A243, Sheet2!A:A, Sheet2!B:B)</f>
        <v>7.32</v>
      </c>
      <c r="E243" s="10">
        <f>_xlfn.XLOOKUP(A243, Sheet1!A:A, Sheet1!G:G)</f>
        <v>-1</v>
      </c>
      <c r="F243" s="10">
        <f t="shared" si="3"/>
        <v>-1</v>
      </c>
      <c r="G243" cm="1">
        <f t="array" ref="G243:J243">_xlfn.XLOOKUP(A243, Sheet1!A:A, Sheet1!C:F)</f>
        <v>23.315999999999999</v>
      </c>
      <c r="H243">
        <v>13.282999999999999</v>
      </c>
      <c r="I243">
        <v>17.359000000000002</v>
      </c>
      <c r="J243">
        <v>29.314</v>
      </c>
    </row>
    <row r="244" spans="1:10" x14ac:dyDescent="0.3">
      <c r="A244" t="str" cm="1">
        <f t="array" ref="A244">IF(ROW()&lt;=COUNTA(Sheet1!A:A), INDEX(Sheet1!A:A, ROW()),
INDEX(Sheet4!A:A, ROW()-COUNTA(Sheet1!A:A)))</f>
        <v>Al17Cr21.1Fe23.7Co18.5Ni19.7</v>
      </c>
      <c r="B244" s="10">
        <f>_xlfn.XLOOKUP(A244, Sheet4!A:A, Sheet4!C:C)</f>
        <v>0</v>
      </c>
      <c r="C244" s="10">
        <v>-1</v>
      </c>
      <c r="D244" s="10">
        <f>_xlfn.XLOOKUP(A244, Sheet2!A:A, Sheet2!B:B)</f>
        <v>7.3070000000000004</v>
      </c>
      <c r="E244" s="10">
        <f>_xlfn.XLOOKUP(A244, Sheet1!A:A, Sheet1!G:G)</f>
        <v>-1</v>
      </c>
      <c r="F244" s="10">
        <f t="shared" si="3"/>
        <v>-1</v>
      </c>
      <c r="G244" cm="1">
        <f t="array" ref="G244:J244">_xlfn.XLOOKUP(A244, Sheet1!A:A, Sheet1!C:F)</f>
        <v>12.858000000000001</v>
      </c>
      <c r="H244">
        <v>22.827999999999999</v>
      </c>
      <c r="I244">
        <v>31.096</v>
      </c>
      <c r="J244">
        <v>16.489000000000001</v>
      </c>
    </row>
    <row r="245" spans="1:10" x14ac:dyDescent="0.3">
      <c r="A245" t="str" cm="1">
        <f t="array" ref="A245">IF(ROW()&lt;=COUNTA(Sheet1!A:A), INDEX(Sheet1!A:A, ROW()),
INDEX(Sheet4!A:A, ROW()-COUNTA(Sheet1!A:A)))</f>
        <v>Al17Co28.6Cr14.3Fe14.3Ni25.8</v>
      </c>
      <c r="B245" s="10">
        <f>_xlfn.XLOOKUP(A245, Sheet4!A:A, Sheet4!C:C)</f>
        <v>0</v>
      </c>
      <c r="C245" s="10">
        <v>-1</v>
      </c>
      <c r="D245" s="10">
        <f>_xlfn.XLOOKUP(A245, Sheet2!A:A, Sheet2!B:B)</f>
        <v>7.6660000000000004</v>
      </c>
      <c r="E245" s="10">
        <f>_xlfn.XLOOKUP(A245, Sheet1!A:A, Sheet1!G:G)</f>
        <v>-1</v>
      </c>
      <c r="F245" s="10">
        <f t="shared" si="3"/>
        <v>-1</v>
      </c>
      <c r="G245" cm="1">
        <f t="array" ref="G245:J245">_xlfn.XLOOKUP(A245, Sheet1!A:A, Sheet1!C:F)</f>
        <v>24.728999999999999</v>
      </c>
      <c r="H245">
        <v>11.833</v>
      </c>
      <c r="I245">
        <v>15.412000000000001</v>
      </c>
      <c r="J245">
        <v>31.277000000000001</v>
      </c>
    </row>
    <row r="246" spans="1:10" x14ac:dyDescent="0.3">
      <c r="A246" t="str" cm="1">
        <f t="array" ref="A246">IF(ROW()&lt;=COUNTA(Sheet1!A:A), INDEX(Sheet1!A:A, ROW()),
INDEX(Sheet4!A:A, ROW()-COUNTA(Sheet1!A:A)))</f>
        <v>Al17.014Cr21.136Fe23.663Co18.481Ni19.707</v>
      </c>
      <c r="B246" s="10">
        <f>_xlfn.XLOOKUP(A246, Sheet4!A:A, Sheet4!C:C)</f>
        <v>0</v>
      </c>
      <c r="C246" s="10">
        <v>-1</v>
      </c>
      <c r="D246" s="10">
        <f>_xlfn.XLOOKUP(A246, Sheet2!A:A, Sheet2!B:B)</f>
        <v>7.3055000000000003</v>
      </c>
      <c r="E246" s="10">
        <f>_xlfn.XLOOKUP(A246, Sheet1!A:A, Sheet1!G:G)</f>
        <v>-1</v>
      </c>
      <c r="F246" s="10">
        <f t="shared" si="3"/>
        <v>-1</v>
      </c>
      <c r="G246" cm="1">
        <f t="array" ref="G246:J246">_xlfn.XLOOKUP(A246, Sheet1!A:A, Sheet1!C:F)</f>
        <v>19.7</v>
      </c>
      <c r="H246">
        <v>21.8</v>
      </c>
      <c r="I246">
        <v>20.5</v>
      </c>
      <c r="J246">
        <v>21.1</v>
      </c>
    </row>
    <row r="247" spans="1:10" x14ac:dyDescent="0.3">
      <c r="A247" t="str" cm="1">
        <f t="array" ref="A247">IF(ROW()&lt;=COUNTA(Sheet1!A:A), INDEX(Sheet1!A:A, ROW()),
INDEX(Sheet4!A:A, ROW()-COUNTA(Sheet1!A:A)))</f>
        <v>Al17.052Cr14.546Fe19.406Co21.56Ni27.436</v>
      </c>
      <c r="B247" s="10">
        <f>_xlfn.XLOOKUP(A247, Sheet4!A:A, Sheet4!C:C)</f>
        <v>0</v>
      </c>
      <c r="C247" s="10">
        <v>-1</v>
      </c>
      <c r="D247" s="10">
        <f>_xlfn.XLOOKUP(A247, Sheet2!A:A, Sheet2!B:B)</f>
        <v>7.6208</v>
      </c>
      <c r="E247" s="10">
        <f>_xlfn.XLOOKUP(A247, Sheet1!A:A, Sheet1!G:G)</f>
        <v>-1</v>
      </c>
      <c r="F247" s="10">
        <f t="shared" si="3"/>
        <v>-1</v>
      </c>
      <c r="G247" cm="1">
        <f t="array" ref="G247:J247">_xlfn.XLOOKUP(A247, Sheet1!A:A, Sheet1!C:F)</f>
        <v>19.733000000000001</v>
      </c>
      <c r="H247">
        <v>21.792999999999999</v>
      </c>
      <c r="I247">
        <v>20.497</v>
      </c>
      <c r="J247">
        <v>21.062000000000001</v>
      </c>
    </row>
    <row r="248" spans="1:10" x14ac:dyDescent="0.3">
      <c r="A248" t="str" cm="1">
        <f t="array" ref="A248">IF(ROW()&lt;=COUNTA(Sheet1!A:A), INDEX(Sheet1!A:A, ROW()),
INDEX(Sheet4!A:A, ROW()-COUNTA(Sheet1!A:A)))</f>
        <v>Al17.1Cr14.5Fe19.4Co21.6Ni27.4</v>
      </c>
      <c r="B248" s="10">
        <f>_xlfn.XLOOKUP(A248, Sheet4!A:A, Sheet4!C:C)</f>
        <v>0</v>
      </c>
      <c r="C248" s="10">
        <v>-1</v>
      </c>
      <c r="D248" s="10">
        <f>_xlfn.XLOOKUP(A248, Sheet2!A:A, Sheet2!B:B)</f>
        <v>7.6189999999999998</v>
      </c>
      <c r="E248" s="10">
        <f>_xlfn.XLOOKUP(A248, Sheet1!A:A, Sheet1!G:G)</f>
        <v>-1</v>
      </c>
      <c r="F248" s="10">
        <f t="shared" si="3"/>
        <v>-1</v>
      </c>
      <c r="G248" cm="1">
        <f t="array" ref="G248:J248">_xlfn.XLOOKUP(A248, Sheet1!A:A, Sheet1!C:F)</f>
        <v>32.203389829999999</v>
      </c>
      <c r="H248">
        <v>16.94915254</v>
      </c>
      <c r="I248">
        <v>16.94915254</v>
      </c>
      <c r="J248">
        <v>16.94915254</v>
      </c>
    </row>
    <row r="249" spans="1:10" x14ac:dyDescent="0.3">
      <c r="A249" t="str" cm="1">
        <f t="array" ref="A249">IF(ROW()&lt;=COUNTA(Sheet1!A:A), INDEX(Sheet1!A:A, ROW()),
INDEX(Sheet4!A:A, ROW()-COUNTA(Sheet1!A:A)))</f>
        <v>AlCoCrFeNi1.75</v>
      </c>
      <c r="B249" s="10">
        <f>_xlfn.XLOOKUP(A249, Sheet4!A:A, Sheet4!C:C)</f>
        <v>0</v>
      </c>
      <c r="C249" s="10">
        <v>-1</v>
      </c>
      <c r="D249" s="10">
        <f>_xlfn.XLOOKUP(A249, Sheet2!A:A, Sheet2!B:B)</f>
        <v>7.5651999999999999</v>
      </c>
      <c r="E249" s="10">
        <f>_xlfn.XLOOKUP(A249, Sheet1!A:A, Sheet1!G:G)</f>
        <v>1</v>
      </c>
      <c r="F249" s="10">
        <f t="shared" si="3"/>
        <v>1</v>
      </c>
      <c r="G249" cm="1">
        <f t="array" ref="G249:J249">_xlfn.XLOOKUP(A249, Sheet1!A:A, Sheet1!C:F)</f>
        <v>14.3</v>
      </c>
      <c r="H249">
        <v>14.3</v>
      </c>
      <c r="I249">
        <v>14.3</v>
      </c>
      <c r="J249">
        <v>40.1</v>
      </c>
    </row>
    <row r="250" spans="1:10" x14ac:dyDescent="0.3">
      <c r="A250" t="str" cm="1">
        <f t="array" ref="A250">IF(ROW()&lt;=COUNTA(Sheet1!A:A), INDEX(Sheet1!A:A, ROW()),
INDEX(Sheet4!A:A, ROW()-COUNTA(Sheet1!A:A)))</f>
        <v>Al17.4Cr22.5Fe17.3Co20.7Ni22.1</v>
      </c>
      <c r="B250" s="10">
        <f>_xlfn.XLOOKUP(A250, Sheet4!A:A, Sheet4!C:C)</f>
        <v>0</v>
      </c>
      <c r="C250" s="10">
        <v>-1</v>
      </c>
      <c r="D250" s="10">
        <f>_xlfn.XLOOKUP(A250, Sheet2!A:A, Sheet2!B:B)</f>
        <v>7.3289999999999997</v>
      </c>
      <c r="E250" s="10">
        <f>_xlfn.XLOOKUP(A250, Sheet1!A:A, Sheet1!G:G)</f>
        <v>1</v>
      </c>
      <c r="F250" s="10">
        <f t="shared" si="3"/>
        <v>1</v>
      </c>
      <c r="G250" cm="1">
        <f t="array" ref="G250:J250">_xlfn.XLOOKUP(A250, Sheet1!A:A, Sheet1!C:F)</f>
        <v>14.3</v>
      </c>
      <c r="H250">
        <v>14.3</v>
      </c>
      <c r="I250">
        <v>28.6</v>
      </c>
      <c r="J250">
        <v>25.8</v>
      </c>
    </row>
    <row r="251" spans="1:10" x14ac:dyDescent="0.3">
      <c r="A251" t="str" cm="1">
        <f t="array" ref="A251">IF(ROW()&lt;=COUNTA(Sheet1!A:A), INDEX(Sheet1!A:A, ROW()),
INDEX(Sheet4!A:A, ROW()-COUNTA(Sheet1!A:A)))</f>
        <v>Al17.409Cr22.472Fe17.258Co20.714Ni22.147</v>
      </c>
      <c r="B251" s="10">
        <f>_xlfn.XLOOKUP(A251, Sheet4!A:A, Sheet4!C:C)</f>
        <v>0</v>
      </c>
      <c r="C251" s="10">
        <v>-1</v>
      </c>
      <c r="D251" s="10">
        <f>_xlfn.XLOOKUP(A251, Sheet2!A:A, Sheet2!B:B)</f>
        <v>7.3301999999999996</v>
      </c>
      <c r="E251" s="10">
        <f>_xlfn.XLOOKUP(A251, Sheet1!A:A, Sheet1!G:G)</f>
        <v>-1</v>
      </c>
      <c r="F251" s="10">
        <f t="shared" si="3"/>
        <v>-1</v>
      </c>
      <c r="G251" cm="1">
        <f t="array" ref="G251:J251">_xlfn.XLOOKUP(A251, Sheet1!A:A, Sheet1!C:F)</f>
        <v>17</v>
      </c>
      <c r="H251">
        <v>17</v>
      </c>
      <c r="I251">
        <v>15</v>
      </c>
      <c r="J251">
        <v>17</v>
      </c>
    </row>
    <row r="252" spans="1:10" x14ac:dyDescent="0.3">
      <c r="A252" t="str" cm="1">
        <f t="array" ref="A252">IF(ROW()&lt;=COUNTA(Sheet1!A:A), INDEX(Sheet1!A:A, ROW()),
INDEX(Sheet4!A:A, ROW()-COUNTA(Sheet1!A:A)))</f>
        <v>Al0.7Co0.3CrFeNi</v>
      </c>
      <c r="B252" s="10">
        <f>_xlfn.XLOOKUP(A252, Sheet4!A:A, Sheet4!C:C)</f>
        <v>0</v>
      </c>
      <c r="C252" s="10">
        <v>-1</v>
      </c>
      <c r="D252" s="10">
        <f>_xlfn.XLOOKUP(A252, Sheet2!A:A, Sheet2!B:B)</f>
        <v>7.2</v>
      </c>
      <c r="E252" s="10">
        <f>_xlfn.XLOOKUP(A252, Sheet1!A:A, Sheet1!G:G)</f>
        <v>-1</v>
      </c>
      <c r="F252" s="10">
        <f t="shared" si="3"/>
        <v>-1</v>
      </c>
      <c r="G252" cm="1">
        <f t="array" ref="G252:J252">_xlfn.XLOOKUP(A252, Sheet1!A:A, Sheet1!C:F)</f>
        <v>18.5</v>
      </c>
      <c r="H252">
        <v>21.1</v>
      </c>
      <c r="I252">
        <v>23.7</v>
      </c>
      <c r="J252">
        <v>19.7</v>
      </c>
    </row>
    <row r="253" spans="1:10" x14ac:dyDescent="0.3">
      <c r="A253" t="str" cm="1">
        <f t="array" ref="A253">IF(ROW()&lt;=COUNTA(Sheet1!A:A), INDEX(Sheet1!A:A, ROW()),
INDEX(Sheet4!A:A, ROW()-COUNTA(Sheet1!A:A)))</f>
        <v>Al17.6Cr23.2Fe6.8Co25.7Ni26.6</v>
      </c>
      <c r="B253" s="10">
        <f>_xlfn.XLOOKUP(A253, Sheet4!A:A, Sheet4!C:C)</f>
        <v>0</v>
      </c>
      <c r="C253" s="10">
        <v>-1</v>
      </c>
      <c r="D253" s="10">
        <f>_xlfn.XLOOKUP(A253, Sheet2!A:A, Sheet2!B:B)</f>
        <v>7.4443999999999999</v>
      </c>
      <c r="E253" s="10">
        <f>_xlfn.XLOOKUP(A253, Sheet1!A:A, Sheet1!G:G)</f>
        <v>1</v>
      </c>
      <c r="F253" s="10">
        <f t="shared" si="3"/>
        <v>1</v>
      </c>
      <c r="G253" cm="1">
        <f t="array" ref="G253:J253">_xlfn.XLOOKUP(A253, Sheet1!A:A, Sheet1!C:F)</f>
        <v>28.6</v>
      </c>
      <c r="H253">
        <v>14.3</v>
      </c>
      <c r="I253">
        <v>14.3</v>
      </c>
      <c r="J253">
        <v>25.8</v>
      </c>
    </row>
    <row r="254" spans="1:10" x14ac:dyDescent="0.3">
      <c r="A254" t="str" cm="1">
        <f t="array" ref="A254">IF(ROW()&lt;=COUNTA(Sheet1!A:A), INDEX(Sheet1!A:A, ROW()),
INDEX(Sheet4!A:A, ROW()-COUNTA(Sheet1!A:A)))</f>
        <v>Al17.642Cr23.177Fe6.8228Co25.723Ni26.636</v>
      </c>
      <c r="B254" s="10">
        <f>_xlfn.XLOOKUP(A254, Sheet4!A:A, Sheet4!C:C)</f>
        <v>0</v>
      </c>
      <c r="C254" s="10">
        <v>-1</v>
      </c>
      <c r="D254" s="10">
        <f>_xlfn.XLOOKUP(A254, Sheet2!A:A, Sheet2!B:B)</f>
        <v>7.4443000000000001</v>
      </c>
      <c r="E254" s="10">
        <f>_xlfn.XLOOKUP(A254, Sheet1!A:A, Sheet1!G:G)</f>
        <v>-1</v>
      </c>
      <c r="F254" s="10">
        <f t="shared" si="3"/>
        <v>-1</v>
      </c>
      <c r="G254" cm="1">
        <f t="array" ref="G254:J254">_xlfn.XLOOKUP(A254, Sheet1!A:A, Sheet1!C:F)</f>
        <v>18.481000000000002</v>
      </c>
      <c r="H254">
        <v>21.135999999999999</v>
      </c>
      <c r="I254">
        <v>23.663</v>
      </c>
      <c r="J254">
        <v>19.707000000000001</v>
      </c>
    </row>
    <row r="255" spans="1:10" x14ac:dyDescent="0.3">
      <c r="A255" t="str" cm="1">
        <f t="array" ref="A255">IF(ROW()&lt;=COUNTA(Sheet1!A:A), INDEX(Sheet1!A:A, ROW()),
INDEX(Sheet4!A:A, ROW()-COUNTA(Sheet1!A:A)))</f>
        <v>Al17.662Cr23.102Fe12.532Co22.78Ni23.924</v>
      </c>
      <c r="B255" s="10">
        <f>_xlfn.XLOOKUP(A255, Sheet4!A:A, Sheet4!C:C)</f>
        <v>0</v>
      </c>
      <c r="C255" s="10">
        <v>-1</v>
      </c>
      <c r="D255" s="10">
        <f>_xlfn.XLOOKUP(A255, Sheet2!A:A, Sheet2!B:B)</f>
        <v>7.3611000000000004</v>
      </c>
      <c r="E255" s="10">
        <f>_xlfn.XLOOKUP(A255, Sheet1!A:A, Sheet1!G:G)</f>
        <v>-1</v>
      </c>
      <c r="F255" s="10">
        <f t="shared" si="3"/>
        <v>-1</v>
      </c>
      <c r="G255" cm="1">
        <f t="array" ref="G255:J255">_xlfn.XLOOKUP(A255, Sheet1!A:A, Sheet1!C:F)</f>
        <v>21.56</v>
      </c>
      <c r="H255">
        <v>14.545999999999999</v>
      </c>
      <c r="I255">
        <v>19.405999999999999</v>
      </c>
      <c r="J255">
        <v>27.436</v>
      </c>
    </row>
    <row r="256" spans="1:10" x14ac:dyDescent="0.3">
      <c r="A256" t="str" cm="1">
        <f t="array" ref="A256">IF(ROW()&lt;=COUNTA(Sheet1!A:A), INDEX(Sheet1!A:A, ROW()),
INDEX(Sheet4!A:A, ROW()-COUNTA(Sheet1!A:A)))</f>
        <v>Al17.698Cr22.938Fe14.456Co21.892Ni23.016</v>
      </c>
      <c r="B256" s="10">
        <f>_xlfn.XLOOKUP(A256, Sheet4!A:A, Sheet4!C:C)</f>
        <v>0</v>
      </c>
      <c r="C256" s="10">
        <v>-1</v>
      </c>
      <c r="D256" s="10">
        <f>_xlfn.XLOOKUP(A256, Sheet2!A:A, Sheet2!B:B)</f>
        <v>7.3356000000000003</v>
      </c>
      <c r="E256" s="10">
        <f>_xlfn.XLOOKUP(A256, Sheet1!A:A, Sheet1!G:G)</f>
        <v>-1</v>
      </c>
      <c r="F256" s="10">
        <f t="shared" si="3"/>
        <v>-1</v>
      </c>
      <c r="G256" cm="1">
        <f t="array" ref="G256:J256">_xlfn.XLOOKUP(A256, Sheet1!A:A, Sheet1!C:F)</f>
        <v>21.6</v>
      </c>
      <c r="H256">
        <v>14.5</v>
      </c>
      <c r="I256">
        <v>19.399999999999999</v>
      </c>
      <c r="J256">
        <v>27.4</v>
      </c>
    </row>
    <row r="257" spans="1:10" x14ac:dyDescent="0.3">
      <c r="A257" t="str" cm="1">
        <f t="array" ref="A257">IF(ROW()&lt;=COUNTA(Sheet1!A:A), INDEX(Sheet1!A:A, ROW()),
INDEX(Sheet4!A:A, ROW()-COUNTA(Sheet1!A:A)))</f>
        <v>Al17.7Cr22.9Fe14.5Co21.9Ni23</v>
      </c>
      <c r="B257" s="10">
        <f>_xlfn.XLOOKUP(A257, Sheet4!A:A, Sheet4!C:C)</f>
        <v>0</v>
      </c>
      <c r="C257" s="10">
        <v>-1</v>
      </c>
      <c r="D257" s="10">
        <f>_xlfn.XLOOKUP(A257, Sheet2!A:A, Sheet2!B:B)</f>
        <v>7.3360000000000003</v>
      </c>
      <c r="E257" s="10">
        <f>_xlfn.XLOOKUP(A257, Sheet1!A:A, Sheet1!G:G)</f>
        <v>-1</v>
      </c>
      <c r="F257" s="10">
        <f t="shared" si="3"/>
        <v>-1</v>
      </c>
      <c r="G257" cm="1">
        <f t="array" ref="G257:J257">_xlfn.XLOOKUP(A257, Sheet1!A:A, Sheet1!C:F)</f>
        <v>17.391304349999999</v>
      </c>
      <c r="H257">
        <v>17.391304349999999</v>
      </c>
      <c r="I257">
        <v>17.391304349999999</v>
      </c>
      <c r="J257">
        <v>30.434782609999999</v>
      </c>
    </row>
    <row r="258" spans="1:10" x14ac:dyDescent="0.3">
      <c r="A258" t="str" cm="1">
        <f t="array" ref="A258">IF(ROW()&lt;=COUNTA(Sheet1!A:A), INDEX(Sheet1!A:A, ROW()),
INDEX(Sheet4!A:A, ROW()-COUNTA(Sheet1!A:A)))</f>
        <v>Al17.7Cr23.1Fe12.5Co22.8Ni23.9</v>
      </c>
      <c r="B258" s="10">
        <f>_xlfn.XLOOKUP(A258, Sheet4!A:A, Sheet4!C:C)</f>
        <v>0</v>
      </c>
      <c r="C258" s="10">
        <v>-1</v>
      </c>
      <c r="D258" s="10">
        <f>_xlfn.XLOOKUP(A258, Sheet2!A:A, Sheet2!B:B)</f>
        <v>7.359</v>
      </c>
      <c r="E258" s="10">
        <f>_xlfn.XLOOKUP(A258, Sheet1!A:A, Sheet1!G:G)</f>
        <v>-1</v>
      </c>
      <c r="F258" s="10">
        <f t="shared" si="3"/>
        <v>-1</v>
      </c>
      <c r="G258" cm="1">
        <f t="array" ref="G258:J258">_xlfn.XLOOKUP(A258, Sheet1!A:A, Sheet1!C:F)</f>
        <v>20.7</v>
      </c>
      <c r="H258">
        <v>22.5</v>
      </c>
      <c r="I258">
        <v>17.3</v>
      </c>
      <c r="J258">
        <v>22.1</v>
      </c>
    </row>
    <row r="259" spans="1:10" x14ac:dyDescent="0.3">
      <c r="A259" t="str" cm="1">
        <f t="array" ref="A259">IF(ROW()&lt;=COUNTA(Sheet1!A:A), INDEX(Sheet1!A:A, ROW()),
INDEX(Sheet4!A:A, ROW()-COUNTA(Sheet1!A:A)))</f>
        <v>Al1.1CoCrFeNi2.1</v>
      </c>
      <c r="B259" s="10">
        <f>_xlfn.XLOOKUP(A259, Sheet4!A:A, Sheet4!C:C)</f>
        <v>0</v>
      </c>
      <c r="C259" s="10">
        <v>-1</v>
      </c>
      <c r="D259" s="10">
        <f>_xlfn.XLOOKUP(A259, Sheet2!A:A, Sheet2!B:B)</f>
        <v>7.6289999999999996</v>
      </c>
      <c r="E259" s="10">
        <f>_xlfn.XLOOKUP(A259, Sheet1!A:A, Sheet1!G:G)</f>
        <v>-1</v>
      </c>
      <c r="F259" s="10">
        <f t="shared" ref="F259:F322" si="4">IF(OR(C259=1, E259=1), 1,
   IF(OR(C259=0, E259=0), 0,
      -1))</f>
        <v>-1</v>
      </c>
      <c r="G259" cm="1">
        <f t="array" ref="G259:J259">_xlfn.XLOOKUP(A259, Sheet1!A:A, Sheet1!C:F)</f>
        <v>20.713999999999999</v>
      </c>
      <c r="H259">
        <v>22.472000000000001</v>
      </c>
      <c r="I259">
        <v>17.257999999999999</v>
      </c>
      <c r="J259">
        <v>22.146999999999998</v>
      </c>
    </row>
    <row r="260" spans="1:10" x14ac:dyDescent="0.3">
      <c r="A260" t="str" cm="1">
        <f t="array" ref="A260">IF(ROW()&lt;=COUNTA(Sheet1!A:A), INDEX(Sheet1!A:A, ROW()),
INDEX(Sheet4!A:A, ROW()-COUNTA(Sheet1!A:A)))</f>
        <v>Al17.791Cr23.36Fe9.1903Co24.246Ni25.413</v>
      </c>
      <c r="B260" s="10">
        <f>_xlfn.XLOOKUP(A260, Sheet4!A:A, Sheet4!C:C)</f>
        <v>0</v>
      </c>
      <c r="C260" s="10">
        <v>-1</v>
      </c>
      <c r="D260" s="10">
        <f>_xlfn.XLOOKUP(A260, Sheet2!A:A, Sheet2!B:B)</f>
        <v>7.3940000000000001</v>
      </c>
      <c r="E260" s="10">
        <f>_xlfn.XLOOKUP(A260, Sheet1!A:A, Sheet1!G:G)</f>
        <v>-1</v>
      </c>
      <c r="F260" s="10">
        <f t="shared" si="4"/>
        <v>-1</v>
      </c>
      <c r="G260" cm="1">
        <f t="array" ref="G260:J260">_xlfn.XLOOKUP(A260, Sheet1!A:A, Sheet1!C:F)</f>
        <v>7.5</v>
      </c>
      <c r="H260">
        <v>25</v>
      </c>
      <c r="I260">
        <v>25</v>
      </c>
      <c r="J260">
        <v>25</v>
      </c>
    </row>
    <row r="261" spans="1:10" x14ac:dyDescent="0.3">
      <c r="A261" t="str" cm="1">
        <f t="array" ref="A261">IF(ROW()&lt;=COUNTA(Sheet1!A:A), INDEX(Sheet1!A:A, ROW()),
INDEX(Sheet4!A:A, ROW()-COUNTA(Sheet1!A:A)))</f>
        <v>Al17.8Cr23.4Fe9.2Co24.2Ni25.4</v>
      </c>
      <c r="B261" s="10">
        <f>_xlfn.XLOOKUP(A261, Sheet4!A:A, Sheet4!C:C)</f>
        <v>0</v>
      </c>
      <c r="C261" s="10">
        <v>-1</v>
      </c>
      <c r="D261" s="10">
        <f>_xlfn.XLOOKUP(A261, Sheet2!A:A, Sheet2!B:B)</f>
        <v>7.3920000000000003</v>
      </c>
      <c r="E261" s="10">
        <f>_xlfn.XLOOKUP(A261, Sheet1!A:A, Sheet1!G:G)</f>
        <v>-1</v>
      </c>
      <c r="F261" s="10">
        <f t="shared" si="4"/>
        <v>-1</v>
      </c>
      <c r="G261" cm="1">
        <f t="array" ref="G261:J261">_xlfn.XLOOKUP(A261, Sheet1!A:A, Sheet1!C:F)</f>
        <v>25.7</v>
      </c>
      <c r="H261">
        <v>23.2</v>
      </c>
      <c r="I261">
        <v>6.8</v>
      </c>
      <c r="J261">
        <v>26.6</v>
      </c>
    </row>
    <row r="262" spans="1:10" x14ac:dyDescent="0.3">
      <c r="A262" t="str" cm="1">
        <f t="array" ref="A262">IF(ROW()&lt;=COUNTA(Sheet1!A:A), INDEX(Sheet1!A:A, ROW()),
INDEX(Sheet4!A:A, ROW()-COUNTA(Sheet1!A:A)))</f>
        <v>Al0.875CoCrFeNi</v>
      </c>
      <c r="B262" s="10" t="str">
        <f>_xlfn.XLOOKUP(A262, Sheet4!A:A, Sheet4!C:C)</f>
        <v>BCC</v>
      </c>
      <c r="C262" s="10">
        <v>0</v>
      </c>
      <c r="D262" s="10">
        <f>_xlfn.XLOOKUP(A262, Sheet2!A:A, Sheet2!B:B)</f>
        <v>7.3076999999999996</v>
      </c>
      <c r="E262" s="10">
        <f>_xlfn.XLOOKUP(A262, Sheet1!A:A, Sheet1!G:G)</f>
        <v>-1</v>
      </c>
      <c r="F262" s="10">
        <f t="shared" si="4"/>
        <v>0</v>
      </c>
      <c r="G262" cm="1">
        <f t="array" ref="G262:J262">_xlfn.XLOOKUP(A262, Sheet1!A:A, Sheet1!C:F)</f>
        <v>25.722999999999999</v>
      </c>
      <c r="H262">
        <v>23.177</v>
      </c>
      <c r="I262">
        <v>6.8228</v>
      </c>
      <c r="J262">
        <v>26.635999999999999</v>
      </c>
    </row>
    <row r="263" spans="1:10" x14ac:dyDescent="0.3">
      <c r="A263" t="str" cm="1">
        <f t="array" ref="A263">IF(ROW()&lt;=COUNTA(Sheet1!A:A), INDEX(Sheet1!A:A, ROW()),
INDEX(Sheet4!A:A, ROW()-COUNTA(Sheet1!A:A)))</f>
        <v>Al17.999Cr22.526Fe27.296Co15.615Ni16.563</v>
      </c>
      <c r="B263" s="10">
        <f>_xlfn.XLOOKUP(A263, Sheet4!A:A, Sheet4!C:C)</f>
        <v>0</v>
      </c>
      <c r="C263" s="10">
        <v>-1</v>
      </c>
      <c r="D263" s="10">
        <f>_xlfn.XLOOKUP(A263, Sheet2!A:A, Sheet2!B:B)</f>
        <v>7.1368999999999998</v>
      </c>
      <c r="E263" s="10">
        <f>_xlfn.XLOOKUP(A263, Sheet1!A:A, Sheet1!G:G)</f>
        <v>-1</v>
      </c>
      <c r="F263" s="10">
        <f t="shared" si="4"/>
        <v>-1</v>
      </c>
      <c r="G263" cm="1">
        <f t="array" ref="G263:J263">_xlfn.XLOOKUP(A263, Sheet1!A:A, Sheet1!C:F)</f>
        <v>22.78</v>
      </c>
      <c r="H263">
        <v>23.102</v>
      </c>
      <c r="I263">
        <v>12.532</v>
      </c>
      <c r="J263">
        <v>23.923999999999999</v>
      </c>
    </row>
    <row r="264" spans="1:10" x14ac:dyDescent="0.3">
      <c r="A264" t="str" cm="1">
        <f t="array" ref="A264">IF(ROW()&lt;=COUNTA(Sheet1!A:A), INDEX(Sheet1!A:A, ROW()),
INDEX(Sheet4!A:A, ROW()-COUNTA(Sheet1!A:A)))</f>
        <v>Al18Cr22.5Fe27.3Co15.6Ni16.6</v>
      </c>
      <c r="B264" s="10">
        <f>_xlfn.XLOOKUP(A264, Sheet4!A:A, Sheet4!C:C)</f>
        <v>0</v>
      </c>
      <c r="C264" s="10">
        <v>-1</v>
      </c>
      <c r="D264" s="10">
        <f>_xlfn.XLOOKUP(A264, Sheet2!A:A, Sheet2!B:B)</f>
        <v>7.1379999999999999</v>
      </c>
      <c r="E264" s="10">
        <f>_xlfn.XLOOKUP(A264, Sheet1!A:A, Sheet1!G:G)</f>
        <v>-1</v>
      </c>
      <c r="F264" s="10">
        <f t="shared" si="4"/>
        <v>-1</v>
      </c>
      <c r="G264" cm="1">
        <f t="array" ref="G264:J264">_xlfn.XLOOKUP(A264, Sheet1!A:A, Sheet1!C:F)</f>
        <v>21.891999999999999</v>
      </c>
      <c r="H264">
        <v>22.937999999999999</v>
      </c>
      <c r="I264">
        <v>14.456</v>
      </c>
      <c r="J264">
        <v>23.015999999999998</v>
      </c>
    </row>
    <row r="265" spans="1:10" x14ac:dyDescent="0.3">
      <c r="A265" t="str" cm="1">
        <f t="array" ref="A265">IF(ROW()&lt;=COUNTA(Sheet1!A:A), INDEX(Sheet1!A:A, ROW()),
INDEX(Sheet4!A:A, ROW()-COUNTA(Sheet1!A:A)))</f>
        <v>Al18Cr21Fe20Co20Ni21</v>
      </c>
      <c r="B265" s="10">
        <f>_xlfn.XLOOKUP(A265, Sheet4!A:A, Sheet4!C:C)</f>
        <v>0</v>
      </c>
      <c r="C265" s="10">
        <v>-1</v>
      </c>
      <c r="D265" s="10">
        <f>_xlfn.XLOOKUP(A265, Sheet2!A:A, Sheet2!B:B)</f>
        <v>7.3</v>
      </c>
      <c r="E265" s="10">
        <f>_xlfn.XLOOKUP(A265, Sheet1!A:A, Sheet1!G:G)</f>
        <v>-1</v>
      </c>
      <c r="F265" s="10">
        <f t="shared" si="4"/>
        <v>-1</v>
      </c>
      <c r="G265" cm="1">
        <f t="array" ref="G265:J265">_xlfn.XLOOKUP(A265, Sheet1!A:A, Sheet1!C:F)</f>
        <v>21.9</v>
      </c>
      <c r="H265">
        <v>22.9</v>
      </c>
      <c r="I265">
        <v>14.5</v>
      </c>
      <c r="J265">
        <v>23</v>
      </c>
    </row>
    <row r="266" spans="1:10" x14ac:dyDescent="0.3">
      <c r="A266" t="str" cm="1">
        <f t="array" ref="A266">IF(ROW()&lt;=COUNTA(Sheet1!A:A), INDEX(Sheet1!A:A, ROW()),
INDEX(Sheet4!A:A, ROW()-COUNTA(Sheet1!A:A)))</f>
        <v>Al18Cr23.4Fe7.7Co24.8Ni26.1</v>
      </c>
      <c r="B266" s="10">
        <f>_xlfn.XLOOKUP(A266, Sheet4!A:A, Sheet4!C:C)</f>
        <v>0</v>
      </c>
      <c r="C266" s="10">
        <v>-1</v>
      </c>
      <c r="D266" s="10">
        <f>_xlfn.XLOOKUP(A266, Sheet2!A:A, Sheet2!B:B)</f>
        <v>7.4020000000000001</v>
      </c>
      <c r="E266" s="10">
        <f>_xlfn.XLOOKUP(A266, Sheet1!A:A, Sheet1!G:G)</f>
        <v>-1</v>
      </c>
      <c r="F266" s="10">
        <f t="shared" si="4"/>
        <v>-1</v>
      </c>
      <c r="G266" cm="1">
        <f t="array" ref="G266:J266">_xlfn.XLOOKUP(A266, Sheet1!A:A, Sheet1!C:F)</f>
        <v>22.8</v>
      </c>
      <c r="H266">
        <v>23.1</v>
      </c>
      <c r="I266">
        <v>12.5</v>
      </c>
      <c r="J266">
        <v>23.9</v>
      </c>
    </row>
    <row r="267" spans="1:10" x14ac:dyDescent="0.3">
      <c r="A267" t="str" cm="1">
        <f t="array" ref="A267">IF(ROW()&lt;=COUNTA(Sheet1!A:A), INDEX(Sheet1!A:A, ROW()),
INDEX(Sheet4!A:A, ROW()-COUNTA(Sheet1!A:A)))</f>
        <v>Co30Cr10Fe10Al18Ni32</v>
      </c>
      <c r="B267" s="10">
        <f>_xlfn.XLOOKUP(A267, Sheet4!A:A, Sheet4!C:C)</f>
        <v>0</v>
      </c>
      <c r="C267" s="10">
        <v>-1</v>
      </c>
      <c r="D267" s="10">
        <f>_xlfn.XLOOKUP(A267, Sheet2!A:A, Sheet2!B:B)</f>
        <v>7.84</v>
      </c>
      <c r="E267" s="10">
        <f>_xlfn.XLOOKUP(A267, Sheet1!A:A, Sheet1!G:G)</f>
        <v>-1</v>
      </c>
      <c r="F267" s="10">
        <f t="shared" si="4"/>
        <v>-1</v>
      </c>
      <c r="G267" cm="1">
        <f t="array" ref="G267:J267">_xlfn.XLOOKUP(A267, Sheet1!A:A, Sheet1!C:F)</f>
        <v>16.129032259999999</v>
      </c>
      <c r="H267">
        <v>16.129032259999999</v>
      </c>
      <c r="I267">
        <v>16.129032259999999</v>
      </c>
      <c r="J267">
        <v>33.870967739999998</v>
      </c>
    </row>
    <row r="268" spans="1:10" x14ac:dyDescent="0.3">
      <c r="A268" t="str" cm="1">
        <f t="array" ref="A268">IF(ROW()&lt;=COUNTA(Sheet1!A:A), INDEX(Sheet1!A:A, ROW()),
INDEX(Sheet4!A:A, ROW()-COUNTA(Sheet1!A:A)))</f>
        <v>Al18.01Cr23.444Fe7.7195Co24.775Ni26.051</v>
      </c>
      <c r="B268" s="10">
        <f>_xlfn.XLOOKUP(A268, Sheet4!A:A, Sheet4!C:C)</f>
        <v>0</v>
      </c>
      <c r="C268" s="10">
        <v>-1</v>
      </c>
      <c r="D268" s="10">
        <f>_xlfn.XLOOKUP(A268, Sheet2!A:A, Sheet2!B:B)</f>
        <v>7.3994</v>
      </c>
      <c r="E268" s="10">
        <f>_xlfn.XLOOKUP(A268, Sheet1!A:A, Sheet1!G:G)</f>
        <v>-1</v>
      </c>
      <c r="F268" s="10">
        <f t="shared" si="4"/>
        <v>-1</v>
      </c>
      <c r="G268" cm="1">
        <f t="array" ref="G268:J268">_xlfn.XLOOKUP(A268, Sheet1!A:A, Sheet1!C:F)</f>
        <v>24.245999999999999</v>
      </c>
      <c r="H268">
        <v>23.36</v>
      </c>
      <c r="I268">
        <v>9.1903000000000006</v>
      </c>
      <c r="J268">
        <v>25.413</v>
      </c>
    </row>
    <row r="269" spans="1:10" x14ac:dyDescent="0.3">
      <c r="A269" t="str" cm="1">
        <f t="array" ref="A269">IF(ROW()&lt;=COUNTA(Sheet1!A:A), INDEX(Sheet1!A:A, ROW()),
INDEX(Sheet4!A:A, ROW()-COUNTA(Sheet1!A:A)))</f>
        <v>CoCrFeNiAl0.88</v>
      </c>
      <c r="B269" s="10">
        <f>_xlfn.XLOOKUP(A269, Sheet4!A:A, Sheet4!C:C)</f>
        <v>0</v>
      </c>
      <c r="C269" s="10">
        <v>-1</v>
      </c>
      <c r="D269" s="10">
        <f>_xlfn.XLOOKUP(A269, Sheet2!A:A, Sheet2!B:B)</f>
        <v>7.3033000000000001</v>
      </c>
      <c r="E269" s="10">
        <f>_xlfn.XLOOKUP(A269, Sheet1!A:A, Sheet1!G:G)</f>
        <v>-1</v>
      </c>
      <c r="F269" s="10">
        <f t="shared" si="4"/>
        <v>-1</v>
      </c>
      <c r="G269" cm="1">
        <f t="array" ref="G269:J269">_xlfn.XLOOKUP(A269, Sheet1!A:A, Sheet1!C:F)</f>
        <v>24.2</v>
      </c>
      <c r="H269">
        <v>23.4</v>
      </c>
      <c r="I269">
        <v>9.1999999999999993</v>
      </c>
      <c r="J269">
        <v>25.4</v>
      </c>
    </row>
    <row r="270" spans="1:10" x14ac:dyDescent="0.3">
      <c r="A270" t="str" cm="1">
        <f t="array" ref="A270">IF(ROW()&lt;=COUNTA(Sheet1!A:A), INDEX(Sheet1!A:A, ROW()),
INDEX(Sheet4!A:A, ROW()-COUNTA(Sheet1!A:A)))</f>
        <v>Al18.071Cr23.327Fe10.652Co23.492Ni24.458</v>
      </c>
      <c r="B270" s="10">
        <f>_xlfn.XLOOKUP(A270, Sheet4!A:A, Sheet4!C:C)</f>
        <v>0</v>
      </c>
      <c r="C270" s="10">
        <v>-1</v>
      </c>
      <c r="D270" s="10">
        <f>_xlfn.XLOOKUP(A270, Sheet2!A:A, Sheet2!B:B)</f>
        <v>7.3540000000000001</v>
      </c>
      <c r="E270" s="10">
        <f>_xlfn.XLOOKUP(A270, Sheet1!A:A, Sheet1!G:G)</f>
        <v>-1</v>
      </c>
      <c r="F270" s="10">
        <f t="shared" si="4"/>
        <v>-1</v>
      </c>
      <c r="G270" cm="1">
        <f t="array" ref="G270:J270">_xlfn.XLOOKUP(A270, Sheet1!A:A, Sheet1!C:F)</f>
        <v>20.512820510000001</v>
      </c>
      <c r="H270">
        <v>20.512820510000001</v>
      </c>
      <c r="I270">
        <v>20.512820510000001</v>
      </c>
      <c r="J270">
        <v>20.512820510000001</v>
      </c>
    </row>
    <row r="271" spans="1:10" x14ac:dyDescent="0.3">
      <c r="A271" t="str" cm="1">
        <f t="array" ref="A271">IF(ROW()&lt;=COUNTA(Sheet1!A:A), INDEX(Sheet1!A:A, ROW()),
INDEX(Sheet4!A:A, ROW()-COUNTA(Sheet1!A:A)))</f>
        <v>Al18.079Cr20.981Fe28.345Co14.222Ni18.373</v>
      </c>
      <c r="B271" s="10">
        <f>_xlfn.XLOOKUP(A271, Sheet4!A:A, Sheet4!C:C)</f>
        <v>0</v>
      </c>
      <c r="C271" s="10">
        <v>-1</v>
      </c>
      <c r="D271" s="10">
        <f>_xlfn.XLOOKUP(A271, Sheet2!A:A, Sheet2!B:B)</f>
        <v>7.1860999999999997</v>
      </c>
      <c r="E271" s="10">
        <f>_xlfn.XLOOKUP(A271, Sheet1!A:A, Sheet1!G:G)</f>
        <v>-1</v>
      </c>
      <c r="F271" s="10">
        <f t="shared" si="4"/>
        <v>-1</v>
      </c>
      <c r="G271" cm="1">
        <f t="array" ref="G271:J271">_xlfn.XLOOKUP(A271, Sheet1!A:A, Sheet1!C:F)</f>
        <v>20.512820510000001</v>
      </c>
      <c r="H271">
        <v>20.512820510000001</v>
      </c>
      <c r="I271">
        <v>20.512820510000001</v>
      </c>
      <c r="J271">
        <v>20.512820510000001</v>
      </c>
    </row>
    <row r="272" spans="1:10" x14ac:dyDescent="0.3">
      <c r="A272" t="str" cm="1">
        <f t="array" ref="A272">IF(ROW()&lt;=COUNTA(Sheet1!A:A), INDEX(Sheet1!A:A, ROW()),
INDEX(Sheet4!A:A, ROW()-COUNTA(Sheet1!A:A)))</f>
        <v>Al18.1Cr23.3Fe10.7Co23.5Ni24.5</v>
      </c>
      <c r="B272" s="10">
        <f>_xlfn.XLOOKUP(A272, Sheet4!A:A, Sheet4!C:C)</f>
        <v>0</v>
      </c>
      <c r="C272" s="10">
        <v>-1</v>
      </c>
      <c r="D272" s="10">
        <f>_xlfn.XLOOKUP(A272, Sheet2!A:A, Sheet2!B:B)</f>
        <v>7.3545999999999996</v>
      </c>
      <c r="E272" s="10">
        <f>_xlfn.XLOOKUP(A272, Sheet1!A:A, Sheet1!G:G)</f>
        <v>-1</v>
      </c>
      <c r="F272" s="10">
        <f t="shared" si="4"/>
        <v>-1</v>
      </c>
      <c r="G272" cm="1">
        <f t="array" ref="G272:J272">_xlfn.XLOOKUP(A272, Sheet1!A:A, Sheet1!C:F)</f>
        <v>15.615</v>
      </c>
      <c r="H272">
        <v>22.526</v>
      </c>
      <c r="I272">
        <v>27.295999999999999</v>
      </c>
      <c r="J272">
        <v>16.562999999999999</v>
      </c>
    </row>
    <row r="273" spans="1:10" x14ac:dyDescent="0.3">
      <c r="A273" t="str" cm="1">
        <f t="array" ref="A273">IF(ROW()&lt;=COUNTA(Sheet1!A:A), INDEX(Sheet1!A:A, ROW()),
INDEX(Sheet4!A:A, ROW()-COUNTA(Sheet1!A:A)))</f>
        <v>Al18.1Cr21Fe28.3Co14.2Ni18.4</v>
      </c>
      <c r="B273" s="10">
        <f>_xlfn.XLOOKUP(A273, Sheet4!A:A, Sheet4!C:C)</f>
        <v>0</v>
      </c>
      <c r="C273" s="10">
        <v>-1</v>
      </c>
      <c r="D273" s="10">
        <f>_xlfn.XLOOKUP(A273, Sheet2!A:A, Sheet2!B:B)</f>
        <v>7.1849999999999996</v>
      </c>
      <c r="E273" s="10">
        <f>_xlfn.XLOOKUP(A273, Sheet1!A:A, Sheet1!G:G)</f>
        <v>-1</v>
      </c>
      <c r="F273" s="10">
        <f t="shared" si="4"/>
        <v>-1</v>
      </c>
      <c r="G273" cm="1">
        <f t="array" ref="G273:J273">_xlfn.XLOOKUP(A273, Sheet1!A:A, Sheet1!C:F)</f>
        <v>15.6</v>
      </c>
      <c r="H273">
        <v>22.5</v>
      </c>
      <c r="I273">
        <v>27.3</v>
      </c>
      <c r="J273">
        <v>16.600000000000001</v>
      </c>
    </row>
    <row r="274" spans="1:10" x14ac:dyDescent="0.3">
      <c r="A274" t="str" cm="1">
        <f t="array" ref="A274">IF(ROW()&lt;=COUNTA(Sheet1!A:A), INDEX(Sheet1!A:A, ROW()),
INDEX(Sheet4!A:A, ROW()-COUNTA(Sheet1!A:A)))</f>
        <v>AlCoCrFeNi1.5</v>
      </c>
      <c r="B274" s="10">
        <f>_xlfn.XLOOKUP(A274, Sheet4!A:A, Sheet4!C:C)</f>
        <v>0</v>
      </c>
      <c r="C274" s="10">
        <v>-1</v>
      </c>
      <c r="D274" s="10">
        <f>_xlfn.XLOOKUP(A274, Sheet2!A:A, Sheet2!B:B)</f>
        <v>7.4545000000000003</v>
      </c>
      <c r="E274" s="10">
        <f>_xlfn.XLOOKUP(A274, Sheet1!A:A, Sheet1!G:G)</f>
        <v>-1</v>
      </c>
      <c r="F274" s="10">
        <f t="shared" si="4"/>
        <v>-1</v>
      </c>
      <c r="G274" cm="1">
        <f t="array" ref="G274:J274">_xlfn.XLOOKUP(A274, Sheet1!A:A, Sheet1!C:F)</f>
        <v>20</v>
      </c>
      <c r="H274">
        <v>21</v>
      </c>
      <c r="I274">
        <v>20</v>
      </c>
      <c r="J274">
        <v>21</v>
      </c>
    </row>
    <row r="275" spans="1:10" x14ac:dyDescent="0.3">
      <c r="A275" t="str" cm="1">
        <f t="array" ref="A275">IF(ROW()&lt;=COUNTA(Sheet1!A:A), INDEX(Sheet1!A:A, ROW()),
INDEX(Sheet4!A:A, ROW()-COUNTA(Sheet1!A:A)))</f>
        <v>Al0.9CoCrFeNi</v>
      </c>
      <c r="B275" s="10" t="str">
        <f>_xlfn.XLOOKUP(A275, Sheet4!A:A, Sheet4!C:C)</f>
        <v>BCC</v>
      </c>
      <c r="C275" s="10">
        <v>0</v>
      </c>
      <c r="D275" s="10">
        <f>_xlfn.XLOOKUP(A275, Sheet2!A:A, Sheet2!B:B)</f>
        <v>7.2857000000000003</v>
      </c>
      <c r="E275" s="10">
        <f>_xlfn.XLOOKUP(A275, Sheet1!A:A, Sheet1!G:G)</f>
        <v>-1</v>
      </c>
      <c r="F275" s="10">
        <f t="shared" si="4"/>
        <v>0</v>
      </c>
      <c r="G275" cm="1">
        <f t="array" ref="G275:J275">_xlfn.XLOOKUP(A275, Sheet1!A:A, Sheet1!C:F)</f>
        <v>24.8</v>
      </c>
      <c r="H275">
        <v>23.4</v>
      </c>
      <c r="I275">
        <v>7.7</v>
      </c>
      <c r="J275">
        <v>26.1</v>
      </c>
    </row>
    <row r="276" spans="1:10" x14ac:dyDescent="0.3">
      <c r="A276" t="str" cm="1">
        <f t="array" ref="A276">IF(ROW()&lt;=COUNTA(Sheet1!A:A), INDEX(Sheet1!A:A, ROW()),
INDEX(Sheet4!A:A, ROW()-COUNTA(Sheet1!A:A)))</f>
        <v>Al18.4Co20.4Cr20.4Fe20.4Ni20.4</v>
      </c>
      <c r="B276" s="10" t="str">
        <f>_xlfn.XLOOKUP(A276, Sheet4!A:A, Sheet4!C:C)</f>
        <v>BCC+B2(ordered BCC)</v>
      </c>
      <c r="C276" s="10">
        <v>1</v>
      </c>
      <c r="D276" s="10">
        <f>_xlfn.XLOOKUP(A276, Sheet2!A:A, Sheet2!B:B)</f>
        <v>7.2839999999999998</v>
      </c>
      <c r="E276" s="10">
        <f>_xlfn.XLOOKUP(A276, Sheet1!A:A, Sheet1!G:G)</f>
        <v>-1</v>
      </c>
      <c r="F276" s="10">
        <f t="shared" si="4"/>
        <v>1</v>
      </c>
      <c r="G276" cm="1">
        <f t="array" ref="G276:J276">_xlfn.XLOOKUP(A276, Sheet1!A:A, Sheet1!C:F)</f>
        <v>30</v>
      </c>
      <c r="H276">
        <v>10</v>
      </c>
      <c r="I276">
        <v>10</v>
      </c>
      <c r="J276">
        <v>32</v>
      </c>
    </row>
    <row r="277" spans="1:10" x14ac:dyDescent="0.3">
      <c r="A277" t="str" cm="1">
        <f t="array" ref="A277">IF(ROW()&lt;=COUNTA(Sheet1!A:A), INDEX(Sheet1!A:A, ROW()),
INDEX(Sheet4!A:A, ROW()-COUNTA(Sheet1!A:A)))</f>
        <v>Al18.554Cr23.963Fe32.502Co10.887Ni14.094</v>
      </c>
      <c r="B277" s="10">
        <f>_xlfn.XLOOKUP(A277, Sheet4!A:A, Sheet4!C:C)</f>
        <v>0</v>
      </c>
      <c r="C277" s="10">
        <v>-1</v>
      </c>
      <c r="D277" s="10">
        <f>_xlfn.XLOOKUP(A277, Sheet2!A:A, Sheet2!B:B)</f>
        <v>6.9837999999999996</v>
      </c>
      <c r="E277" s="10">
        <f>_xlfn.XLOOKUP(A277, Sheet1!A:A, Sheet1!G:G)</f>
        <v>-1</v>
      </c>
      <c r="F277" s="10">
        <f t="shared" si="4"/>
        <v>-1</v>
      </c>
      <c r="G277" cm="1">
        <f t="array" ref="G277:J277">_xlfn.XLOOKUP(A277, Sheet1!A:A, Sheet1!C:F)</f>
        <v>24.774999999999999</v>
      </c>
      <c r="H277">
        <v>23.443999999999999</v>
      </c>
      <c r="I277">
        <v>7.7195</v>
      </c>
      <c r="J277">
        <v>26.050999999999998</v>
      </c>
    </row>
    <row r="278" spans="1:10" x14ac:dyDescent="0.3">
      <c r="A278" t="str" cm="1">
        <f t="array" ref="A278">IF(ROW()&lt;=COUNTA(Sheet1!A:A), INDEX(Sheet1!A:A, ROW()),
INDEX(Sheet4!A:A, ROW()-COUNTA(Sheet1!A:A)))</f>
        <v>Al18.6Cr24Fe32.5Co10.9Ni14.1</v>
      </c>
      <c r="B278" s="10">
        <f>_xlfn.XLOOKUP(A278, Sheet4!A:A, Sheet4!C:C)</f>
        <v>0</v>
      </c>
      <c r="C278" s="10">
        <v>-1</v>
      </c>
      <c r="D278" s="10">
        <f>_xlfn.XLOOKUP(A278, Sheet2!A:A, Sheet2!B:B)</f>
        <v>6.9820000000000002</v>
      </c>
      <c r="E278" s="10">
        <f>_xlfn.XLOOKUP(A278, Sheet1!A:A, Sheet1!G:G)</f>
        <v>-1</v>
      </c>
      <c r="F278" s="10">
        <f t="shared" si="4"/>
        <v>-1</v>
      </c>
      <c r="G278" cm="1">
        <f t="array" ref="G278:J278">_xlfn.XLOOKUP(A278, Sheet1!A:A, Sheet1!C:F)</f>
        <v>20.491803279999999</v>
      </c>
      <c r="H278">
        <v>20.491803279999999</v>
      </c>
      <c r="I278">
        <v>20.491803279999999</v>
      </c>
      <c r="J278">
        <v>20.491803279999999</v>
      </c>
    </row>
    <row r="279" spans="1:10" x14ac:dyDescent="0.3">
      <c r="A279" t="str" cm="1">
        <f t="array" ref="A279">IF(ROW()&lt;=COUNTA(Sheet1!A:A), INDEX(Sheet1!A:A, ROW()),
INDEX(Sheet4!A:A, ROW()-COUNTA(Sheet1!A:A)))</f>
        <v>Al18.595Cr23.706Fe30.334Co13.135Ni14.231</v>
      </c>
      <c r="B279" s="10">
        <f>_xlfn.XLOOKUP(A279, Sheet4!A:A, Sheet4!C:C)</f>
        <v>0</v>
      </c>
      <c r="C279" s="10">
        <v>-1</v>
      </c>
      <c r="D279" s="10">
        <f>_xlfn.XLOOKUP(A279, Sheet2!A:A, Sheet2!B:B)</f>
        <v>7.0121000000000002</v>
      </c>
      <c r="E279" s="10">
        <f>_xlfn.XLOOKUP(A279, Sheet1!A:A, Sheet1!G:G)</f>
        <v>-1</v>
      </c>
      <c r="F279" s="10">
        <f t="shared" si="4"/>
        <v>-1</v>
      </c>
      <c r="G279" cm="1">
        <f t="array" ref="G279:J279">_xlfn.XLOOKUP(A279, Sheet1!A:A, Sheet1!C:F)</f>
        <v>23.492000000000001</v>
      </c>
      <c r="H279">
        <v>23.327000000000002</v>
      </c>
      <c r="I279">
        <v>10.651999999999999</v>
      </c>
      <c r="J279">
        <v>24.457999999999998</v>
      </c>
    </row>
    <row r="280" spans="1:10" x14ac:dyDescent="0.3">
      <c r="A280" t="str" cm="1">
        <f t="array" ref="A280">IF(ROW()&lt;=COUNTA(Sheet1!A:A), INDEX(Sheet1!A:A, ROW()),
INDEX(Sheet4!A:A, ROW()-COUNTA(Sheet1!A:A)))</f>
        <v>Al18.6Cr23.7Fe30.3Co13.1Ni14.2</v>
      </c>
      <c r="B280" s="10">
        <f>_xlfn.XLOOKUP(A280, Sheet4!A:A, Sheet4!C:C)</f>
        <v>0</v>
      </c>
      <c r="C280" s="10">
        <v>-1</v>
      </c>
      <c r="D280" s="10">
        <f>_xlfn.XLOOKUP(A280, Sheet2!A:A, Sheet2!B:B)</f>
        <v>7.01</v>
      </c>
      <c r="E280" s="10">
        <f>_xlfn.XLOOKUP(A280, Sheet1!A:A, Sheet1!G:G)</f>
        <v>-1</v>
      </c>
      <c r="F280" s="10">
        <f t="shared" si="4"/>
        <v>-1</v>
      </c>
      <c r="G280" cm="1">
        <f t="array" ref="G280:J280">_xlfn.XLOOKUP(A280, Sheet1!A:A, Sheet1!C:F)</f>
        <v>14.222</v>
      </c>
      <c r="H280">
        <v>20.981000000000002</v>
      </c>
      <c r="I280">
        <v>28.344999999999999</v>
      </c>
      <c r="J280">
        <v>18.373000000000001</v>
      </c>
    </row>
    <row r="281" spans="1:10" x14ac:dyDescent="0.3">
      <c r="A281" t="str" cm="1">
        <f t="array" ref="A281">IF(ROW()&lt;=COUNTA(Sheet1!A:A), INDEX(Sheet1!A:A, ROW()),
INDEX(Sheet4!A:A, ROW()-COUNTA(Sheet1!A:A)))</f>
        <v>Al0.92NiCoFeCr</v>
      </c>
      <c r="B281" s="10">
        <f>_xlfn.XLOOKUP(A281, Sheet4!A:A, Sheet4!C:C)</f>
        <v>0</v>
      </c>
      <c r="C281" s="10">
        <v>-1</v>
      </c>
      <c r="D281" s="10">
        <f>_xlfn.XLOOKUP(A281, Sheet2!A:A, Sheet2!B:B)</f>
        <v>7.2683</v>
      </c>
      <c r="E281" s="10">
        <f>_xlfn.XLOOKUP(A281, Sheet1!A:A, Sheet1!G:G)</f>
        <v>-1</v>
      </c>
      <c r="F281" s="10">
        <f t="shared" si="4"/>
        <v>-1</v>
      </c>
      <c r="G281" cm="1">
        <f t="array" ref="G281:J281">_xlfn.XLOOKUP(A281, Sheet1!A:A, Sheet1!C:F)</f>
        <v>23.5</v>
      </c>
      <c r="H281">
        <v>23.3</v>
      </c>
      <c r="I281">
        <v>10.7</v>
      </c>
      <c r="J281">
        <v>24.5</v>
      </c>
    </row>
    <row r="282" spans="1:10" x14ac:dyDescent="0.3">
      <c r="A282" t="str" cm="1">
        <f t="array" ref="A282">IF(ROW()&lt;=COUNTA(Sheet1!A:A), INDEX(Sheet1!A:A, ROW()),
INDEX(Sheet4!A:A, ROW()-COUNTA(Sheet1!A:A)))</f>
        <v>Al18.763Cr19.403Fe26.079Co15.608Ni20.148</v>
      </c>
      <c r="B282" s="10">
        <f>_xlfn.XLOOKUP(A282, Sheet4!A:A, Sheet4!C:C)</f>
        <v>0</v>
      </c>
      <c r="C282" s="10">
        <v>-1</v>
      </c>
      <c r="D282" s="10">
        <f>_xlfn.XLOOKUP(A282, Sheet2!A:A, Sheet2!B:B)</f>
        <v>7.2328000000000001</v>
      </c>
      <c r="E282" s="10">
        <f>_xlfn.XLOOKUP(A282, Sheet1!A:A, Sheet1!G:G)</f>
        <v>-1</v>
      </c>
      <c r="F282" s="10">
        <f t="shared" si="4"/>
        <v>-1</v>
      </c>
      <c r="G282" cm="1">
        <f t="array" ref="G282:J282">_xlfn.XLOOKUP(A282, Sheet1!A:A, Sheet1!C:F)</f>
        <v>14.2</v>
      </c>
      <c r="H282">
        <v>21</v>
      </c>
      <c r="I282">
        <v>28.3</v>
      </c>
      <c r="J282">
        <v>18.399999999999999</v>
      </c>
    </row>
    <row r="283" spans="1:10" x14ac:dyDescent="0.3">
      <c r="A283" t="str" cm="1">
        <f t="array" ref="A283">IF(ROW()&lt;=COUNTA(Sheet1!A:A), INDEX(Sheet1!A:A, ROW()),
INDEX(Sheet4!A:A, ROW()-COUNTA(Sheet1!A:A)))</f>
        <v>Al18.77Cr23.518Fe23.335Co16.664Ni17.713</v>
      </c>
      <c r="B283" s="10">
        <f>_xlfn.XLOOKUP(A283, Sheet4!A:A, Sheet4!C:C)</f>
        <v>0</v>
      </c>
      <c r="C283" s="10">
        <v>-1</v>
      </c>
      <c r="D283" s="10">
        <f>_xlfn.XLOOKUP(A283, Sheet2!A:A, Sheet2!B:B)</f>
        <v>7.1120000000000001</v>
      </c>
      <c r="E283" s="10">
        <f>_xlfn.XLOOKUP(A283, Sheet1!A:A, Sheet1!G:G)</f>
        <v>-1</v>
      </c>
      <c r="F283" s="10">
        <f t="shared" si="4"/>
        <v>-1</v>
      </c>
      <c r="G283" cm="1">
        <f t="array" ref="G283:J283">_xlfn.XLOOKUP(A283, Sheet1!A:A, Sheet1!C:F)</f>
        <v>18.18181818</v>
      </c>
      <c r="H283">
        <v>18.18181818</v>
      </c>
      <c r="I283">
        <v>18.18181818</v>
      </c>
      <c r="J283">
        <v>27.272727270000001</v>
      </c>
    </row>
    <row r="284" spans="1:10" x14ac:dyDescent="0.3">
      <c r="A284" t="str" cm="1">
        <f t="array" ref="A284">IF(ROW()&lt;=COUNTA(Sheet1!A:A), INDEX(Sheet1!A:A, ROW()),
INDEX(Sheet4!A:A, ROW()-COUNTA(Sheet1!A:A)))</f>
        <v>Al18.8Cr19.4Fe26.1Co15.6Ni20.1</v>
      </c>
      <c r="B284" s="10">
        <f>_xlfn.XLOOKUP(A284, Sheet4!A:A, Sheet4!C:C)</f>
        <v>0</v>
      </c>
      <c r="C284" s="10">
        <v>-1</v>
      </c>
      <c r="D284" s="10">
        <f>_xlfn.XLOOKUP(A284, Sheet2!A:A, Sheet2!B:B)</f>
        <v>7.23</v>
      </c>
      <c r="E284" s="10">
        <f>_xlfn.XLOOKUP(A284, Sheet1!A:A, Sheet1!G:G)</f>
        <v>-1</v>
      </c>
      <c r="F284" s="10">
        <f t="shared" si="4"/>
        <v>-1</v>
      </c>
      <c r="G284" cm="1">
        <f t="array" ref="G284:J284">_xlfn.XLOOKUP(A284, Sheet1!A:A, Sheet1!C:F)</f>
        <v>20.408163269999999</v>
      </c>
      <c r="H284">
        <v>20.408163269999999</v>
      </c>
      <c r="I284">
        <v>20.408163269999999</v>
      </c>
      <c r="J284">
        <v>20.408163269999999</v>
      </c>
    </row>
    <row r="285" spans="1:10" x14ac:dyDescent="0.3">
      <c r="A285" t="str" cm="1">
        <f t="array" ref="A285">IF(ROW()&lt;=COUNTA(Sheet1!A:A), INDEX(Sheet1!A:A, ROW()),
INDEX(Sheet4!A:A, ROW()-COUNTA(Sheet1!A:A)))</f>
        <v>Al18.8Cr23.5Fe23.3Co16.7Ni17.7</v>
      </c>
      <c r="B285" s="10">
        <f>_xlfn.XLOOKUP(A285, Sheet4!A:A, Sheet4!C:C)</f>
        <v>0</v>
      </c>
      <c r="C285" s="10">
        <v>-1</v>
      </c>
      <c r="D285" s="10">
        <f>_xlfn.XLOOKUP(A285, Sheet2!A:A, Sheet2!B:B)</f>
        <v>7.1109999999999998</v>
      </c>
      <c r="E285" s="10">
        <f>_xlfn.XLOOKUP(A285, Sheet1!A:A, Sheet1!G:G)</f>
        <v>-1</v>
      </c>
      <c r="F285" s="10">
        <f t="shared" si="4"/>
        <v>-1</v>
      </c>
      <c r="G285" cm="1">
        <f t="array" ref="G285:J285">_xlfn.XLOOKUP(A285, Sheet1!A:A, Sheet1!C:F)</f>
        <v>20.399999999999999</v>
      </c>
      <c r="H285">
        <v>20.399999999999999</v>
      </c>
      <c r="I285">
        <v>20.399999999999999</v>
      </c>
      <c r="J285">
        <v>20.399999999999999</v>
      </c>
    </row>
    <row r="286" spans="1:10" x14ac:dyDescent="0.3">
      <c r="A286" t="str" cm="1">
        <f t="array" ref="A286">IF(ROW()&lt;=COUNTA(Sheet1!A:A), INDEX(Sheet1!A:A, ROW()),
INDEX(Sheet4!A:A, ROW()-COUNTA(Sheet1!A:A)))</f>
        <v>Al18.954Cr24.332Fe19.843Co17.873Ni18.998</v>
      </c>
      <c r="B286" s="10">
        <f>_xlfn.XLOOKUP(A286, Sheet4!A:A, Sheet4!C:C)</f>
        <v>0</v>
      </c>
      <c r="C286" s="10">
        <v>-1</v>
      </c>
      <c r="D286" s="10">
        <f>_xlfn.XLOOKUP(A286, Sheet2!A:A, Sheet2!B:B)</f>
        <v>7.1243999999999996</v>
      </c>
      <c r="E286" s="10">
        <f>_xlfn.XLOOKUP(A286, Sheet1!A:A, Sheet1!G:G)</f>
        <v>-1</v>
      </c>
      <c r="F286" s="10">
        <f t="shared" si="4"/>
        <v>-1</v>
      </c>
      <c r="G286" cm="1">
        <f t="array" ref="G286:J286">_xlfn.XLOOKUP(A286, Sheet1!A:A, Sheet1!C:F)</f>
        <v>10.887</v>
      </c>
      <c r="H286">
        <v>23.963000000000001</v>
      </c>
      <c r="I286">
        <v>32.502000000000002</v>
      </c>
      <c r="J286">
        <v>14.093999999999999</v>
      </c>
    </row>
    <row r="287" spans="1:10" x14ac:dyDescent="0.3">
      <c r="A287" t="str" cm="1">
        <f t="array" ref="A287">IF(ROW()&lt;=COUNTA(Sheet1!A:A), INDEX(Sheet1!A:A, ROW()),
INDEX(Sheet4!A:A, ROW()-COUNTA(Sheet1!A:A)))</f>
        <v>Al19Cr17.6Fe23.6Co17.6Ni22.2</v>
      </c>
      <c r="B287" s="10">
        <f>_xlfn.XLOOKUP(A287, Sheet4!A:A, Sheet4!C:C)</f>
        <v>0</v>
      </c>
      <c r="C287" s="10">
        <v>-1</v>
      </c>
      <c r="D287" s="10">
        <f>_xlfn.XLOOKUP(A287, Sheet2!A:A, Sheet2!B:B)</f>
        <v>7.3179999999999996</v>
      </c>
      <c r="E287" s="10">
        <f>_xlfn.XLOOKUP(A287, Sheet1!A:A, Sheet1!G:G)</f>
        <v>-1</v>
      </c>
      <c r="F287" s="10">
        <f t="shared" si="4"/>
        <v>-1</v>
      </c>
      <c r="G287" cm="1">
        <f t="array" ref="G287:J287">_xlfn.XLOOKUP(A287, Sheet1!A:A, Sheet1!C:F)</f>
        <v>10.9</v>
      </c>
      <c r="H287">
        <v>24</v>
      </c>
      <c r="I287">
        <v>32.5</v>
      </c>
      <c r="J287">
        <v>14.1</v>
      </c>
    </row>
    <row r="288" spans="1:10" x14ac:dyDescent="0.3">
      <c r="A288" t="str" cm="1">
        <f t="array" ref="A288">IF(ROW()&lt;=COUNTA(Sheet1!A:A), INDEX(Sheet1!A:A, ROW()),
INDEX(Sheet4!A:A, ROW()-COUNTA(Sheet1!A:A)))</f>
        <v>Al19Cr24.3Fe19.8Co17.9Ni19</v>
      </c>
      <c r="B288" s="10">
        <f>_xlfn.XLOOKUP(A288, Sheet4!A:A, Sheet4!C:C)</f>
        <v>0</v>
      </c>
      <c r="C288" s="10">
        <v>-1</v>
      </c>
      <c r="D288" s="10">
        <f>_xlfn.XLOOKUP(A288, Sheet2!A:A, Sheet2!B:B)</f>
        <v>7.1230000000000002</v>
      </c>
      <c r="E288" s="10">
        <f>_xlfn.XLOOKUP(A288, Sheet1!A:A, Sheet1!G:G)</f>
        <v>-1</v>
      </c>
      <c r="F288" s="10">
        <f t="shared" si="4"/>
        <v>-1</v>
      </c>
      <c r="G288" cm="1">
        <f t="array" ref="G288:J288">_xlfn.XLOOKUP(A288, Sheet1!A:A, Sheet1!C:F)</f>
        <v>13.135</v>
      </c>
      <c r="H288">
        <v>23.706</v>
      </c>
      <c r="I288">
        <v>30.334</v>
      </c>
      <c r="J288">
        <v>14.231</v>
      </c>
    </row>
    <row r="289" spans="1:10" x14ac:dyDescent="0.3">
      <c r="A289" t="str" cm="1">
        <f t="array" ref="A289">IF(ROW()&lt;=COUNTA(Sheet1!A:A), INDEX(Sheet1!A:A, ROW()),
INDEX(Sheet4!A:A, ROW()-COUNTA(Sheet1!A:A)))</f>
        <v>Al19Co19Cr19Fe19Ni19Fe5</v>
      </c>
      <c r="B289" s="10">
        <f>_xlfn.XLOOKUP(A289, Sheet4!A:A, Sheet4!C:C)</f>
        <v>0</v>
      </c>
      <c r="C289" s="10">
        <v>-1</v>
      </c>
      <c r="D289" s="10">
        <f>_xlfn.XLOOKUP(A289, Sheet2!A:A, Sheet2!B:B)</f>
        <v>7.24</v>
      </c>
      <c r="E289" s="10">
        <f>_xlfn.XLOOKUP(A289, Sheet1!A:A, Sheet1!G:G)</f>
        <v>-1</v>
      </c>
      <c r="F289" s="10">
        <f t="shared" si="4"/>
        <v>-1</v>
      </c>
      <c r="G289" cm="1">
        <f t="array" ref="G289:J289">_xlfn.XLOOKUP(A289, Sheet1!A:A, Sheet1!C:F)</f>
        <v>13.1</v>
      </c>
      <c r="H289">
        <v>23.7</v>
      </c>
      <c r="I289">
        <v>30.3</v>
      </c>
      <c r="J289">
        <v>14.2</v>
      </c>
    </row>
    <row r="290" spans="1:10" x14ac:dyDescent="0.3">
      <c r="A290" t="str" cm="1">
        <f t="array" ref="A290">IF(ROW()&lt;=COUNTA(Sheet1!A:A), INDEX(Sheet1!A:A, ROW()),
INDEX(Sheet4!A:A, ROW()-COUNTA(Sheet1!A:A)))</f>
        <v>Al19.031Cr17.569Fe23.603Co17.575Ni22.222</v>
      </c>
      <c r="B290" s="10">
        <f>_xlfn.XLOOKUP(A290, Sheet4!A:A, Sheet4!C:C)</f>
        <v>0</v>
      </c>
      <c r="C290" s="10">
        <v>-1</v>
      </c>
      <c r="D290" s="10">
        <f>_xlfn.XLOOKUP(A290, Sheet2!A:A, Sheet2!B:B)</f>
        <v>7.3173000000000004</v>
      </c>
      <c r="E290" s="10">
        <f>_xlfn.XLOOKUP(A290, Sheet1!A:A, Sheet1!G:G)</f>
        <v>-1</v>
      </c>
      <c r="F290" s="10">
        <f t="shared" si="4"/>
        <v>-1</v>
      </c>
      <c r="G290" cm="1">
        <f t="array" ref="G290:J290">_xlfn.XLOOKUP(A290, Sheet1!A:A, Sheet1!C:F)</f>
        <v>20.325203250000001</v>
      </c>
      <c r="H290">
        <v>20.325203250000001</v>
      </c>
      <c r="I290">
        <v>20.325203250000001</v>
      </c>
      <c r="J290">
        <v>20.325203250000001</v>
      </c>
    </row>
    <row r="291" spans="1:10" x14ac:dyDescent="0.3">
      <c r="A291" t="str" cm="1">
        <f t="array" ref="A291">IF(ROW()&lt;=COUNTA(Sheet1!A:A), INDEX(Sheet1!A:A, ROW()),
INDEX(Sheet4!A:A, ROW()-COUNTA(Sheet1!A:A)))</f>
        <v>Al19.1Cr24.4Fe33.4Co11Ni12</v>
      </c>
      <c r="B291" s="10">
        <f>_xlfn.XLOOKUP(A291, Sheet4!A:A, Sheet4!C:C)</f>
        <v>0</v>
      </c>
      <c r="C291" s="10">
        <v>-1</v>
      </c>
      <c r="D291" s="10">
        <f>_xlfn.XLOOKUP(A291, Sheet2!A:A, Sheet2!B:B)</f>
        <v>6.9058999999999999</v>
      </c>
      <c r="E291" s="10">
        <f>_xlfn.XLOOKUP(A291, Sheet1!A:A, Sheet1!G:G)</f>
        <v>-1</v>
      </c>
      <c r="F291" s="10">
        <f t="shared" si="4"/>
        <v>-1</v>
      </c>
      <c r="G291" cm="1">
        <f t="array" ref="G291:J291">_xlfn.XLOOKUP(A291, Sheet1!A:A, Sheet1!C:F)</f>
        <v>15.608000000000001</v>
      </c>
      <c r="H291">
        <v>19.402999999999999</v>
      </c>
      <c r="I291">
        <v>26.079000000000001</v>
      </c>
      <c r="J291">
        <v>20.148</v>
      </c>
    </row>
    <row r="292" spans="1:10" x14ac:dyDescent="0.3">
      <c r="A292" t="str" cm="1">
        <f t="array" ref="A292">IF(ROW()&lt;=COUNTA(Sheet1!A:A), INDEX(Sheet1!A:A, ROW()),
INDEX(Sheet4!A:A, ROW()-COUNTA(Sheet1!A:A)))</f>
        <v>Al19.134Cr24.446Fe33.431Co11.024Ni11.966</v>
      </c>
      <c r="B292" s="10">
        <f>_xlfn.XLOOKUP(A292, Sheet4!A:A, Sheet4!C:C)</f>
        <v>0</v>
      </c>
      <c r="C292" s="10">
        <v>-1</v>
      </c>
      <c r="D292" s="10">
        <f>_xlfn.XLOOKUP(A292, Sheet2!A:A, Sheet2!B:B)</f>
        <v>6.9039999999999999</v>
      </c>
      <c r="E292" s="10">
        <f>_xlfn.XLOOKUP(A292, Sheet1!A:A, Sheet1!G:G)</f>
        <v>-1</v>
      </c>
      <c r="F292" s="10">
        <f t="shared" si="4"/>
        <v>-1</v>
      </c>
      <c r="G292" cm="1">
        <f t="array" ref="G292:J292">_xlfn.XLOOKUP(A292, Sheet1!A:A, Sheet1!C:F)</f>
        <v>16.664000000000001</v>
      </c>
      <c r="H292">
        <v>23.518000000000001</v>
      </c>
      <c r="I292">
        <v>23.335000000000001</v>
      </c>
      <c r="J292">
        <v>17.713000000000001</v>
      </c>
    </row>
    <row r="293" spans="1:10" x14ac:dyDescent="0.3">
      <c r="A293" t="str" cm="1">
        <f t="array" ref="A293">IF(ROW()&lt;=COUNTA(Sheet1!A:A), INDEX(Sheet1!A:A, ROW()),
INDEX(Sheet4!A:A, ROW()-COUNTA(Sheet1!A:A)))</f>
        <v>Al19.37Cr25.34Fe16.827Co18.685Ni19.778</v>
      </c>
      <c r="B293" s="10">
        <f>_xlfn.XLOOKUP(A293, Sheet4!A:A, Sheet4!C:C)</f>
        <v>0</v>
      </c>
      <c r="C293" s="10">
        <v>-1</v>
      </c>
      <c r="D293" s="10">
        <f>_xlfn.XLOOKUP(A293, Sheet2!A:A, Sheet2!B:B)</f>
        <v>7.1071</v>
      </c>
      <c r="E293" s="10">
        <f>_xlfn.XLOOKUP(A293, Sheet1!A:A, Sheet1!G:G)</f>
        <v>-1</v>
      </c>
      <c r="F293" s="10">
        <f t="shared" si="4"/>
        <v>-1</v>
      </c>
      <c r="G293" cm="1">
        <f t="array" ref="G293:J293">_xlfn.XLOOKUP(A293, Sheet1!A:A, Sheet1!C:F)</f>
        <v>15.6</v>
      </c>
      <c r="H293">
        <v>19.399999999999999</v>
      </c>
      <c r="I293">
        <v>26.1</v>
      </c>
      <c r="J293">
        <v>20.100000000000001</v>
      </c>
    </row>
    <row r="294" spans="1:10" x14ac:dyDescent="0.3">
      <c r="A294" t="str" cm="1">
        <f t="array" ref="A294">IF(ROW()&lt;=COUNTA(Sheet1!A:A), INDEX(Sheet1!A:A, ROW()),
INDEX(Sheet4!A:A, ROW()-COUNTA(Sheet1!A:A)))</f>
        <v>Al19.4Cr25.3Fe16.8Co18.7Ni19.8</v>
      </c>
      <c r="B294" s="10">
        <f>_xlfn.XLOOKUP(A294, Sheet4!A:A, Sheet4!C:C)</f>
        <v>0</v>
      </c>
      <c r="C294" s="10">
        <v>-1</v>
      </c>
      <c r="D294" s="10">
        <f>_xlfn.XLOOKUP(A294, Sheet2!A:A, Sheet2!B:B)</f>
        <v>7.1070000000000002</v>
      </c>
      <c r="E294" s="10">
        <f>_xlfn.XLOOKUP(A294, Sheet1!A:A, Sheet1!G:G)</f>
        <v>-1</v>
      </c>
      <c r="F294" s="10">
        <f t="shared" si="4"/>
        <v>-1</v>
      </c>
      <c r="G294" cm="1">
        <f t="array" ref="G294:J294">_xlfn.XLOOKUP(A294, Sheet1!A:A, Sheet1!C:F)</f>
        <v>16.7</v>
      </c>
      <c r="H294">
        <v>23.5</v>
      </c>
      <c r="I294">
        <v>23.3</v>
      </c>
      <c r="J294">
        <v>17.7</v>
      </c>
    </row>
    <row r="295" spans="1:10" x14ac:dyDescent="0.3">
      <c r="A295" t="str" cm="1">
        <f t="array" ref="A295">IF(ROW()&lt;=COUNTA(Sheet1!A:A), INDEX(Sheet1!A:A, ROW()),
INDEX(Sheet4!A:A, ROW()-COUNTA(Sheet1!A:A)))</f>
        <v>Al19.5Cr22.2Fe30.2Co12.3Ni15.7</v>
      </c>
      <c r="B295" s="10">
        <f>_xlfn.XLOOKUP(A295, Sheet4!A:A, Sheet4!C:C)</f>
        <v>0</v>
      </c>
      <c r="C295" s="10">
        <v>-1</v>
      </c>
      <c r="D295" s="10">
        <f>_xlfn.XLOOKUP(A295, Sheet2!A:A, Sheet2!B:B)</f>
        <v>7.0170000000000003</v>
      </c>
      <c r="E295" s="10">
        <f>_xlfn.XLOOKUP(A295, Sheet1!A:A, Sheet1!G:G)</f>
        <v>-1</v>
      </c>
      <c r="F295" s="10">
        <f t="shared" si="4"/>
        <v>-1</v>
      </c>
      <c r="G295" cm="1">
        <f t="array" ref="G295:J295">_xlfn.XLOOKUP(A295, Sheet1!A:A, Sheet1!C:F)</f>
        <v>17.873000000000001</v>
      </c>
      <c r="H295">
        <v>24.332000000000001</v>
      </c>
      <c r="I295">
        <v>19.843</v>
      </c>
      <c r="J295">
        <v>18.998000000000001</v>
      </c>
    </row>
    <row r="296" spans="1:10" x14ac:dyDescent="0.3">
      <c r="A296" t="str" cm="1">
        <f t="array" ref="A296">IF(ROW()&lt;=COUNTA(Sheet1!A:A), INDEX(Sheet1!A:A, ROW()),
INDEX(Sheet4!A:A, ROW()-COUNTA(Sheet1!A:A)))</f>
        <v>Al19.54Cr22.204Fe30.232Co12.315Ni15.708</v>
      </c>
      <c r="B296" s="10">
        <f>_xlfn.XLOOKUP(A296, Sheet4!A:A, Sheet4!C:C)</f>
        <v>0</v>
      </c>
      <c r="C296" s="10">
        <v>-1</v>
      </c>
      <c r="D296" s="10">
        <f>_xlfn.XLOOKUP(A296, Sheet2!A:A, Sheet2!B:B)</f>
        <v>7.0162000000000004</v>
      </c>
      <c r="E296" s="10">
        <f>_xlfn.XLOOKUP(A296, Sheet1!A:A, Sheet1!G:G)</f>
        <v>-1</v>
      </c>
      <c r="F296" s="10">
        <f t="shared" si="4"/>
        <v>-1</v>
      </c>
      <c r="G296" cm="1">
        <f t="array" ref="G296:J296">_xlfn.XLOOKUP(A296, Sheet1!A:A, Sheet1!C:F)</f>
        <v>17.600000000000001</v>
      </c>
      <c r="H296">
        <v>17.600000000000001</v>
      </c>
      <c r="I296">
        <v>23.6</v>
      </c>
      <c r="J296">
        <v>22.2</v>
      </c>
    </row>
    <row r="297" spans="1:10" x14ac:dyDescent="0.3">
      <c r="A297" t="str" cm="1">
        <f t="array" ref="A297">IF(ROW()&lt;=COUNTA(Sheet1!A:A), INDEX(Sheet1!A:A, ROW()),
INDEX(Sheet4!A:A, ROW()-COUNTA(Sheet1!A:A)))</f>
        <v>Al19.565Cr24.993Fe26.237Co14.143Ni15.062</v>
      </c>
      <c r="B297" s="10">
        <f>_xlfn.XLOOKUP(A297, Sheet4!A:A, Sheet4!C:C)</f>
        <v>0</v>
      </c>
      <c r="C297" s="10">
        <v>-1</v>
      </c>
      <c r="D297" s="10">
        <f>_xlfn.XLOOKUP(A297, Sheet2!A:A, Sheet2!B:B)</f>
        <v>6.9645999999999999</v>
      </c>
      <c r="E297" s="10">
        <f>_xlfn.XLOOKUP(A297, Sheet1!A:A, Sheet1!G:G)</f>
        <v>-1</v>
      </c>
      <c r="F297" s="10">
        <f t="shared" si="4"/>
        <v>-1</v>
      </c>
      <c r="G297" cm="1">
        <f t="array" ref="G297:J297">_xlfn.XLOOKUP(A297, Sheet1!A:A, Sheet1!C:F)</f>
        <v>17.899999999999999</v>
      </c>
      <c r="H297">
        <v>24.3</v>
      </c>
      <c r="I297">
        <v>19.8</v>
      </c>
      <c r="J297">
        <v>19</v>
      </c>
    </row>
    <row r="298" spans="1:10" x14ac:dyDescent="0.3">
      <c r="A298" t="str" cm="1">
        <f t="array" ref="A298">IF(ROW()&lt;=COUNTA(Sheet1!A:A), INDEX(Sheet1!A:A, ROW()),
INDEX(Sheet4!A:A, ROW()-COUNTA(Sheet1!A:A)))</f>
        <v>Al19.584Cr16.114Fe21.306Co18.98Ni24.016</v>
      </c>
      <c r="B298" s="10">
        <f>_xlfn.XLOOKUP(A298, Sheet4!A:A, Sheet4!C:C)</f>
        <v>0</v>
      </c>
      <c r="C298" s="10">
        <v>-1</v>
      </c>
      <c r="D298" s="10">
        <f>_xlfn.XLOOKUP(A298, Sheet2!A:A, Sheet2!B:B)</f>
        <v>7.3685999999999998</v>
      </c>
      <c r="E298" s="10">
        <f>_xlfn.XLOOKUP(A298, Sheet1!A:A, Sheet1!G:G)</f>
        <v>-1</v>
      </c>
      <c r="F298" s="10">
        <f t="shared" si="4"/>
        <v>-1</v>
      </c>
      <c r="G298" cm="1">
        <f t="array" ref="G298:J298">_xlfn.XLOOKUP(A298, Sheet1!A:A, Sheet1!C:F)</f>
        <v>19</v>
      </c>
      <c r="H298">
        <v>19</v>
      </c>
      <c r="I298">
        <v>5</v>
      </c>
      <c r="J298">
        <v>19</v>
      </c>
    </row>
    <row r="299" spans="1:10" x14ac:dyDescent="0.3">
      <c r="A299" t="str" cm="1">
        <f t="array" ref="A299">IF(ROW()&lt;=COUNTA(Sheet1!A:A), INDEX(Sheet1!A:A, ROW()),
INDEX(Sheet4!A:A, ROW()-COUNTA(Sheet1!A:A)))</f>
        <v>Al19.6Cr25Fe26.2Co14.1Ni15.1</v>
      </c>
      <c r="B299" s="10">
        <f>_xlfn.XLOOKUP(A299, Sheet4!A:A, Sheet4!C:C)</f>
        <v>0</v>
      </c>
      <c r="C299" s="10">
        <v>-1</v>
      </c>
      <c r="D299" s="10">
        <f>_xlfn.XLOOKUP(A299, Sheet2!A:A, Sheet2!B:B)</f>
        <v>6.9630000000000001</v>
      </c>
      <c r="E299" s="10">
        <f>_xlfn.XLOOKUP(A299, Sheet1!A:A, Sheet1!G:G)</f>
        <v>-1</v>
      </c>
      <c r="F299" s="10">
        <f t="shared" si="4"/>
        <v>-1</v>
      </c>
      <c r="G299" cm="1">
        <f t="array" ref="G299:J299">_xlfn.XLOOKUP(A299, Sheet1!A:A, Sheet1!C:F)</f>
        <v>17.574999999999999</v>
      </c>
      <c r="H299">
        <v>17.568999999999999</v>
      </c>
      <c r="I299">
        <v>23.603000000000002</v>
      </c>
      <c r="J299">
        <v>22.222000000000001</v>
      </c>
    </row>
    <row r="300" spans="1:10" x14ac:dyDescent="0.3">
      <c r="A300" t="str" cm="1">
        <f t="array" ref="A300">IF(ROW()&lt;=COUNTA(Sheet1!A:A), INDEX(Sheet1!A:A, ROW()),
INDEX(Sheet4!A:A, ROW()-COUNTA(Sheet1!A:A)))</f>
        <v>Al19.6Cr16.1Fe21.3Co19Ni24</v>
      </c>
      <c r="B300" s="10">
        <f>_xlfn.XLOOKUP(A300, Sheet4!A:A, Sheet4!C:C)</f>
        <v>0</v>
      </c>
      <c r="C300" s="10">
        <v>-1</v>
      </c>
      <c r="D300" s="10">
        <f>_xlfn.XLOOKUP(A300, Sheet2!A:A, Sheet2!B:B)</f>
        <v>7.3680000000000003</v>
      </c>
      <c r="E300" s="10">
        <f>_xlfn.XLOOKUP(A300, Sheet1!A:A, Sheet1!G:G)</f>
        <v>-1</v>
      </c>
      <c r="F300" s="10">
        <f t="shared" si="4"/>
        <v>-1</v>
      </c>
      <c r="G300" cm="1">
        <f t="array" ref="G300:J300">_xlfn.XLOOKUP(A300, Sheet1!A:A, Sheet1!C:F)</f>
        <v>11</v>
      </c>
      <c r="H300">
        <v>24.4</v>
      </c>
      <c r="I300">
        <v>33.4</v>
      </c>
      <c r="J300">
        <v>12</v>
      </c>
    </row>
    <row r="301" spans="1:10" x14ac:dyDescent="0.3">
      <c r="A301" t="str" cm="1">
        <f t="array" ref="A301">IF(ROW()&lt;=COUNTA(Sheet1!A:A), INDEX(Sheet1!A:A, ROW()),
INDEX(Sheet4!A:A, ROW()-COUNTA(Sheet1!A:A)))</f>
        <v>Al19.6Cr13.3Fe17.2Co22Ni27.9</v>
      </c>
      <c r="B301" s="10">
        <f>_xlfn.XLOOKUP(A301, Sheet4!A:A, Sheet4!C:C)</f>
        <v>0</v>
      </c>
      <c r="C301" s="10">
        <v>-1</v>
      </c>
      <c r="D301" s="10">
        <f>_xlfn.XLOOKUP(A301, Sheet2!A:A, Sheet2!B:B)</f>
        <v>7.532</v>
      </c>
      <c r="E301" s="10">
        <f>_xlfn.XLOOKUP(A301, Sheet1!A:A, Sheet1!G:G)</f>
        <v>-1</v>
      </c>
      <c r="F301" s="10">
        <f t="shared" si="4"/>
        <v>-1</v>
      </c>
      <c r="G301" cm="1">
        <f t="array" ref="G301:J301">_xlfn.XLOOKUP(A301, Sheet1!A:A, Sheet1!C:F)</f>
        <v>11.023999999999999</v>
      </c>
      <c r="H301">
        <v>24.446000000000002</v>
      </c>
      <c r="I301">
        <v>33.430999999999997</v>
      </c>
      <c r="J301">
        <v>11.965999999999999</v>
      </c>
    </row>
    <row r="302" spans="1:10" x14ac:dyDescent="0.3">
      <c r="A302" t="str" cm="1">
        <f t="array" ref="A302">IF(ROW()&lt;=COUNTA(Sheet1!A:A), INDEX(Sheet1!A:A, ROW()),
INDEX(Sheet4!A:A, ROW()-COUNTA(Sheet1!A:A)))</f>
        <v>Al19.637Cr13.317Fe17.163Co22.02Ni27.864</v>
      </c>
      <c r="B302" s="10">
        <f>_xlfn.XLOOKUP(A302, Sheet4!A:A, Sheet4!C:C)</f>
        <v>0</v>
      </c>
      <c r="C302" s="10">
        <v>-1</v>
      </c>
      <c r="D302" s="10">
        <f>_xlfn.XLOOKUP(A302, Sheet2!A:A, Sheet2!B:B)</f>
        <v>7.5293000000000001</v>
      </c>
      <c r="E302" s="10">
        <f>_xlfn.XLOOKUP(A302, Sheet1!A:A, Sheet1!G:G)</f>
        <v>-1</v>
      </c>
      <c r="F302" s="10">
        <f t="shared" si="4"/>
        <v>-1</v>
      </c>
      <c r="G302" cm="1">
        <f t="array" ref="G302:J302">_xlfn.XLOOKUP(A302, Sheet1!A:A, Sheet1!C:F)</f>
        <v>18.684999999999999</v>
      </c>
      <c r="H302">
        <v>25.34</v>
      </c>
      <c r="I302">
        <v>16.827000000000002</v>
      </c>
      <c r="J302">
        <v>19.777999999999999</v>
      </c>
    </row>
    <row r="303" spans="1:10" x14ac:dyDescent="0.3">
      <c r="A303" t="str" cm="1">
        <f t="array" ref="A303">IF(ROW()&lt;=COUNTA(Sheet1!A:A), INDEX(Sheet1!A:A, ROW()),
INDEX(Sheet4!A:A, ROW()-COUNTA(Sheet1!A:A)))</f>
        <v>Al19.7Cr11.7Fe15.5Co23.4Ni29.7</v>
      </c>
      <c r="B303" s="10">
        <f>_xlfn.XLOOKUP(A303, Sheet4!A:A, Sheet4!C:C)</f>
        <v>0</v>
      </c>
      <c r="C303" s="10">
        <v>-1</v>
      </c>
      <c r="D303" s="10">
        <f>_xlfn.XLOOKUP(A303, Sheet2!A:A, Sheet2!B:B)</f>
        <v>7.609</v>
      </c>
      <c r="E303" s="10">
        <f>_xlfn.XLOOKUP(A303, Sheet1!A:A, Sheet1!G:G)</f>
        <v>-1</v>
      </c>
      <c r="F303" s="10">
        <f t="shared" si="4"/>
        <v>-1</v>
      </c>
      <c r="G303" cm="1">
        <f t="array" ref="G303:J303">_xlfn.XLOOKUP(A303, Sheet1!A:A, Sheet1!C:F)</f>
        <v>18.7</v>
      </c>
      <c r="H303">
        <v>25.3</v>
      </c>
      <c r="I303">
        <v>16.8</v>
      </c>
      <c r="J303">
        <v>19.8</v>
      </c>
    </row>
    <row r="304" spans="1:10" x14ac:dyDescent="0.3">
      <c r="A304" t="str" cm="1">
        <f t="array" ref="A304">IF(ROW()&lt;=COUNTA(Sheet1!A:A), INDEX(Sheet1!A:A, ROW()),
INDEX(Sheet4!A:A, ROW()-COUNTA(Sheet1!A:A)))</f>
        <v>Al19.735Cr11.701Fe15.513Co23.353Ni29.698</v>
      </c>
      <c r="B304" s="10">
        <f>_xlfn.XLOOKUP(A304, Sheet4!A:A, Sheet4!C:C)</f>
        <v>0</v>
      </c>
      <c r="C304" s="10">
        <v>-1</v>
      </c>
      <c r="D304" s="10">
        <f>_xlfn.XLOOKUP(A304, Sheet2!A:A, Sheet2!B:B)</f>
        <v>7.6067</v>
      </c>
      <c r="E304" s="10">
        <f>_xlfn.XLOOKUP(A304, Sheet1!A:A, Sheet1!G:G)</f>
        <v>-1</v>
      </c>
      <c r="F304" s="10">
        <f t="shared" si="4"/>
        <v>-1</v>
      </c>
      <c r="G304" cm="1">
        <f t="array" ref="G304:J304">_xlfn.XLOOKUP(A304, Sheet1!A:A, Sheet1!C:F)</f>
        <v>12.3</v>
      </c>
      <c r="H304">
        <v>22.2</v>
      </c>
      <c r="I304">
        <v>30.2</v>
      </c>
      <c r="J304">
        <v>15.7</v>
      </c>
    </row>
    <row r="305" spans="1:10" x14ac:dyDescent="0.3">
      <c r="A305" t="str" cm="1">
        <f t="array" ref="A305">IF(ROW()&lt;=COUNTA(Sheet1!A:A), INDEX(Sheet1!A:A, ROW()),
INDEX(Sheet4!A:A, ROW()-COUNTA(Sheet1!A:A)))</f>
        <v>Al19.756Cr14.461Fe19.115Co20.659Ni26.009</v>
      </c>
      <c r="B305" s="10">
        <f>_xlfn.XLOOKUP(A305, Sheet4!A:A, Sheet4!C:C)</f>
        <v>0</v>
      </c>
      <c r="C305" s="10">
        <v>-1</v>
      </c>
      <c r="D305" s="10">
        <f>_xlfn.XLOOKUP(A305, Sheet2!A:A, Sheet2!B:B)</f>
        <v>7.4497</v>
      </c>
      <c r="E305" s="10">
        <f>_xlfn.XLOOKUP(A305, Sheet1!A:A, Sheet1!G:G)</f>
        <v>-1</v>
      </c>
      <c r="F305" s="10">
        <f t="shared" si="4"/>
        <v>-1</v>
      </c>
      <c r="G305" cm="1">
        <f t="array" ref="G305:J305">_xlfn.XLOOKUP(A305, Sheet1!A:A, Sheet1!C:F)</f>
        <v>12.315</v>
      </c>
      <c r="H305">
        <v>22.204000000000001</v>
      </c>
      <c r="I305">
        <v>30.231999999999999</v>
      </c>
      <c r="J305">
        <v>15.708</v>
      </c>
    </row>
    <row r="306" spans="1:10" x14ac:dyDescent="0.3">
      <c r="A306" t="str" cm="1">
        <f t="array" ref="A306">IF(ROW()&lt;=COUNTA(Sheet1!A:A), INDEX(Sheet1!A:A, ROW()),
INDEX(Sheet4!A:A, ROW()-COUNTA(Sheet1!A:A)))</f>
        <v>Al19.8Cr14.5Fe19.1Co20.7Ni26</v>
      </c>
      <c r="B306" s="10">
        <f>_xlfn.XLOOKUP(A306, Sheet4!A:A, Sheet4!C:C)</f>
        <v>0</v>
      </c>
      <c r="C306" s="10">
        <v>-1</v>
      </c>
      <c r="D306" s="10">
        <f>_xlfn.XLOOKUP(A306, Sheet2!A:A, Sheet2!B:B)</f>
        <v>7.4476000000000004</v>
      </c>
      <c r="E306" s="10">
        <f>_xlfn.XLOOKUP(A306, Sheet1!A:A, Sheet1!G:G)</f>
        <v>-1</v>
      </c>
      <c r="F306" s="10">
        <f t="shared" si="4"/>
        <v>-1</v>
      </c>
      <c r="G306" cm="1">
        <f t="array" ref="G306:J306">_xlfn.XLOOKUP(A306, Sheet1!A:A, Sheet1!C:F)</f>
        <v>14.143000000000001</v>
      </c>
      <c r="H306">
        <v>24.992999999999999</v>
      </c>
      <c r="I306">
        <v>26.236999999999998</v>
      </c>
      <c r="J306">
        <v>15.061999999999999</v>
      </c>
    </row>
    <row r="307" spans="1:10" x14ac:dyDescent="0.3">
      <c r="A307" t="str" cm="1">
        <f t="array" ref="A307">IF(ROW()&lt;=COUNTA(Sheet1!A:A), INDEX(Sheet1!A:A, ROW()),
INDEX(Sheet4!A:A, ROW()-COUNTA(Sheet1!A:A)))</f>
        <v>Al19.966Cr25.861Fe14.279Co19.528Ni20.367</v>
      </c>
      <c r="B307" s="10">
        <f>_xlfn.XLOOKUP(A307, Sheet4!A:A, Sheet4!C:C)</f>
        <v>0</v>
      </c>
      <c r="C307" s="10">
        <v>-1</v>
      </c>
      <c r="D307" s="10">
        <f>_xlfn.XLOOKUP(A307, Sheet2!A:A, Sheet2!B:B)</f>
        <v>7.0871000000000004</v>
      </c>
      <c r="E307" s="10">
        <f>_xlfn.XLOOKUP(A307, Sheet1!A:A, Sheet1!G:G)</f>
        <v>-1</v>
      </c>
      <c r="F307" s="10">
        <f t="shared" si="4"/>
        <v>-1</v>
      </c>
      <c r="G307" cm="1">
        <f t="array" ref="G307:J307">_xlfn.XLOOKUP(A307, Sheet1!A:A, Sheet1!C:F)</f>
        <v>18.98</v>
      </c>
      <c r="H307">
        <v>16.114000000000001</v>
      </c>
      <c r="I307">
        <v>21.306000000000001</v>
      </c>
      <c r="J307">
        <v>24.015999999999998</v>
      </c>
    </row>
    <row r="308" spans="1:10" x14ac:dyDescent="0.3">
      <c r="A308" t="str" cm="1">
        <f t="array" ref="A308">IF(ROW()&lt;=COUNTA(Sheet1!A:A), INDEX(Sheet1!A:A, ROW()),
INDEX(Sheet4!A:A, ROW()-COUNTA(Sheet1!A:A)))</f>
        <v>Al20Cr25.9Fe14.3Co19.5Ni20.4</v>
      </c>
      <c r="B308" s="10">
        <f>_xlfn.XLOOKUP(A308, Sheet4!A:A, Sheet4!C:C)</f>
        <v>0</v>
      </c>
      <c r="C308" s="10">
        <v>-1</v>
      </c>
      <c r="D308" s="10">
        <f>_xlfn.XLOOKUP(A308, Sheet2!A:A, Sheet2!B:B)</f>
        <v>7.0858999999999996</v>
      </c>
      <c r="E308" s="10">
        <f>_xlfn.XLOOKUP(A308, Sheet1!A:A, Sheet1!G:G)</f>
        <v>-1</v>
      </c>
      <c r="F308" s="10">
        <f t="shared" si="4"/>
        <v>-1</v>
      </c>
      <c r="G308" cm="1">
        <f t="array" ref="G308:J308">_xlfn.XLOOKUP(A308, Sheet1!A:A, Sheet1!C:F)</f>
        <v>14.1</v>
      </c>
      <c r="H308">
        <v>25</v>
      </c>
      <c r="I308">
        <v>26.2</v>
      </c>
      <c r="J308">
        <v>15.1</v>
      </c>
    </row>
    <row r="309" spans="1:10" x14ac:dyDescent="0.3">
      <c r="A309" t="str" cm="1">
        <f t="array" ref="A309">IF(ROW()&lt;=COUNTA(Sheet1!A:A), INDEX(Sheet1!A:A, ROW()),
INDEX(Sheet4!A:A, ROW()-COUNTA(Sheet1!A:A)))</f>
        <v>CoCrFeNiAl</v>
      </c>
      <c r="B309" s="10" t="str">
        <f>_xlfn.XLOOKUP(A309, Sheet4!A:A, Sheet4!C:C)</f>
        <v>A2+B2 phases</v>
      </c>
      <c r="C309" s="10">
        <v>1</v>
      </c>
      <c r="D309" s="10">
        <f>_xlfn.XLOOKUP(A309, Sheet2!A:A, Sheet2!B:B)</f>
        <v>7.2</v>
      </c>
      <c r="E309" s="10">
        <f>_xlfn.XLOOKUP(A309, Sheet1!A:A, Sheet1!G:G)</f>
        <v>-1</v>
      </c>
      <c r="F309" s="10">
        <f t="shared" si="4"/>
        <v>1</v>
      </c>
      <c r="G309" cm="1">
        <f t="array" ref="G309:J309">_xlfn.XLOOKUP(A309, Sheet1!A:A, Sheet1!C:F)</f>
        <v>19</v>
      </c>
      <c r="H309">
        <v>16.100000000000001</v>
      </c>
      <c r="I309">
        <v>21.3</v>
      </c>
      <c r="J309">
        <v>24</v>
      </c>
    </row>
    <row r="310" spans="1:10" x14ac:dyDescent="0.3">
      <c r="A310" t="str" cm="1">
        <f t="array" ref="A310">IF(ROW()&lt;=COUNTA(Sheet1!A:A), INDEX(Sheet1!A:A, ROW()),
INDEX(Sheet4!A:A, ROW()-COUNTA(Sheet1!A:A)))</f>
        <v>Al20.071Cr24.911Fe33.734Co9.3226Ni11.961</v>
      </c>
      <c r="B310" s="10">
        <f>_xlfn.XLOOKUP(A310, Sheet4!A:A, Sheet4!C:C)</f>
        <v>0</v>
      </c>
      <c r="C310" s="10">
        <v>-1</v>
      </c>
      <c r="D310" s="10">
        <f>_xlfn.XLOOKUP(A310, Sheet2!A:A, Sheet2!B:B)</f>
        <v>6.8307000000000002</v>
      </c>
      <c r="E310" s="10">
        <f>_xlfn.XLOOKUP(A310, Sheet1!A:A, Sheet1!G:G)</f>
        <v>-1</v>
      </c>
      <c r="F310" s="10">
        <f t="shared" si="4"/>
        <v>-1</v>
      </c>
      <c r="G310" cm="1">
        <f t="array" ref="G310:J310">_xlfn.XLOOKUP(A310, Sheet1!A:A, Sheet1!C:F)</f>
        <v>22</v>
      </c>
      <c r="H310">
        <v>13.3</v>
      </c>
      <c r="I310">
        <v>17.2</v>
      </c>
      <c r="J310">
        <v>27.9</v>
      </c>
    </row>
    <row r="311" spans="1:10" x14ac:dyDescent="0.3">
      <c r="A311" t="str" cm="1">
        <f t="array" ref="A311">IF(ROW()&lt;=COUNTA(Sheet1!A:A), INDEX(Sheet1!A:A, ROW()),
INDEX(Sheet4!A:A, ROW()-COUNTA(Sheet1!A:A)))</f>
        <v>Al20.1Cr26.5Fe22.3Co15.1Ni16.1</v>
      </c>
      <c r="B311" s="10">
        <f>_xlfn.XLOOKUP(A311, Sheet4!A:A, Sheet4!C:C)</f>
        <v>0</v>
      </c>
      <c r="C311" s="10">
        <v>-1</v>
      </c>
      <c r="D311" s="10">
        <f>_xlfn.XLOOKUP(A311, Sheet2!A:A, Sheet2!B:B)</f>
        <v>6.9390999999999998</v>
      </c>
      <c r="E311" s="10">
        <f>_xlfn.XLOOKUP(A311, Sheet1!A:A, Sheet1!G:G)</f>
        <v>-1</v>
      </c>
      <c r="F311" s="10">
        <f t="shared" si="4"/>
        <v>-1</v>
      </c>
      <c r="G311" cm="1">
        <f t="array" ref="G311:J311">_xlfn.XLOOKUP(A311, Sheet1!A:A, Sheet1!C:F)</f>
        <v>22.02</v>
      </c>
      <c r="H311">
        <v>13.317</v>
      </c>
      <c r="I311">
        <v>17.163</v>
      </c>
      <c r="J311">
        <v>27.864000000000001</v>
      </c>
    </row>
    <row r="312" spans="1:10" x14ac:dyDescent="0.3">
      <c r="A312" t="str" cm="1">
        <f t="array" ref="A312">IF(ROW()&lt;=COUNTA(Sheet1!A:A), INDEX(Sheet1!A:A, ROW()),
INDEX(Sheet4!A:A, ROW()-COUNTA(Sheet1!A:A)))</f>
        <v>Al20.1Cr26.6Fe10.4Co21Ni22</v>
      </c>
      <c r="B312" s="10">
        <f>_xlfn.XLOOKUP(A312, Sheet4!A:A, Sheet4!C:C)</f>
        <v>0</v>
      </c>
      <c r="C312" s="10">
        <v>-1</v>
      </c>
      <c r="D312" s="10">
        <f>_xlfn.XLOOKUP(A312, Sheet2!A:A, Sheet2!B:B)</f>
        <v>7.1139000000000001</v>
      </c>
      <c r="E312" s="10">
        <f>_xlfn.XLOOKUP(A312, Sheet1!A:A, Sheet1!G:G)</f>
        <v>-1</v>
      </c>
      <c r="F312" s="10">
        <f t="shared" si="4"/>
        <v>-1</v>
      </c>
      <c r="G312" cm="1">
        <f t="array" ref="G312:J312">_xlfn.XLOOKUP(A312, Sheet1!A:A, Sheet1!C:F)</f>
        <v>23.4</v>
      </c>
      <c r="H312">
        <v>11.7</v>
      </c>
      <c r="I312">
        <v>15.5</v>
      </c>
      <c r="J312">
        <v>29.7</v>
      </c>
    </row>
    <row r="313" spans="1:10" x14ac:dyDescent="0.3">
      <c r="A313" t="str" cm="1">
        <f t="array" ref="A313">IF(ROW()&lt;=COUNTA(Sheet1!A:A), INDEX(Sheet1!A:A, ROW()),
INDEX(Sheet4!A:A, ROW()-COUNTA(Sheet1!A:A)))</f>
        <v>Al20.1Cr24.9Fe33.7Co9.3Ni12</v>
      </c>
      <c r="B313" s="10">
        <f>_xlfn.XLOOKUP(A313, Sheet4!A:A, Sheet4!C:C)</f>
        <v>0</v>
      </c>
      <c r="C313" s="10">
        <v>-1</v>
      </c>
      <c r="D313" s="10">
        <f>_xlfn.XLOOKUP(A313, Sheet2!A:A, Sheet2!B:B)</f>
        <v>6.83</v>
      </c>
      <c r="E313" s="10">
        <f>_xlfn.XLOOKUP(A313, Sheet1!A:A, Sheet1!G:G)</f>
        <v>-1</v>
      </c>
      <c r="F313" s="10">
        <f t="shared" si="4"/>
        <v>-1</v>
      </c>
      <c r="G313" cm="1">
        <f t="array" ref="G313:J313">_xlfn.XLOOKUP(A313, Sheet1!A:A, Sheet1!C:F)</f>
        <v>23.353000000000002</v>
      </c>
      <c r="H313">
        <v>11.701000000000001</v>
      </c>
      <c r="I313">
        <v>15.513</v>
      </c>
      <c r="J313">
        <v>29.698</v>
      </c>
    </row>
    <row r="314" spans="1:10" x14ac:dyDescent="0.3">
      <c r="A314" t="str" cm="1">
        <f t="array" ref="A314">IF(ROW()&lt;=COUNTA(Sheet1!A:A), INDEX(Sheet1!A:A, ROW()),
INDEX(Sheet4!A:A, ROW()-COUNTA(Sheet1!A:A)))</f>
        <v>Al20.102Cr26.553Fe10.36Co21.018Ni21.967</v>
      </c>
      <c r="B314" s="10">
        <f>_xlfn.XLOOKUP(A314, Sheet4!A:A, Sheet4!C:C)</f>
        <v>0</v>
      </c>
      <c r="C314" s="10">
        <v>-1</v>
      </c>
      <c r="D314" s="10">
        <f>_xlfn.XLOOKUP(A314, Sheet2!A:A, Sheet2!B:B)</f>
        <v>7.1134000000000004</v>
      </c>
      <c r="E314" s="10">
        <f>_xlfn.XLOOKUP(A314, Sheet1!A:A, Sheet1!G:G)</f>
        <v>-1</v>
      </c>
      <c r="F314" s="10">
        <f t="shared" si="4"/>
        <v>-1</v>
      </c>
      <c r="G314" cm="1">
        <f t="array" ref="G314:J314">_xlfn.XLOOKUP(A314, Sheet1!A:A, Sheet1!C:F)</f>
        <v>20.658999999999999</v>
      </c>
      <c r="H314">
        <v>14.461</v>
      </c>
      <c r="I314">
        <v>19.114999999999998</v>
      </c>
      <c r="J314">
        <v>26.009</v>
      </c>
    </row>
    <row r="315" spans="1:10" x14ac:dyDescent="0.3">
      <c r="A315" t="str" cm="1">
        <f t="array" ref="A315">IF(ROW()&lt;=COUNTA(Sheet1!A:A), INDEX(Sheet1!A:A, ROW()),
INDEX(Sheet4!A:A, ROW()-COUNTA(Sheet1!A:A)))</f>
        <v>Al20.1Cr26.4Fe12.1Co20.1Ni21.2</v>
      </c>
      <c r="B315" s="10">
        <f>_xlfn.XLOOKUP(A315, Sheet4!A:A, Sheet4!C:C)</f>
        <v>0</v>
      </c>
      <c r="C315" s="10">
        <v>-1</v>
      </c>
      <c r="D315" s="10">
        <f>_xlfn.XLOOKUP(A315, Sheet2!A:A, Sheet2!B:B)</f>
        <v>7.0911</v>
      </c>
      <c r="E315" s="10">
        <f>_xlfn.XLOOKUP(A315, Sheet1!A:A, Sheet1!G:G)</f>
        <v>-1</v>
      </c>
      <c r="F315" s="10">
        <f t="shared" si="4"/>
        <v>-1</v>
      </c>
      <c r="G315" cm="1">
        <f t="array" ref="G315:J315">_xlfn.XLOOKUP(A315, Sheet1!A:A, Sheet1!C:F)</f>
        <v>20.7</v>
      </c>
      <c r="H315">
        <v>14.5</v>
      </c>
      <c r="I315">
        <v>19.100000000000001</v>
      </c>
      <c r="J315">
        <v>26</v>
      </c>
    </row>
    <row r="316" spans="1:10" x14ac:dyDescent="0.3">
      <c r="A316" t="str" cm="1">
        <f t="array" ref="A316">IF(ROW()&lt;=COUNTA(Sheet1!A:A), INDEX(Sheet1!A:A, ROW()),
INDEX(Sheet4!A:A, ROW()-COUNTA(Sheet1!A:A)))</f>
        <v>Al20.132Cr26.417Fe12.108Co20.122Ni21.221</v>
      </c>
      <c r="B316" s="10">
        <f>_xlfn.XLOOKUP(A316, Sheet4!A:A, Sheet4!C:C)</f>
        <v>0</v>
      </c>
      <c r="C316" s="10">
        <v>-1</v>
      </c>
      <c r="D316" s="10">
        <f>_xlfn.XLOOKUP(A316, Sheet2!A:A, Sheet2!B:B)</f>
        <v>7.0907</v>
      </c>
      <c r="E316" s="10">
        <f>_xlfn.XLOOKUP(A316, Sheet1!A:A, Sheet1!G:G)</f>
        <v>-1</v>
      </c>
      <c r="F316" s="10">
        <f t="shared" si="4"/>
        <v>-1</v>
      </c>
      <c r="G316" cm="1">
        <f t="array" ref="G316:J316">_xlfn.XLOOKUP(A316, Sheet1!A:A, Sheet1!C:F)</f>
        <v>19.527999999999999</v>
      </c>
      <c r="H316">
        <v>25.861000000000001</v>
      </c>
      <c r="I316">
        <v>14.279</v>
      </c>
      <c r="J316">
        <v>20.367000000000001</v>
      </c>
    </row>
    <row r="317" spans="1:10" x14ac:dyDescent="0.3">
      <c r="A317" t="str" cm="1">
        <f t="array" ref="A317">IF(ROW()&lt;=COUNTA(Sheet1!A:A), INDEX(Sheet1!A:A, ROW()),
INDEX(Sheet4!A:A, ROW()-COUNTA(Sheet1!A:A)))</f>
        <v>Al20.137Cr26.462Fe22.28Co15.071Ni16.051</v>
      </c>
      <c r="B317" s="10">
        <f>_xlfn.XLOOKUP(A317, Sheet4!A:A, Sheet4!C:C)</f>
        <v>0</v>
      </c>
      <c r="C317" s="10">
        <v>-1</v>
      </c>
      <c r="D317" s="10">
        <f>_xlfn.XLOOKUP(A317, Sheet2!A:A, Sheet2!B:B)</f>
        <v>6.9356999999999998</v>
      </c>
      <c r="E317" s="10">
        <f>_xlfn.XLOOKUP(A317, Sheet1!A:A, Sheet1!G:G)</f>
        <v>-1</v>
      </c>
      <c r="F317" s="10">
        <f t="shared" si="4"/>
        <v>-1</v>
      </c>
      <c r="G317" cm="1">
        <f t="array" ref="G317:J317">_xlfn.XLOOKUP(A317, Sheet1!A:A, Sheet1!C:F)</f>
        <v>19.5</v>
      </c>
      <c r="H317">
        <v>25.9</v>
      </c>
      <c r="I317">
        <v>14.3</v>
      </c>
      <c r="J317">
        <v>20.399999999999999</v>
      </c>
    </row>
    <row r="318" spans="1:10" x14ac:dyDescent="0.3">
      <c r="A318" t="str" cm="1">
        <f t="array" ref="A318">IF(ROW()&lt;=COUNTA(Sheet1!A:A), INDEX(Sheet1!A:A, ROW()),
INDEX(Sheet4!A:A, ROW()-COUNTA(Sheet1!A:A)))</f>
        <v>Al20.259Cr26.029Fe29.196Co11.986Ni12.53</v>
      </c>
      <c r="B318" s="10">
        <f>_xlfn.XLOOKUP(A318, Sheet4!A:A, Sheet4!C:C)</f>
        <v>0</v>
      </c>
      <c r="C318" s="10">
        <v>-1</v>
      </c>
      <c r="D318" s="10">
        <f>_xlfn.XLOOKUP(A318, Sheet2!A:A, Sheet2!B:B)</f>
        <v>6.8369</v>
      </c>
      <c r="E318" s="10">
        <f>_xlfn.XLOOKUP(A318, Sheet1!A:A, Sheet1!G:G)</f>
        <v>-1</v>
      </c>
      <c r="F318" s="10">
        <f t="shared" si="4"/>
        <v>-1</v>
      </c>
      <c r="G318" cm="1">
        <f t="array" ref="G318:J318">_xlfn.XLOOKUP(A318, Sheet1!A:A, Sheet1!C:F)</f>
        <v>20</v>
      </c>
      <c r="H318">
        <v>20</v>
      </c>
      <c r="I318">
        <v>20</v>
      </c>
      <c r="J318">
        <v>20</v>
      </c>
    </row>
    <row r="319" spans="1:10" x14ac:dyDescent="0.3">
      <c r="A319" t="str" cm="1">
        <f t="array" ref="A319">IF(ROW()&lt;=COUNTA(Sheet1!A:A), INDEX(Sheet1!A:A, ROW()),
INDEX(Sheet4!A:A, ROW()-COUNTA(Sheet1!A:A)))</f>
        <v>Al20.3Cr26Fe29.2Co12Ni12.5</v>
      </c>
      <c r="B319" s="10">
        <f>_xlfn.XLOOKUP(A319, Sheet4!A:A, Sheet4!C:C)</f>
        <v>0</v>
      </c>
      <c r="C319" s="10">
        <v>-1</v>
      </c>
      <c r="D319" s="10">
        <f>_xlfn.XLOOKUP(A319, Sheet2!A:A, Sheet2!B:B)</f>
        <v>6.835</v>
      </c>
      <c r="E319" s="10">
        <f>_xlfn.XLOOKUP(A319, Sheet1!A:A, Sheet1!G:G)</f>
        <v>-1</v>
      </c>
      <c r="F319" s="10">
        <f t="shared" si="4"/>
        <v>-1</v>
      </c>
      <c r="G319" cm="1">
        <f t="array" ref="G319:J319">_xlfn.XLOOKUP(A319, Sheet1!A:A, Sheet1!C:F)</f>
        <v>9.3225999999999996</v>
      </c>
      <c r="H319">
        <v>24.911000000000001</v>
      </c>
      <c r="I319">
        <v>33.734000000000002</v>
      </c>
      <c r="J319">
        <v>11.961</v>
      </c>
    </row>
    <row r="320" spans="1:10" x14ac:dyDescent="0.3">
      <c r="A320" t="str" cm="1">
        <f t="array" ref="A320">IF(ROW()&lt;=COUNTA(Sheet1!A:A), INDEX(Sheet1!A:A, ROW()),
INDEX(Sheet4!A:A, ROW()-COUNTA(Sheet1!A:A)))</f>
        <v>Al20.3Cr26.7Fe7.6Co22.3Ni23.1</v>
      </c>
      <c r="B320" s="10">
        <f>_xlfn.XLOOKUP(A320, Sheet4!A:A, Sheet4!C:C)</f>
        <v>0</v>
      </c>
      <c r="C320" s="10">
        <v>-1</v>
      </c>
      <c r="D320" s="10">
        <f>_xlfn.XLOOKUP(A320, Sheet2!A:A, Sheet2!B:B)</f>
        <v>7.1360000000000001</v>
      </c>
      <c r="E320" s="10">
        <f>_xlfn.XLOOKUP(A320, Sheet1!A:A, Sheet1!G:G)</f>
        <v>-1</v>
      </c>
      <c r="F320" s="10">
        <f t="shared" si="4"/>
        <v>-1</v>
      </c>
      <c r="G320" cm="1">
        <f t="array" ref="G320:J320">_xlfn.XLOOKUP(A320, Sheet1!A:A, Sheet1!C:F)</f>
        <v>15.1</v>
      </c>
      <c r="H320">
        <v>26.5</v>
      </c>
      <c r="I320">
        <v>22.3</v>
      </c>
      <c r="J320">
        <v>16.100000000000001</v>
      </c>
    </row>
    <row r="321" spans="1:10" x14ac:dyDescent="0.3">
      <c r="A321" t="str" cm="1">
        <f t="array" ref="A321">IF(ROW()&lt;=COUNTA(Sheet1!A:A), INDEX(Sheet1!A:A, ROW()),
INDEX(Sheet4!A:A, ROW()-COUNTA(Sheet1!A:A)))</f>
        <v>Al20.3Cr26.7Fe9Co21.5Ni22.4</v>
      </c>
      <c r="B321" s="10">
        <f>_xlfn.XLOOKUP(A321, Sheet4!A:A, Sheet4!C:C)</f>
        <v>0</v>
      </c>
      <c r="C321" s="10">
        <v>-1</v>
      </c>
      <c r="D321" s="10">
        <f>_xlfn.XLOOKUP(A321, Sheet2!A:A, Sheet2!B:B)</f>
        <v>7.1131000000000002</v>
      </c>
      <c r="E321" s="10">
        <f>_xlfn.XLOOKUP(A321, Sheet1!A:A, Sheet1!G:G)</f>
        <v>-1</v>
      </c>
      <c r="F321" s="10">
        <f t="shared" si="4"/>
        <v>-1</v>
      </c>
      <c r="G321" cm="1">
        <f t="array" ref="G321:J321">_xlfn.XLOOKUP(A321, Sheet1!A:A, Sheet1!C:F)</f>
        <v>21</v>
      </c>
      <c r="H321">
        <v>26.6</v>
      </c>
      <c r="I321">
        <v>10.4</v>
      </c>
      <c r="J321">
        <v>22</v>
      </c>
    </row>
    <row r="322" spans="1:10" x14ac:dyDescent="0.3">
      <c r="A322" t="str" cm="1">
        <f t="array" ref="A322">IF(ROW()&lt;=COUNTA(Sheet1!A:A), INDEX(Sheet1!A:A, ROW()),
INDEX(Sheet4!A:A, ROW()-COUNTA(Sheet1!A:A)))</f>
        <v>Al20.332Cr26.743Fe8.9777Co21.516Ni22.431</v>
      </c>
      <c r="B322" s="10">
        <f>_xlfn.XLOOKUP(A322, Sheet4!A:A, Sheet4!C:C)</f>
        <v>0</v>
      </c>
      <c r="C322" s="10">
        <v>-1</v>
      </c>
      <c r="D322" s="10">
        <f>_xlfn.XLOOKUP(A322, Sheet2!A:A, Sheet2!B:B)</f>
        <v>7.1123000000000003</v>
      </c>
      <c r="E322" s="10">
        <f>_xlfn.XLOOKUP(A322, Sheet1!A:A, Sheet1!G:G)</f>
        <v>-1</v>
      </c>
      <c r="F322" s="10">
        <f t="shared" si="4"/>
        <v>-1</v>
      </c>
      <c r="G322" cm="1">
        <f t="array" ref="G322:J322">_xlfn.XLOOKUP(A322, Sheet1!A:A, Sheet1!C:F)</f>
        <v>9.3000000000000007</v>
      </c>
      <c r="H322">
        <v>24.9</v>
      </c>
      <c r="I322">
        <v>33.700000000000003</v>
      </c>
      <c r="J322">
        <v>12</v>
      </c>
    </row>
    <row r="323" spans="1:10" x14ac:dyDescent="0.3">
      <c r="A323" t="str" cm="1">
        <f t="array" ref="A323">IF(ROW()&lt;=COUNTA(Sheet1!A:A), INDEX(Sheet1!A:A, ROW()),
INDEX(Sheet4!A:A, ROW()-COUNTA(Sheet1!A:A)))</f>
        <v>Al20.336Cr26.742Fe7.5618Co22.306Ni23.054</v>
      </c>
      <c r="B323" s="10">
        <f>_xlfn.XLOOKUP(A323, Sheet4!A:A, Sheet4!C:C)</f>
        <v>0</v>
      </c>
      <c r="C323" s="10">
        <v>-1</v>
      </c>
      <c r="D323" s="10">
        <f>_xlfn.XLOOKUP(A323, Sheet2!A:A, Sheet2!B:B)</f>
        <v>7.1325000000000003</v>
      </c>
      <c r="E323" s="10">
        <f>_xlfn.XLOOKUP(A323, Sheet1!A:A, Sheet1!G:G)</f>
        <v>-1</v>
      </c>
      <c r="F323" s="10">
        <f t="shared" ref="F323:F386" si="5">IF(OR(C323=1, E323=1), 1,
   IF(OR(C323=0, E323=0), 0,
      -1))</f>
        <v>-1</v>
      </c>
      <c r="G323" cm="1">
        <f t="array" ref="G323:J323">_xlfn.XLOOKUP(A323, Sheet1!A:A, Sheet1!C:F)</f>
        <v>21.018000000000001</v>
      </c>
      <c r="H323">
        <v>26.553000000000001</v>
      </c>
      <c r="I323">
        <v>10.36</v>
      </c>
      <c r="J323">
        <v>21.966999999999999</v>
      </c>
    </row>
    <row r="324" spans="1:10" x14ac:dyDescent="0.3">
      <c r="A324" t="str" cm="1">
        <f t="array" ref="A324">IF(ROW()&lt;=COUNTA(Sheet1!A:A), INDEX(Sheet1!A:A, ROW()),
INDEX(Sheet4!A:A, ROW()-COUNTA(Sheet1!A:A)))</f>
        <v>AlCoCrFeNi0.9</v>
      </c>
      <c r="B324" s="10">
        <f>_xlfn.XLOOKUP(A324, Sheet4!A:A, Sheet4!C:C)</f>
        <v>0</v>
      </c>
      <c r="C324" s="10">
        <v>-1</v>
      </c>
      <c r="D324" s="10">
        <f>_xlfn.XLOOKUP(A324, Sheet2!A:A, Sheet2!B:B)</f>
        <v>7.1429</v>
      </c>
      <c r="E324" s="10">
        <f>_xlfn.XLOOKUP(A324, Sheet1!A:A, Sheet1!G:G)</f>
        <v>-1</v>
      </c>
      <c r="F324" s="10">
        <f t="shared" si="5"/>
        <v>-1</v>
      </c>
      <c r="G324" cm="1">
        <f t="array" ref="G324:J324">_xlfn.XLOOKUP(A324, Sheet1!A:A, Sheet1!C:F)</f>
        <v>20.100000000000001</v>
      </c>
      <c r="H324">
        <v>26.4</v>
      </c>
      <c r="I324">
        <v>12.1</v>
      </c>
      <c r="J324">
        <v>21.2</v>
      </c>
    </row>
    <row r="325" spans="1:10" x14ac:dyDescent="0.3">
      <c r="A325" t="str" cm="1">
        <f t="array" ref="A325">IF(ROW()&lt;=COUNTA(Sheet1!A:A), INDEX(Sheet1!A:A, ROW()),
INDEX(Sheet4!A:A, ROW()-COUNTA(Sheet1!A:A)))</f>
        <v>Al20.5Cr26.6Fe6.6Co22.7Ni23.6</v>
      </c>
      <c r="B325" s="10">
        <f>_xlfn.XLOOKUP(A325, Sheet4!A:A, Sheet4!C:C)</f>
        <v>0</v>
      </c>
      <c r="C325" s="10">
        <v>-1</v>
      </c>
      <c r="D325" s="10">
        <f>_xlfn.XLOOKUP(A325, Sheet2!A:A, Sheet2!B:B)</f>
        <v>7.1420000000000003</v>
      </c>
      <c r="E325" s="10">
        <f>_xlfn.XLOOKUP(A325, Sheet1!A:A, Sheet1!G:G)</f>
        <v>-1</v>
      </c>
      <c r="F325" s="10">
        <f t="shared" si="5"/>
        <v>-1</v>
      </c>
      <c r="G325" cm="1">
        <f t="array" ref="G325:J325">_xlfn.XLOOKUP(A325, Sheet1!A:A, Sheet1!C:F)</f>
        <v>20.122</v>
      </c>
      <c r="H325">
        <v>26.417000000000002</v>
      </c>
      <c r="I325">
        <v>12.108000000000001</v>
      </c>
      <c r="J325">
        <v>21.221</v>
      </c>
    </row>
    <row r="326" spans="1:10" x14ac:dyDescent="0.3">
      <c r="A326" t="str" cm="1">
        <f t="array" ref="A326">IF(ROW()&lt;=COUNTA(Sheet1!A:A), INDEX(Sheet1!A:A, ROW()),
INDEX(Sheet4!A:A, ROW()-COUNTA(Sheet1!A:A)))</f>
        <v>Al20.511Cr26.572Fe6.612Co22.666Ni23.638</v>
      </c>
      <c r="B326" s="10">
        <f>_xlfn.XLOOKUP(A326, Sheet4!A:A, Sheet4!C:C)</f>
        <v>0</v>
      </c>
      <c r="C326" s="10">
        <v>-1</v>
      </c>
      <c r="D326" s="10">
        <f>_xlfn.XLOOKUP(A326, Sheet2!A:A, Sheet2!B:B)</f>
        <v>7.1424000000000003</v>
      </c>
      <c r="E326" s="10">
        <f>_xlfn.XLOOKUP(A326, Sheet1!A:A, Sheet1!G:G)</f>
        <v>-1</v>
      </c>
      <c r="F326" s="10">
        <f t="shared" si="5"/>
        <v>-1</v>
      </c>
      <c r="G326" cm="1">
        <f t="array" ref="G326:J326">_xlfn.XLOOKUP(A326, Sheet1!A:A, Sheet1!C:F)</f>
        <v>15.071</v>
      </c>
      <c r="H326">
        <v>26.462</v>
      </c>
      <c r="I326">
        <v>22.28</v>
      </c>
      <c r="J326">
        <v>16.050999999999998</v>
      </c>
    </row>
    <row r="327" spans="1:10" x14ac:dyDescent="0.3">
      <c r="A327" t="str" cm="1">
        <f t="array" ref="A327">IF(ROW()&lt;=COUNTA(Sheet1!A:A), INDEX(Sheet1!A:A, ROW()),
INDEX(Sheet4!A:A, ROW()-COUNTA(Sheet1!A:A)))</f>
        <v>Al20.6Cr20.6Fe27.5Co13.6Ni17.7</v>
      </c>
      <c r="B327" s="10">
        <f>_xlfn.XLOOKUP(A327, Sheet4!A:A, Sheet4!C:C)</f>
        <v>0</v>
      </c>
      <c r="C327" s="10">
        <v>-1</v>
      </c>
      <c r="D327" s="10">
        <f>_xlfn.XLOOKUP(A327, Sheet2!A:A, Sheet2!B:B)</f>
        <v>7.048</v>
      </c>
      <c r="E327" s="10">
        <f>_xlfn.XLOOKUP(A327, Sheet1!A:A, Sheet1!G:G)</f>
        <v>-1</v>
      </c>
      <c r="F327" s="10">
        <f t="shared" si="5"/>
        <v>-1</v>
      </c>
      <c r="G327" cm="1">
        <f t="array" ref="G327:J327">_xlfn.XLOOKUP(A327, Sheet1!A:A, Sheet1!C:F)</f>
        <v>11.986000000000001</v>
      </c>
      <c r="H327">
        <v>26.029</v>
      </c>
      <c r="I327">
        <v>29.196000000000002</v>
      </c>
      <c r="J327">
        <v>12.53</v>
      </c>
    </row>
    <row r="328" spans="1:10" x14ac:dyDescent="0.3">
      <c r="A328" t="str" cm="1">
        <f t="array" ref="A328">IF(ROW()&lt;=COUNTA(Sheet1!A:A), INDEX(Sheet1!A:A, ROW()),
INDEX(Sheet4!A:A, ROW()-COUNTA(Sheet1!A:A)))</f>
        <v>Al20.608Cr20.56Fe27.545Co13.632Ni17.655</v>
      </c>
      <c r="B328" s="10">
        <f>_xlfn.XLOOKUP(A328, Sheet4!A:A, Sheet4!C:C)</f>
        <v>0</v>
      </c>
      <c r="C328" s="10">
        <v>-1</v>
      </c>
      <c r="D328" s="10">
        <f>_xlfn.XLOOKUP(A328, Sheet2!A:A, Sheet2!B:B)</f>
        <v>7.0477999999999996</v>
      </c>
      <c r="E328" s="10">
        <f>_xlfn.XLOOKUP(A328, Sheet1!A:A, Sheet1!G:G)</f>
        <v>-1</v>
      </c>
      <c r="F328" s="10">
        <f t="shared" si="5"/>
        <v>-1</v>
      </c>
      <c r="G328" cm="1">
        <f t="array" ref="G328:J328">_xlfn.XLOOKUP(A328, Sheet1!A:A, Sheet1!C:F)</f>
        <v>12</v>
      </c>
      <c r="H328">
        <v>26</v>
      </c>
      <c r="I328">
        <v>29.2</v>
      </c>
      <c r="J328">
        <v>12.5</v>
      </c>
    </row>
    <row r="329" spans="1:10" x14ac:dyDescent="0.3">
      <c r="A329" t="str" cm="1">
        <f t="array" ref="A329">IF(ROW()&lt;=COUNTA(Sheet1!A:A), INDEX(Sheet1!A:A, ROW()),
INDEX(Sheet4!A:A, ROW()-COUNTA(Sheet1!A:A)))</f>
        <v>AlCoCrFeNi0.8</v>
      </c>
      <c r="B329" s="10">
        <f>_xlfn.XLOOKUP(A329, Sheet4!A:A, Sheet4!C:C)</f>
        <v>0</v>
      </c>
      <c r="C329" s="10">
        <v>-1</v>
      </c>
      <c r="D329" s="10">
        <f>_xlfn.XLOOKUP(A329, Sheet2!A:A, Sheet2!B:B)</f>
        <v>7.0833000000000004</v>
      </c>
      <c r="E329" s="10">
        <f>_xlfn.XLOOKUP(A329, Sheet1!A:A, Sheet1!G:G)</f>
        <v>-1</v>
      </c>
      <c r="F329" s="10">
        <f t="shared" si="5"/>
        <v>-1</v>
      </c>
      <c r="G329" cm="1">
        <f t="array" ref="G329:J329">_xlfn.XLOOKUP(A329, Sheet1!A:A, Sheet1!C:F)</f>
        <v>22.3</v>
      </c>
      <c r="H329">
        <v>26.7</v>
      </c>
      <c r="I329">
        <v>7.6</v>
      </c>
      <c r="J329">
        <v>23.1</v>
      </c>
    </row>
    <row r="330" spans="1:10" x14ac:dyDescent="0.3">
      <c r="A330" t="str" cm="1">
        <f t="array" ref="A330">IF(ROW()&lt;=COUNTA(Sheet1!A:A), INDEX(Sheet1!A:A, ROW()),
INDEX(Sheet4!A:A, ROW()-COUNTA(Sheet1!A:A)))</f>
        <v>Al20.956Cr27.277Fe19.064Co15.811Ni16.892</v>
      </c>
      <c r="B330" s="10">
        <f>_xlfn.XLOOKUP(A330, Sheet4!A:A, Sheet4!C:C)</f>
        <v>0</v>
      </c>
      <c r="C330" s="10">
        <v>-1</v>
      </c>
      <c r="D330" s="10">
        <f>_xlfn.XLOOKUP(A330, Sheet2!A:A, Sheet2!B:B)</f>
        <v>6.9025999999999996</v>
      </c>
      <c r="E330" s="10">
        <f>_xlfn.XLOOKUP(A330, Sheet1!A:A, Sheet1!G:G)</f>
        <v>-1</v>
      </c>
      <c r="F330" s="10">
        <f t="shared" si="5"/>
        <v>-1</v>
      </c>
      <c r="G330" cm="1">
        <f t="array" ref="G330:J330">_xlfn.XLOOKUP(A330, Sheet1!A:A, Sheet1!C:F)</f>
        <v>21.5</v>
      </c>
      <c r="H330">
        <v>26.7</v>
      </c>
      <c r="I330">
        <v>9</v>
      </c>
      <c r="J330">
        <v>22.4</v>
      </c>
    </row>
    <row r="331" spans="1:10" x14ac:dyDescent="0.3">
      <c r="A331" t="str" cm="1">
        <f t="array" ref="A331">IF(ROW()&lt;=COUNTA(Sheet1!A:A), INDEX(Sheet1!A:A, ROW()),
INDEX(Sheet4!A:A, ROW()-COUNTA(Sheet1!A:A)))</f>
        <v>Al21Cr26.8Fe31.6Co10.1Ni10.6</v>
      </c>
      <c r="B331" s="10">
        <f>_xlfn.XLOOKUP(A331, Sheet4!A:A, Sheet4!C:C)</f>
        <v>0</v>
      </c>
      <c r="C331" s="10">
        <v>-1</v>
      </c>
      <c r="D331" s="10">
        <f>_xlfn.XLOOKUP(A331, Sheet2!A:A, Sheet2!B:B)</f>
        <v>6.7282999999999999</v>
      </c>
      <c r="E331" s="10">
        <f>_xlfn.XLOOKUP(A331, Sheet1!A:A, Sheet1!G:G)</f>
        <v>-1</v>
      </c>
      <c r="F331" s="10">
        <f t="shared" si="5"/>
        <v>-1</v>
      </c>
      <c r="G331" cm="1">
        <f t="array" ref="G331:J331">_xlfn.XLOOKUP(A331, Sheet1!A:A, Sheet1!C:F)</f>
        <v>21.515999999999998</v>
      </c>
      <c r="H331">
        <v>26.742999999999999</v>
      </c>
      <c r="I331">
        <v>8.9777000000000005</v>
      </c>
      <c r="J331">
        <v>22.431000000000001</v>
      </c>
    </row>
    <row r="332" spans="1:10" x14ac:dyDescent="0.3">
      <c r="A332" t="str" cm="1">
        <f t="array" ref="A332">IF(ROW()&lt;=COUNTA(Sheet1!A:A), INDEX(Sheet1!A:A, ROW()),
INDEX(Sheet4!A:A, ROW()-COUNTA(Sheet1!A:A)))</f>
        <v>Al21Cr27.3Fe19.1Co15.8Ni16.9</v>
      </c>
      <c r="B332" s="10">
        <f>_xlfn.XLOOKUP(A332, Sheet4!A:A, Sheet4!C:C)</f>
        <v>0</v>
      </c>
      <c r="C332" s="10">
        <v>-1</v>
      </c>
      <c r="D332" s="10">
        <f>_xlfn.XLOOKUP(A332, Sheet2!A:A, Sheet2!B:B)</f>
        <v>6.9010999999999996</v>
      </c>
      <c r="E332" s="10">
        <f>_xlfn.XLOOKUP(A332, Sheet1!A:A, Sheet1!G:G)</f>
        <v>-1</v>
      </c>
      <c r="F332" s="10">
        <f t="shared" si="5"/>
        <v>-1</v>
      </c>
      <c r="G332" cm="1">
        <f t="array" ref="G332:J332">_xlfn.XLOOKUP(A332, Sheet1!A:A, Sheet1!C:F)</f>
        <v>22.306000000000001</v>
      </c>
      <c r="H332">
        <v>26.742000000000001</v>
      </c>
      <c r="I332">
        <v>7.5617999999999999</v>
      </c>
      <c r="J332">
        <v>23.053999999999998</v>
      </c>
    </row>
    <row r="333" spans="1:10" x14ac:dyDescent="0.3">
      <c r="A333" t="str" cm="1">
        <f t="array" ref="A333">IF(ROW()&lt;=COUNTA(Sheet1!A:A), INDEX(Sheet1!A:A, ROW()),
INDEX(Sheet4!A:A, ROW()-COUNTA(Sheet1!A:A)))</f>
        <v>Al21.021Cr26.767Fe31.584Co10.066Ni10.562</v>
      </c>
      <c r="B333" s="10">
        <f>_xlfn.XLOOKUP(A333, Sheet4!A:A, Sheet4!C:C)</f>
        <v>0</v>
      </c>
      <c r="C333" s="10">
        <v>-1</v>
      </c>
      <c r="D333" s="10">
        <f>_xlfn.XLOOKUP(A333, Sheet2!A:A, Sheet2!B:B)</f>
        <v>6.7255000000000003</v>
      </c>
      <c r="E333" s="10">
        <f>_xlfn.XLOOKUP(A333, Sheet1!A:A, Sheet1!G:G)</f>
        <v>-1</v>
      </c>
      <c r="F333" s="10">
        <f t="shared" si="5"/>
        <v>-1</v>
      </c>
      <c r="G333" cm="1">
        <f t="array" ref="G333:J333">_xlfn.XLOOKUP(A333, Sheet1!A:A, Sheet1!C:F)</f>
        <v>20.408163269999999</v>
      </c>
      <c r="H333">
        <v>20.408163269999999</v>
      </c>
      <c r="I333">
        <v>20.408163269999999</v>
      </c>
      <c r="J333">
        <v>18.367346940000001</v>
      </c>
    </row>
    <row r="334" spans="1:10" x14ac:dyDescent="0.3">
      <c r="A334" t="str" cm="1">
        <f t="array" ref="A334">IF(ROW()&lt;=COUNTA(Sheet1!A:A), INDEX(Sheet1!A:A, ROW()),
INDEX(Sheet4!A:A, ROW()-COUNTA(Sheet1!A:A)))</f>
        <v>AlCoCrFeNi0.75</v>
      </c>
      <c r="B334" s="10">
        <f>_xlfn.XLOOKUP(A334, Sheet4!A:A, Sheet4!C:C)</f>
        <v>0</v>
      </c>
      <c r="C334" s="10">
        <v>-1</v>
      </c>
      <c r="D334" s="10">
        <f>_xlfn.XLOOKUP(A334, Sheet2!A:A, Sheet2!B:B)</f>
        <v>7.0526</v>
      </c>
      <c r="E334" s="10">
        <f>_xlfn.XLOOKUP(A334, Sheet1!A:A, Sheet1!G:G)</f>
        <v>-1</v>
      </c>
      <c r="F334" s="10">
        <f t="shared" si="5"/>
        <v>-1</v>
      </c>
      <c r="G334" cm="1">
        <f t="array" ref="G334:J334">_xlfn.XLOOKUP(A334, Sheet1!A:A, Sheet1!C:F)</f>
        <v>22.7</v>
      </c>
      <c r="H334">
        <v>26.6</v>
      </c>
      <c r="I334">
        <v>6.6</v>
      </c>
      <c r="J334">
        <v>23.6</v>
      </c>
    </row>
    <row r="335" spans="1:10" x14ac:dyDescent="0.3">
      <c r="A335" t="str" cm="1">
        <f t="array" ref="A335">IF(ROW()&lt;=COUNTA(Sheet1!A:A), INDEX(Sheet1!A:A, ROW()),
INDEX(Sheet4!A:A, ROW()-COUNTA(Sheet1!A:A)))</f>
        <v>Al21.063Cr25.708Fe34.768Co8.0868Ni10.374</v>
      </c>
      <c r="B335" s="10">
        <f>_xlfn.XLOOKUP(A335, Sheet4!A:A, Sheet4!C:C)</f>
        <v>0</v>
      </c>
      <c r="C335" s="10">
        <v>-1</v>
      </c>
      <c r="D335" s="10">
        <f>_xlfn.XLOOKUP(A335, Sheet2!A:A, Sheet2!B:B)</f>
        <v>6.7210000000000001</v>
      </c>
      <c r="E335" s="10">
        <f>_xlfn.XLOOKUP(A335, Sheet1!A:A, Sheet1!G:G)</f>
        <v>-1</v>
      </c>
      <c r="F335" s="10">
        <f t="shared" si="5"/>
        <v>-1</v>
      </c>
      <c r="G335" cm="1">
        <f t="array" ref="G335:J335">_xlfn.XLOOKUP(A335, Sheet1!A:A, Sheet1!C:F)</f>
        <v>22.666</v>
      </c>
      <c r="H335">
        <v>26.571999999999999</v>
      </c>
      <c r="I335">
        <v>6.6120000000000001</v>
      </c>
      <c r="J335">
        <v>23.638000000000002</v>
      </c>
    </row>
    <row r="336" spans="1:10" x14ac:dyDescent="0.3">
      <c r="A336" t="str" cm="1">
        <f t="array" ref="A336">IF(ROW()&lt;=COUNTA(Sheet1!A:A), INDEX(Sheet1!A:A, ROW()),
INDEX(Sheet4!A:A, ROW()-COUNTA(Sheet1!A:A)))</f>
        <v>Al21.1Cr25.7Fe34.8Co8.1Ni10.4</v>
      </c>
      <c r="B336" s="10">
        <f>_xlfn.XLOOKUP(A336, Sheet4!A:A, Sheet4!C:C)</f>
        <v>0</v>
      </c>
      <c r="C336" s="10">
        <v>-1</v>
      </c>
      <c r="D336" s="10">
        <f>_xlfn.XLOOKUP(A336, Sheet2!A:A, Sheet2!B:B)</f>
        <v>6.7213000000000003</v>
      </c>
      <c r="E336" s="10">
        <f>_xlfn.XLOOKUP(A336, Sheet1!A:A, Sheet1!G:G)</f>
        <v>-1</v>
      </c>
      <c r="F336" s="10">
        <f t="shared" si="5"/>
        <v>-1</v>
      </c>
      <c r="G336" cm="1">
        <f t="array" ref="G336:J336">_xlfn.XLOOKUP(A336, Sheet1!A:A, Sheet1!C:F)</f>
        <v>13.6</v>
      </c>
      <c r="H336">
        <v>20.6</v>
      </c>
      <c r="I336">
        <v>27.5</v>
      </c>
      <c r="J336">
        <v>17.7</v>
      </c>
    </row>
    <row r="337" spans="1:10" x14ac:dyDescent="0.3">
      <c r="A337" t="str" cm="1">
        <f t="array" ref="A337">IF(ROW()&lt;=COUNTA(Sheet1!A:A), INDEX(Sheet1!A:A, ROW()),
INDEX(Sheet4!A:A, ROW()-COUNTA(Sheet1!A:A)))</f>
        <v>Al21.1Cr18.9Fe25.6Co15.1Ni19.4</v>
      </c>
      <c r="B337" s="10">
        <f>_xlfn.XLOOKUP(A337, Sheet4!A:A, Sheet4!C:C)</f>
        <v>0</v>
      </c>
      <c r="C337" s="10">
        <v>-1</v>
      </c>
      <c r="D337" s="10">
        <f>_xlfn.XLOOKUP(A337, Sheet2!A:A, Sheet2!B:B)</f>
        <v>7.1069000000000004</v>
      </c>
      <c r="E337" s="10">
        <f>_xlfn.XLOOKUP(A337, Sheet1!A:A, Sheet1!G:G)</f>
        <v>-1</v>
      </c>
      <c r="F337" s="10">
        <f t="shared" si="5"/>
        <v>-1</v>
      </c>
      <c r="G337" cm="1">
        <f t="array" ref="G337:J337">_xlfn.XLOOKUP(A337, Sheet1!A:A, Sheet1!C:F)</f>
        <v>13.632</v>
      </c>
      <c r="H337">
        <v>20.56</v>
      </c>
      <c r="I337">
        <v>27.545000000000002</v>
      </c>
      <c r="J337">
        <v>17.655000000000001</v>
      </c>
    </row>
    <row r="338" spans="1:10" x14ac:dyDescent="0.3">
      <c r="A338" t="str" cm="1">
        <f t="array" ref="A338">IF(ROW()&lt;=COUNTA(Sheet1!A:A), INDEX(Sheet1!A:A, ROW()),
INDEX(Sheet4!A:A, ROW()-COUNTA(Sheet1!A:A)))</f>
        <v>Al21.121Cr18.85Fe25.552Co15.095Ni19.382</v>
      </c>
      <c r="B338" s="10">
        <f>_xlfn.XLOOKUP(A338, Sheet4!A:A, Sheet4!C:C)</f>
        <v>0</v>
      </c>
      <c r="C338" s="10">
        <v>-1</v>
      </c>
      <c r="D338" s="10">
        <f>_xlfn.XLOOKUP(A338, Sheet2!A:A, Sheet2!B:B)</f>
        <v>7.1055000000000001</v>
      </c>
      <c r="E338" s="10">
        <f>_xlfn.XLOOKUP(A338, Sheet1!A:A, Sheet1!G:G)</f>
        <v>-1</v>
      </c>
      <c r="F338" s="10">
        <f t="shared" si="5"/>
        <v>-1</v>
      </c>
      <c r="G338" cm="1">
        <f t="array" ref="G338:J338">_xlfn.XLOOKUP(A338, Sheet1!A:A, Sheet1!C:F)</f>
        <v>20.833333329999999</v>
      </c>
      <c r="H338">
        <v>20.833333329999999</v>
      </c>
      <c r="I338">
        <v>20.833333329999999</v>
      </c>
      <c r="J338">
        <v>16.666666670000001</v>
      </c>
    </row>
    <row r="339" spans="1:10" x14ac:dyDescent="0.3">
      <c r="A339" t="str" cm="1">
        <f t="array" ref="A339">IF(ROW()&lt;=COUNTA(Sheet1!A:A), INDEX(Sheet1!A:A, ROW()),
INDEX(Sheet4!A:A, ROW()-COUNTA(Sheet1!A:A)))</f>
        <v>AlCoCr0.7FeNi</v>
      </c>
      <c r="B339" s="10" t="str">
        <f>_xlfn.XLOOKUP(A339, Sheet4!A:A, Sheet4!C:C)</f>
        <v>FCC+BCC</v>
      </c>
      <c r="C339" s="10">
        <v>-1</v>
      </c>
      <c r="D339" s="10">
        <f>_xlfn.XLOOKUP(A339, Sheet2!A:A, Sheet2!B:B)</f>
        <v>7.2766000000000002</v>
      </c>
      <c r="E339" s="10">
        <f>_xlfn.XLOOKUP(A339, Sheet1!A:A, Sheet1!G:G)</f>
        <v>-1</v>
      </c>
      <c r="F339" s="10">
        <f t="shared" si="5"/>
        <v>-1</v>
      </c>
      <c r="G339" cm="1">
        <f t="array" ref="G339:J339">_xlfn.XLOOKUP(A339, Sheet1!A:A, Sheet1!C:F)</f>
        <v>15.811</v>
      </c>
      <c r="H339">
        <v>27.277000000000001</v>
      </c>
      <c r="I339">
        <v>19.064</v>
      </c>
      <c r="J339">
        <v>16.891999999999999</v>
      </c>
    </row>
    <row r="340" spans="1:10" x14ac:dyDescent="0.3">
      <c r="A340" t="str" cm="1">
        <f t="array" ref="A340">IF(ROW()&lt;=COUNTA(Sheet1!A:A), INDEX(Sheet1!A:A, ROW()),
INDEX(Sheet4!A:A, ROW()-COUNTA(Sheet1!A:A)))</f>
        <v>AlCoCrFeNi0.70</v>
      </c>
      <c r="B340" s="10">
        <f>_xlfn.XLOOKUP(A340, Sheet4!A:A, Sheet4!C:C)</f>
        <v>0</v>
      </c>
      <c r="C340" s="10">
        <v>-1</v>
      </c>
      <c r="D340" s="10">
        <f>_xlfn.XLOOKUP(A340, Sheet2!A:A, Sheet2!B:B)</f>
        <v>7.0213000000000001</v>
      </c>
      <c r="E340" s="10">
        <f>_xlfn.XLOOKUP(A340, Sheet1!A:A, Sheet1!G:G)</f>
        <v>-1</v>
      </c>
      <c r="F340" s="10">
        <f t="shared" si="5"/>
        <v>-1</v>
      </c>
      <c r="G340" cm="1">
        <f t="array" ref="G340:J340">_xlfn.XLOOKUP(A340, Sheet1!A:A, Sheet1!C:F)</f>
        <v>10.1</v>
      </c>
      <c r="H340">
        <v>26.8</v>
      </c>
      <c r="I340">
        <v>31.6</v>
      </c>
      <c r="J340">
        <v>10.6</v>
      </c>
    </row>
    <row r="341" spans="1:10" x14ac:dyDescent="0.3">
      <c r="A341" t="str" cm="1">
        <f t="array" ref="A341">IF(ROW()&lt;=COUNTA(Sheet1!A:A), INDEX(Sheet1!A:A, ROW()),
INDEX(Sheet4!A:A, ROW()-COUNTA(Sheet1!A:A)))</f>
        <v>Al21.3Cr27.7Fe24.9Co12.6Ni13.5</v>
      </c>
      <c r="B341" s="10">
        <f>_xlfn.XLOOKUP(A341, Sheet4!A:A, Sheet4!C:C)</f>
        <v>0</v>
      </c>
      <c r="C341" s="10">
        <v>-1</v>
      </c>
      <c r="D341" s="10">
        <f>_xlfn.XLOOKUP(A341, Sheet2!A:A, Sheet2!B:B)</f>
        <v>6.7770000000000001</v>
      </c>
      <c r="E341" s="10">
        <f>_xlfn.XLOOKUP(A341, Sheet1!A:A, Sheet1!G:G)</f>
        <v>-1</v>
      </c>
      <c r="F341" s="10">
        <f t="shared" si="5"/>
        <v>-1</v>
      </c>
      <c r="G341" cm="1">
        <f t="array" ref="G341:J341">_xlfn.XLOOKUP(A341, Sheet1!A:A, Sheet1!C:F)</f>
        <v>15.8</v>
      </c>
      <c r="H341">
        <v>27.3</v>
      </c>
      <c r="I341">
        <v>19.100000000000001</v>
      </c>
      <c r="J341">
        <v>16.899999999999999</v>
      </c>
    </row>
    <row r="342" spans="1:10" x14ac:dyDescent="0.3">
      <c r="A342" t="str" cm="1">
        <f t="array" ref="A342">IF(ROW()&lt;=COUNTA(Sheet1!A:A), INDEX(Sheet1!A:A, ROW()),
INDEX(Sheet4!A:A, ROW()-COUNTA(Sheet1!A:A)))</f>
        <v>Al21.303Cr27.675Fe24.947Co12.593Ni13.482</v>
      </c>
      <c r="B342" s="10">
        <f>_xlfn.XLOOKUP(A342, Sheet4!A:A, Sheet4!C:C)</f>
        <v>0</v>
      </c>
      <c r="C342" s="10">
        <v>-1</v>
      </c>
      <c r="D342" s="10">
        <f>_xlfn.XLOOKUP(A342, Sheet2!A:A, Sheet2!B:B)</f>
        <v>6.7769000000000004</v>
      </c>
      <c r="E342" s="10">
        <f>_xlfn.XLOOKUP(A342, Sheet1!A:A, Sheet1!G:G)</f>
        <v>-1</v>
      </c>
      <c r="F342" s="10">
        <f t="shared" si="5"/>
        <v>-1</v>
      </c>
      <c r="G342" cm="1">
        <f t="array" ref="G342:J342">_xlfn.XLOOKUP(A342, Sheet1!A:A, Sheet1!C:F)</f>
        <v>10.066000000000001</v>
      </c>
      <c r="H342">
        <v>26.766999999999999</v>
      </c>
      <c r="I342">
        <v>31.584</v>
      </c>
      <c r="J342">
        <v>10.561999999999999</v>
      </c>
    </row>
    <row r="343" spans="1:10" x14ac:dyDescent="0.3">
      <c r="A343" t="str" cm="1">
        <f t="array" ref="A343">IF(ROW()&lt;=COUNTA(Sheet1!A:A), INDEX(Sheet1!A:A, ROW()),
INDEX(Sheet4!A:A, ROW()-COUNTA(Sheet1!A:A)))</f>
        <v>AlCoCrFeNi0.65</v>
      </c>
      <c r="B343" s="10">
        <f>_xlfn.XLOOKUP(A343, Sheet4!A:A, Sheet4!C:C)</f>
        <v>0</v>
      </c>
      <c r="C343" s="10">
        <v>-1</v>
      </c>
      <c r="D343" s="10">
        <f>_xlfn.XLOOKUP(A343, Sheet2!A:A, Sheet2!B:B)</f>
        <v>6.9892000000000003</v>
      </c>
      <c r="E343" s="10">
        <f>_xlfn.XLOOKUP(A343, Sheet1!A:A, Sheet1!G:G)</f>
        <v>-1</v>
      </c>
      <c r="F343" s="10">
        <f t="shared" si="5"/>
        <v>-1</v>
      </c>
      <c r="G343" cm="1">
        <f t="array" ref="G343:J343">_xlfn.XLOOKUP(A343, Sheet1!A:A, Sheet1!C:F)</f>
        <v>21.05263158</v>
      </c>
      <c r="H343">
        <v>21.05263158</v>
      </c>
      <c r="I343">
        <v>21.05263158</v>
      </c>
      <c r="J343">
        <v>15.78947368</v>
      </c>
    </row>
    <row r="344" spans="1:10" x14ac:dyDescent="0.3">
      <c r="A344" t="str" cm="1">
        <f t="array" ref="A344">IF(ROW()&lt;=COUNTA(Sheet1!A:A), INDEX(Sheet1!A:A, ROW()),
INDEX(Sheet4!A:A, ROW()-COUNTA(Sheet1!A:A)))</f>
        <v>Al1.1CoCrFeNi</v>
      </c>
      <c r="B344" s="10">
        <f>_xlfn.XLOOKUP(A344, Sheet4!A:A, Sheet4!C:C)</f>
        <v>0</v>
      </c>
      <c r="C344" s="10">
        <v>-1</v>
      </c>
      <c r="D344" s="10">
        <f>_xlfn.XLOOKUP(A344, Sheet2!A:A, Sheet2!B:B)</f>
        <v>7.1176000000000004</v>
      </c>
      <c r="E344" s="10">
        <f>_xlfn.XLOOKUP(A344, Sheet1!A:A, Sheet1!G:G)</f>
        <v>-1</v>
      </c>
      <c r="F344" s="10">
        <f t="shared" si="5"/>
        <v>-1</v>
      </c>
      <c r="G344" cm="1">
        <f t="array" ref="G344:J344">_xlfn.XLOOKUP(A344, Sheet1!A:A, Sheet1!C:F)</f>
        <v>8.0868000000000002</v>
      </c>
      <c r="H344">
        <v>25.707999999999998</v>
      </c>
      <c r="I344">
        <v>34.768000000000001</v>
      </c>
      <c r="J344">
        <v>10.374000000000001</v>
      </c>
    </row>
    <row r="345" spans="1:10" x14ac:dyDescent="0.3">
      <c r="A345" t="str" cm="1">
        <f t="array" ref="A345">IF(ROW()&lt;=COUNTA(Sheet1!A:A), INDEX(Sheet1!A:A, ROW()),
INDEX(Sheet4!A:A, ROW()-COUNTA(Sheet1!A:A)))</f>
        <v>Al21.575Cr26.982Fe33.913Co8.6041Ni8.9265</v>
      </c>
      <c r="B345" s="10">
        <f>_xlfn.XLOOKUP(A345, Sheet4!A:A, Sheet4!C:C)</f>
        <v>0</v>
      </c>
      <c r="C345" s="10">
        <v>-1</v>
      </c>
      <c r="D345" s="10">
        <f>_xlfn.XLOOKUP(A345, Sheet2!A:A, Sheet2!B:B)</f>
        <v>6.6462000000000003</v>
      </c>
      <c r="E345" s="10">
        <f>_xlfn.XLOOKUP(A345, Sheet1!A:A, Sheet1!G:G)</f>
        <v>-1</v>
      </c>
      <c r="F345" s="10">
        <f t="shared" si="5"/>
        <v>-1</v>
      </c>
      <c r="G345" cm="1">
        <f t="array" ref="G345:J345">_xlfn.XLOOKUP(A345, Sheet1!A:A, Sheet1!C:F)</f>
        <v>8.1</v>
      </c>
      <c r="H345">
        <v>25.7</v>
      </c>
      <c r="I345">
        <v>34.799999999999997</v>
      </c>
      <c r="J345">
        <v>10.4</v>
      </c>
    </row>
    <row r="346" spans="1:10" x14ac:dyDescent="0.3">
      <c r="A346" t="str" cm="1">
        <f t="array" ref="A346">IF(ROW()&lt;=COUNTA(Sheet1!A:A), INDEX(Sheet1!A:A, ROW()),
INDEX(Sheet4!A:A, ROW()-COUNTA(Sheet1!A:A)))</f>
        <v>Al21.6Cr27Fe33.9Co8.6Ni8.9</v>
      </c>
      <c r="B346" s="10">
        <f>_xlfn.XLOOKUP(A346, Sheet4!A:A, Sheet4!C:C)</f>
        <v>0</v>
      </c>
      <c r="C346" s="10">
        <v>-1</v>
      </c>
      <c r="D346" s="10">
        <f>_xlfn.XLOOKUP(A346, Sheet2!A:A, Sheet2!B:B)</f>
        <v>6.6440000000000001</v>
      </c>
      <c r="E346" s="10">
        <f>_xlfn.XLOOKUP(A346, Sheet1!A:A, Sheet1!G:G)</f>
        <v>-1</v>
      </c>
      <c r="F346" s="10">
        <f t="shared" si="5"/>
        <v>-1</v>
      </c>
      <c r="G346" cm="1">
        <f t="array" ref="G346:J346">_xlfn.XLOOKUP(A346, Sheet1!A:A, Sheet1!C:F)</f>
        <v>15.1</v>
      </c>
      <c r="H346">
        <v>18.899999999999999</v>
      </c>
      <c r="I346">
        <v>25.6</v>
      </c>
      <c r="J346">
        <v>19.399999999999999</v>
      </c>
    </row>
    <row r="347" spans="1:10" x14ac:dyDescent="0.3">
      <c r="A347" t="str" cm="1">
        <f t="array" ref="A347">IF(ROW()&lt;=COUNTA(Sheet1!A:A), INDEX(Sheet1!A:A, ROW()),
INDEX(Sheet4!A:A, ROW()-COUNTA(Sheet1!A:A)))</f>
        <v>AlCoCrFeNi0.60</v>
      </c>
      <c r="B347" s="10">
        <f>_xlfn.XLOOKUP(A347, Sheet4!A:A, Sheet4!C:C)</f>
        <v>0</v>
      </c>
      <c r="C347" s="10">
        <v>-1</v>
      </c>
      <c r="D347" s="10">
        <f>_xlfn.XLOOKUP(A347, Sheet2!A:A, Sheet2!B:B)</f>
        <v>6.9565000000000001</v>
      </c>
      <c r="E347" s="10">
        <f>_xlfn.XLOOKUP(A347, Sheet1!A:A, Sheet1!G:G)</f>
        <v>-1</v>
      </c>
      <c r="F347" s="10">
        <f t="shared" si="5"/>
        <v>-1</v>
      </c>
      <c r="G347" cm="1">
        <f t="array" ref="G347:J347">_xlfn.XLOOKUP(A347, Sheet1!A:A, Sheet1!C:F)</f>
        <v>15.095000000000001</v>
      </c>
      <c r="H347">
        <v>18.850000000000001</v>
      </c>
      <c r="I347">
        <v>25.552</v>
      </c>
      <c r="J347">
        <v>19.382000000000001</v>
      </c>
    </row>
    <row r="348" spans="1:10" x14ac:dyDescent="0.3">
      <c r="A348" t="str" cm="1">
        <f t="array" ref="A348">IF(ROW()&lt;=COUNTA(Sheet1!A:A), INDEX(Sheet1!A:A, ROW()),
INDEX(Sheet4!A:A, ROW()-COUNTA(Sheet1!A:A)))</f>
        <v>Al21.756Cr28.394Fe16.055Co16.496Ni17.299</v>
      </c>
      <c r="B348" s="10">
        <f>_xlfn.XLOOKUP(A348, Sheet4!A:A, Sheet4!C:C)</f>
        <v>0</v>
      </c>
      <c r="C348" s="10">
        <v>-1</v>
      </c>
      <c r="D348" s="10">
        <f>_xlfn.XLOOKUP(A348, Sheet2!A:A, Sheet2!B:B)</f>
        <v>6.8552999999999997</v>
      </c>
      <c r="E348" s="10">
        <f>_xlfn.XLOOKUP(A348, Sheet1!A:A, Sheet1!G:G)</f>
        <v>-1</v>
      </c>
      <c r="F348" s="10">
        <f t="shared" si="5"/>
        <v>-1</v>
      </c>
      <c r="G348" cm="1">
        <f t="array" ref="G348:J348">_xlfn.XLOOKUP(A348, Sheet1!A:A, Sheet1!C:F)</f>
        <v>21.276595740000001</v>
      </c>
      <c r="H348">
        <v>14.893617020000001</v>
      </c>
      <c r="I348">
        <v>21.276595740000001</v>
      </c>
      <c r="J348">
        <v>21.276595740000001</v>
      </c>
    </row>
    <row r="349" spans="1:10" x14ac:dyDescent="0.3">
      <c r="A349" t="str" cm="1">
        <f t="array" ref="A349">IF(ROW()&lt;=COUNTA(Sheet1!A:A), INDEX(Sheet1!A:A, ROW()),
INDEX(Sheet4!A:A, ROW()-COUNTA(Sheet1!A:A)))</f>
        <v>Al21.8Cr28.4Fe16.1Co16.5Ni17.3</v>
      </c>
      <c r="B349" s="10">
        <f>_xlfn.XLOOKUP(A349, Sheet4!A:A, Sheet4!C:C)</f>
        <v>0</v>
      </c>
      <c r="C349" s="10">
        <v>-1</v>
      </c>
      <c r="D349" s="10">
        <f>_xlfn.XLOOKUP(A349, Sheet2!A:A, Sheet2!B:B)</f>
        <v>6.8540999999999999</v>
      </c>
      <c r="E349" s="10">
        <f>_xlfn.XLOOKUP(A349, Sheet1!A:A, Sheet1!G:G)</f>
        <v>-1</v>
      </c>
      <c r="F349" s="10">
        <f t="shared" si="5"/>
        <v>-1</v>
      </c>
      <c r="G349" cm="1">
        <f t="array" ref="G349:J349">_xlfn.XLOOKUP(A349, Sheet1!A:A, Sheet1!C:F)</f>
        <v>21.276595740000001</v>
      </c>
      <c r="H349">
        <v>21.276595740000001</v>
      </c>
      <c r="I349">
        <v>21.276595740000001</v>
      </c>
      <c r="J349">
        <v>14.893617020000001</v>
      </c>
    </row>
    <row r="350" spans="1:10" x14ac:dyDescent="0.3">
      <c r="A350" t="str" cm="1">
        <f t="array" ref="A350">IF(ROW()&lt;=COUNTA(Sheet1!A:A), INDEX(Sheet1!A:A, ROW()),
INDEX(Sheet4!A:A, ROW()-COUNTA(Sheet1!A:A)))</f>
        <v>Al1.12NiCoFeCr</v>
      </c>
      <c r="B350" s="10">
        <f>_xlfn.XLOOKUP(A350, Sheet4!A:A, Sheet4!C:C)</f>
        <v>0</v>
      </c>
      <c r="C350" s="10">
        <v>-1</v>
      </c>
      <c r="D350" s="10">
        <f>_xlfn.XLOOKUP(A350, Sheet2!A:A, Sheet2!B:B)</f>
        <v>7.1016000000000004</v>
      </c>
      <c r="E350" s="10">
        <f>_xlfn.XLOOKUP(A350, Sheet1!A:A, Sheet1!G:G)</f>
        <v>-1</v>
      </c>
      <c r="F350" s="10">
        <f t="shared" si="5"/>
        <v>-1</v>
      </c>
      <c r="G350" cm="1">
        <f t="array" ref="G350:J350">_xlfn.XLOOKUP(A350, Sheet1!A:A, Sheet1!C:F)</f>
        <v>12.6</v>
      </c>
      <c r="H350">
        <v>27.7</v>
      </c>
      <c r="I350">
        <v>24.9</v>
      </c>
      <c r="J350">
        <v>13.5</v>
      </c>
    </row>
    <row r="351" spans="1:10" x14ac:dyDescent="0.3">
      <c r="A351" t="str" cm="1">
        <f t="array" ref="A351">IF(ROW()&lt;=COUNTA(Sheet1!A:A), INDEX(Sheet1!A:A, ROW()),
INDEX(Sheet4!A:A, ROW()-COUNTA(Sheet1!A:A)))</f>
        <v>Al21.88Ni19.53Co19.53Fe19.53Cr19.53</v>
      </c>
      <c r="B351" s="10" t="str">
        <f>_xlfn.XLOOKUP(A351, Sheet4!A:A, Sheet4!C:C)</f>
        <v>BCC</v>
      </c>
      <c r="C351" s="10">
        <v>0</v>
      </c>
      <c r="D351" s="10">
        <f>_xlfn.XLOOKUP(A351, Sheet2!A:A, Sheet2!B:B)</f>
        <v>7.1013000000000002</v>
      </c>
      <c r="E351" s="10">
        <f>_xlfn.XLOOKUP(A351, Sheet1!A:A, Sheet1!G:G)</f>
        <v>-1</v>
      </c>
      <c r="F351" s="10">
        <f t="shared" si="5"/>
        <v>0</v>
      </c>
      <c r="G351" cm="1">
        <f t="array" ref="G351:J351">_xlfn.XLOOKUP(A351, Sheet1!A:A, Sheet1!C:F)</f>
        <v>12.593</v>
      </c>
      <c r="H351">
        <v>27.675000000000001</v>
      </c>
      <c r="I351">
        <v>24.946999999999999</v>
      </c>
      <c r="J351">
        <v>13.481999999999999</v>
      </c>
    </row>
    <row r="352" spans="1:10" x14ac:dyDescent="0.3">
      <c r="A352" t="str" cm="1">
        <f t="array" ref="A352">IF(ROW()&lt;=COUNTA(Sheet1!A:A), INDEX(Sheet1!A:A, ROW()),
INDEX(Sheet4!A:A, ROW()-COUNTA(Sheet1!A:A)))</f>
        <v>Al21.952Cr27.351Fe36.993Co5.9783Ni7.7257</v>
      </c>
      <c r="B352" s="10">
        <f>_xlfn.XLOOKUP(A352, Sheet4!A:A, Sheet4!C:C)</f>
        <v>0</v>
      </c>
      <c r="C352" s="10">
        <v>-1</v>
      </c>
      <c r="D352" s="10">
        <f>_xlfn.XLOOKUP(A352, Sheet2!A:A, Sheet2!B:B)</f>
        <v>6.5697000000000001</v>
      </c>
      <c r="E352" s="10">
        <f>_xlfn.XLOOKUP(A352, Sheet1!A:A, Sheet1!G:G)</f>
        <v>-1</v>
      </c>
      <c r="F352" s="10">
        <f t="shared" si="5"/>
        <v>-1</v>
      </c>
      <c r="G352" cm="1">
        <f t="array" ref="G352:J352">_xlfn.XLOOKUP(A352, Sheet1!A:A, Sheet1!C:F)</f>
        <v>21.505376340000002</v>
      </c>
      <c r="H352">
        <v>21.505376340000002</v>
      </c>
      <c r="I352">
        <v>21.505376340000002</v>
      </c>
      <c r="J352">
        <v>13.978494619999999</v>
      </c>
    </row>
    <row r="353" spans="1:10" x14ac:dyDescent="0.3">
      <c r="A353" t="str" cm="1">
        <f t="array" ref="A353">IF(ROW()&lt;=COUNTA(Sheet1!A:A), INDEX(Sheet1!A:A, ROW()),
INDEX(Sheet4!A:A, ROW()-COUNTA(Sheet1!A:A)))</f>
        <v>AlCoCrFeNi0.55</v>
      </c>
      <c r="B353" s="10">
        <f>_xlfn.XLOOKUP(A353, Sheet4!A:A, Sheet4!C:C)</f>
        <v>0</v>
      </c>
      <c r="C353" s="10">
        <v>-1</v>
      </c>
      <c r="D353" s="10">
        <f>_xlfn.XLOOKUP(A353, Sheet2!A:A, Sheet2!B:B)</f>
        <v>6.9230999999999998</v>
      </c>
      <c r="E353" s="10">
        <f>_xlfn.XLOOKUP(A353, Sheet1!A:A, Sheet1!G:G)</f>
        <v>-1</v>
      </c>
      <c r="F353" s="10">
        <f t="shared" si="5"/>
        <v>-1</v>
      </c>
      <c r="G353" cm="1">
        <f t="array" ref="G353:J353">_xlfn.XLOOKUP(A353, Sheet1!A:A, Sheet1!C:F)</f>
        <v>19.60784314</v>
      </c>
      <c r="H353">
        <v>19.60784314</v>
      </c>
      <c r="I353">
        <v>19.60784314</v>
      </c>
      <c r="J353">
        <v>19.60784314</v>
      </c>
    </row>
    <row r="354" spans="1:10" x14ac:dyDescent="0.3">
      <c r="A354" t="str" cm="1">
        <f t="array" ref="A354">IF(ROW()&lt;=COUNTA(Sheet1!A:A), INDEX(Sheet1!A:A, ROW()),
INDEX(Sheet4!A:A, ROW()-COUNTA(Sheet1!A:A)))</f>
        <v>Al22Cr27.4Fe37Co6Ni7.7</v>
      </c>
      <c r="B354" s="10">
        <f>_xlfn.XLOOKUP(A354, Sheet4!A:A, Sheet4!C:C)</f>
        <v>0</v>
      </c>
      <c r="C354" s="10">
        <v>-1</v>
      </c>
      <c r="D354" s="10">
        <f>_xlfn.XLOOKUP(A354, Sheet2!A:A, Sheet2!B:B)</f>
        <v>6.5674000000000001</v>
      </c>
      <c r="E354" s="10">
        <f>_xlfn.XLOOKUP(A354, Sheet1!A:A, Sheet1!G:G)</f>
        <v>-1</v>
      </c>
      <c r="F354" s="10">
        <f t="shared" si="5"/>
        <v>-1</v>
      </c>
      <c r="G354" cm="1">
        <f t="array" ref="G354:J354">_xlfn.XLOOKUP(A354, Sheet1!A:A, Sheet1!C:F)</f>
        <v>8.6041000000000007</v>
      </c>
      <c r="H354">
        <v>26.981999999999999</v>
      </c>
      <c r="I354">
        <v>33.912999999999997</v>
      </c>
      <c r="J354">
        <v>8.9265000000000008</v>
      </c>
    </row>
    <row r="355" spans="1:10" x14ac:dyDescent="0.3">
      <c r="A355" t="str" cm="1">
        <f t="array" ref="A355">IF(ROW()&lt;=COUNTA(Sheet1!A:A), INDEX(Sheet1!A:A, ROW()),
INDEX(Sheet4!A:A, ROW()-COUNTA(Sheet1!A:A)))</f>
        <v>Al21.983Cr23.021Fe31.344Co10.364Ni13.288</v>
      </c>
      <c r="B355" s="10">
        <f>_xlfn.XLOOKUP(A355, Sheet4!A:A, Sheet4!C:C)</f>
        <v>0</v>
      </c>
      <c r="C355" s="10">
        <v>-1</v>
      </c>
      <c r="D355" s="10">
        <f>_xlfn.XLOOKUP(A355, Sheet2!A:A, Sheet2!B:B)</f>
        <v>6.8098000000000001</v>
      </c>
      <c r="E355" s="10">
        <f>_xlfn.XLOOKUP(A355, Sheet1!A:A, Sheet1!G:G)</f>
        <v>-1</v>
      </c>
      <c r="F355" s="10">
        <f t="shared" si="5"/>
        <v>-1</v>
      </c>
      <c r="G355" cm="1">
        <f t="array" ref="G355:J355">_xlfn.XLOOKUP(A355, Sheet1!A:A, Sheet1!C:F)</f>
        <v>8.6</v>
      </c>
      <c r="H355">
        <v>27</v>
      </c>
      <c r="I355">
        <v>33.9</v>
      </c>
      <c r="J355">
        <v>8.9</v>
      </c>
    </row>
    <row r="356" spans="1:10" x14ac:dyDescent="0.3">
      <c r="A356" t="str" cm="1">
        <f t="array" ref="A356">IF(ROW()&lt;=COUNTA(Sheet1!A:A), INDEX(Sheet1!A:A, ROW()),
INDEX(Sheet4!A:A, ROW()-COUNTA(Sheet1!A:A)))</f>
        <v>Al22Cr23Fe31.3Co10.4Ni13.3</v>
      </c>
      <c r="B356" s="10">
        <f>_xlfn.XLOOKUP(A356, Sheet4!A:A, Sheet4!C:C)</f>
        <v>0</v>
      </c>
      <c r="C356" s="10">
        <v>-1</v>
      </c>
      <c r="D356" s="10">
        <f>_xlfn.XLOOKUP(A356, Sheet2!A:A, Sheet2!B:B)</f>
        <v>6.81</v>
      </c>
      <c r="E356" s="10">
        <f>_xlfn.XLOOKUP(A356, Sheet1!A:A, Sheet1!G:G)</f>
        <v>-1</v>
      </c>
      <c r="F356" s="10">
        <f t="shared" si="5"/>
        <v>-1</v>
      </c>
      <c r="G356" cm="1">
        <f t="array" ref="G356:J356">_xlfn.XLOOKUP(A356, Sheet1!A:A, Sheet1!C:F)</f>
        <v>21.739130429999999</v>
      </c>
      <c r="H356">
        <v>21.739130429999999</v>
      </c>
      <c r="I356">
        <v>21.739130429999999</v>
      </c>
      <c r="J356">
        <v>13.043478260000001</v>
      </c>
    </row>
    <row r="357" spans="1:10" x14ac:dyDescent="0.3">
      <c r="A357" t="str" cm="1">
        <f t="array" ref="A357">IF(ROW()&lt;=COUNTA(Sheet1!A:A), INDEX(Sheet1!A:A, ROW()),
INDEX(Sheet4!A:A, ROW()-COUNTA(Sheet1!A:A)))</f>
        <v>Al22.1Cr28.8Fe27.1Co10.6Ni11.4</v>
      </c>
      <c r="B357" s="10">
        <f>_xlfn.XLOOKUP(A357, Sheet4!A:A, Sheet4!C:C)</f>
        <v>0</v>
      </c>
      <c r="C357" s="10">
        <v>-1</v>
      </c>
      <c r="D357" s="10">
        <f>_xlfn.XLOOKUP(A357, Sheet2!A:A, Sheet2!B:B)</f>
        <v>6.6529999999999996</v>
      </c>
      <c r="E357" s="10">
        <f>_xlfn.XLOOKUP(A357, Sheet1!A:A, Sheet1!G:G)</f>
        <v>-1</v>
      </c>
      <c r="F357" s="10">
        <f t="shared" si="5"/>
        <v>-1</v>
      </c>
      <c r="G357" cm="1">
        <f t="array" ref="G357:J357">_xlfn.XLOOKUP(A357, Sheet1!A:A, Sheet1!C:F)</f>
        <v>16.495999999999999</v>
      </c>
      <c r="H357">
        <v>28.393999999999998</v>
      </c>
      <c r="I357">
        <v>16.055</v>
      </c>
      <c r="J357">
        <v>17.298999999999999</v>
      </c>
    </row>
    <row r="358" spans="1:10" x14ac:dyDescent="0.3">
      <c r="A358" t="str" cm="1">
        <f t="array" ref="A358">IF(ROW()&lt;=COUNTA(Sheet1!A:A), INDEX(Sheet1!A:A, ROW()),
INDEX(Sheet4!A:A, ROW()-COUNTA(Sheet1!A:A)))</f>
        <v>Al22.1Cr28.9Fe13.7Co17.3Ni18</v>
      </c>
      <c r="B358" s="10">
        <f>_xlfn.XLOOKUP(A358, Sheet4!A:A, Sheet4!C:C)</f>
        <v>0</v>
      </c>
      <c r="C358" s="10">
        <v>-1</v>
      </c>
      <c r="D358" s="10">
        <f>_xlfn.XLOOKUP(A358, Sheet2!A:A, Sheet2!B:B)</f>
        <v>6.85</v>
      </c>
      <c r="E358" s="10">
        <f>_xlfn.XLOOKUP(A358, Sheet1!A:A, Sheet1!G:G)</f>
        <v>-1</v>
      </c>
      <c r="F358" s="10">
        <f t="shared" si="5"/>
        <v>-1</v>
      </c>
      <c r="G358" cm="1">
        <f t="array" ref="G358:J358">_xlfn.XLOOKUP(A358, Sheet1!A:A, Sheet1!C:F)</f>
        <v>16.5</v>
      </c>
      <c r="H358">
        <v>28.4</v>
      </c>
      <c r="I358">
        <v>16.100000000000001</v>
      </c>
      <c r="J358">
        <v>17.3</v>
      </c>
    </row>
    <row r="359" spans="1:10" x14ac:dyDescent="0.3">
      <c r="A359" t="str" cm="1">
        <f t="array" ref="A359">IF(ROW()&lt;=COUNTA(Sheet1!A:A), INDEX(Sheet1!A:A, ROW()),
INDEX(Sheet4!A:A, ROW()-COUNTA(Sheet1!A:A)))</f>
        <v>Al22.103Cr28.93Fe13.681Co17.262Ni18.024</v>
      </c>
      <c r="B359" s="10">
        <f>_xlfn.XLOOKUP(A359, Sheet4!A:A, Sheet4!C:C)</f>
        <v>0</v>
      </c>
      <c r="C359" s="10">
        <v>-1</v>
      </c>
      <c r="D359" s="10">
        <f>_xlfn.XLOOKUP(A359, Sheet2!A:A, Sheet2!B:B)</f>
        <v>6.8493000000000004</v>
      </c>
      <c r="E359" s="10">
        <f>_xlfn.XLOOKUP(A359, Sheet1!A:A, Sheet1!G:G)</f>
        <v>-1</v>
      </c>
      <c r="F359" s="10">
        <f t="shared" si="5"/>
        <v>-1</v>
      </c>
      <c r="G359" cm="1">
        <f t="array" ref="G359:J359">_xlfn.XLOOKUP(A359, Sheet1!A:A, Sheet1!C:F)</f>
        <v>19.53125</v>
      </c>
      <c r="H359">
        <v>19.53125</v>
      </c>
      <c r="I359">
        <v>19.53125</v>
      </c>
      <c r="J359">
        <v>19.53125</v>
      </c>
    </row>
    <row r="360" spans="1:10" x14ac:dyDescent="0.3">
      <c r="A360" t="str" cm="1">
        <f t="array" ref="A360">IF(ROW()&lt;=COUNTA(Sheet1!A:A), INDEX(Sheet1!A:A, ROW()),
INDEX(Sheet4!A:A, ROW()-COUNTA(Sheet1!A:A)))</f>
        <v>Al22.132Cr28.777Fe27.106Co10.563Ni11.422</v>
      </c>
      <c r="B360" s="10">
        <f>_xlfn.XLOOKUP(A360, Sheet4!A:A, Sheet4!C:C)</f>
        <v>0</v>
      </c>
      <c r="C360" s="10">
        <v>-1</v>
      </c>
      <c r="D360" s="10">
        <f>_xlfn.XLOOKUP(A360, Sheet2!A:A, Sheet2!B:B)</f>
        <v>6.6519000000000004</v>
      </c>
      <c r="E360" s="10">
        <f>_xlfn.XLOOKUP(A360, Sheet1!A:A, Sheet1!G:G)</f>
        <v>-1</v>
      </c>
      <c r="F360" s="10">
        <f t="shared" si="5"/>
        <v>-1</v>
      </c>
      <c r="G360" cm="1">
        <f t="array" ref="G360:J360">_xlfn.XLOOKUP(A360, Sheet1!A:A, Sheet1!C:F)</f>
        <v>19.53</v>
      </c>
      <c r="H360">
        <v>19.53</v>
      </c>
      <c r="I360">
        <v>19.53</v>
      </c>
      <c r="J360">
        <v>19.53</v>
      </c>
    </row>
    <row r="361" spans="1:10" x14ac:dyDescent="0.3">
      <c r="A361" t="str" cm="1">
        <f t="array" ref="A361">IF(ROW()&lt;=COUNTA(Sheet1!A:A), INDEX(Sheet1!A:A, ROW()),
INDEX(Sheet4!A:A, ROW()-COUNTA(Sheet1!A:A)))</f>
        <v>Al22.2Cr15.8Fe21.1Co17.9Ni23</v>
      </c>
      <c r="B361" s="10">
        <f>_xlfn.XLOOKUP(A361, Sheet4!A:A, Sheet4!C:C)</f>
        <v>0</v>
      </c>
      <c r="C361" s="10">
        <v>-1</v>
      </c>
      <c r="D361" s="10">
        <f>_xlfn.XLOOKUP(A361, Sheet2!A:A, Sheet2!B:B)</f>
        <v>7.2130000000000001</v>
      </c>
      <c r="E361" s="10">
        <f>_xlfn.XLOOKUP(A361, Sheet1!A:A, Sheet1!G:G)</f>
        <v>-1</v>
      </c>
      <c r="F361" s="10">
        <f t="shared" si="5"/>
        <v>-1</v>
      </c>
      <c r="G361" cm="1">
        <f t="array" ref="G361:J361">_xlfn.XLOOKUP(A361, Sheet1!A:A, Sheet1!C:F)</f>
        <v>5.9782999999999999</v>
      </c>
      <c r="H361">
        <v>27.350999999999999</v>
      </c>
      <c r="I361">
        <v>36.993000000000002</v>
      </c>
      <c r="J361">
        <v>7.7256999999999998</v>
      </c>
    </row>
    <row r="362" spans="1:10" x14ac:dyDescent="0.3">
      <c r="A362" t="str" cm="1">
        <f t="array" ref="A362">IF(ROW()&lt;=COUNTA(Sheet1!A:A), INDEX(Sheet1!A:A, ROW()),
INDEX(Sheet4!A:A, ROW()-COUNTA(Sheet1!A:A)))</f>
        <v>AlCoCr0.5FeNi</v>
      </c>
      <c r="B362" s="10" t="str">
        <f>_xlfn.XLOOKUP(A362, Sheet4!A:A, Sheet4!C:C)</f>
        <v>FCC+BCC</v>
      </c>
      <c r="C362" s="10">
        <v>-1</v>
      </c>
      <c r="D362" s="10">
        <f>_xlfn.XLOOKUP(A362, Sheet2!A:A, Sheet2!B:B)</f>
        <v>7.3333000000000004</v>
      </c>
      <c r="E362" s="10">
        <f>_xlfn.XLOOKUP(A362, Sheet1!A:A, Sheet1!G:G)</f>
        <v>-1</v>
      </c>
      <c r="F362" s="10">
        <f t="shared" si="5"/>
        <v>-1</v>
      </c>
      <c r="G362" cm="1">
        <f t="array" ref="G362:J362">_xlfn.XLOOKUP(A362, Sheet1!A:A, Sheet1!C:F)</f>
        <v>21.978021980000001</v>
      </c>
      <c r="H362">
        <v>21.978021980000001</v>
      </c>
      <c r="I362">
        <v>21.978021980000001</v>
      </c>
      <c r="J362">
        <v>12.08791209</v>
      </c>
    </row>
    <row r="363" spans="1:10" x14ac:dyDescent="0.3">
      <c r="A363" t="str" cm="1">
        <f t="array" ref="A363">IF(ROW()&lt;=COUNTA(Sheet1!A:A), INDEX(Sheet1!A:A, ROW()),
INDEX(Sheet4!A:A, ROW()-COUNTA(Sheet1!A:A)))</f>
        <v>AlCoCrFeNi0.5</v>
      </c>
      <c r="B363" s="10">
        <f>_xlfn.XLOOKUP(A363, Sheet4!A:A, Sheet4!C:C)</f>
        <v>0</v>
      </c>
      <c r="C363" s="10">
        <v>-1</v>
      </c>
      <c r="D363" s="10">
        <f>_xlfn.XLOOKUP(A363, Sheet2!A:A, Sheet2!B:B)</f>
        <v>6.8888999999999996</v>
      </c>
      <c r="E363" s="10">
        <f>_xlfn.XLOOKUP(A363, Sheet1!A:A, Sheet1!G:G)</f>
        <v>-1</v>
      </c>
      <c r="F363" s="10">
        <f t="shared" si="5"/>
        <v>-1</v>
      </c>
      <c r="G363" cm="1">
        <f t="array" ref="G363:J363">_xlfn.XLOOKUP(A363, Sheet1!A:A, Sheet1!C:F)</f>
        <v>6</v>
      </c>
      <c r="H363">
        <v>27.4</v>
      </c>
      <c r="I363">
        <v>37</v>
      </c>
      <c r="J363">
        <v>7.7</v>
      </c>
    </row>
    <row r="364" spans="1:10" x14ac:dyDescent="0.3">
      <c r="A364" t="str" cm="1">
        <f t="array" ref="A364">IF(ROW()&lt;=COUNTA(Sheet1!A:A), INDEX(Sheet1!A:A, ROW()),
INDEX(Sheet4!A:A, ROW()-COUNTA(Sheet1!A:A)))</f>
        <v>Al22.224Cr15.806Fe21.132Co17.861Ni22.977</v>
      </c>
      <c r="B364" s="10">
        <f>_xlfn.XLOOKUP(A364, Sheet4!A:A, Sheet4!C:C)</f>
        <v>0</v>
      </c>
      <c r="C364" s="10">
        <v>-1</v>
      </c>
      <c r="D364" s="10">
        <f>_xlfn.XLOOKUP(A364, Sheet2!A:A, Sheet2!B:B)</f>
        <v>7.2107999999999999</v>
      </c>
      <c r="E364" s="10">
        <f>_xlfn.XLOOKUP(A364, Sheet1!A:A, Sheet1!G:G)</f>
        <v>-1</v>
      </c>
      <c r="F364" s="10">
        <f t="shared" si="5"/>
        <v>-1</v>
      </c>
      <c r="G364" cm="1">
        <f t="array" ref="G364:J364">_xlfn.XLOOKUP(A364, Sheet1!A:A, Sheet1!C:F)</f>
        <v>10.364000000000001</v>
      </c>
      <c r="H364">
        <v>23.021000000000001</v>
      </c>
      <c r="I364">
        <v>31.344000000000001</v>
      </c>
      <c r="J364">
        <v>13.288</v>
      </c>
    </row>
    <row r="365" spans="1:10" x14ac:dyDescent="0.3">
      <c r="A365" t="str" cm="1">
        <f t="array" ref="A365">IF(ROW()&lt;=COUNTA(Sheet1!A:A), INDEX(Sheet1!A:A, ROW()),
INDEX(Sheet4!A:A, ROW()-COUNTA(Sheet1!A:A)))</f>
        <v>Al22.3Cr17.4Fe23.1Co16.5Ni20.8</v>
      </c>
      <c r="B365" s="10">
        <f>_xlfn.XLOOKUP(A365, Sheet4!A:A, Sheet4!C:C)</f>
        <v>0</v>
      </c>
      <c r="C365" s="10">
        <v>-1</v>
      </c>
      <c r="D365" s="10">
        <f>_xlfn.XLOOKUP(A365, Sheet2!A:A, Sheet2!B:B)</f>
        <v>7.1189</v>
      </c>
      <c r="E365" s="10">
        <f>_xlfn.XLOOKUP(A365, Sheet1!A:A, Sheet1!G:G)</f>
        <v>-1</v>
      </c>
      <c r="F365" s="10">
        <f t="shared" si="5"/>
        <v>-1</v>
      </c>
      <c r="G365" cm="1">
        <f t="array" ref="G365:J365">_xlfn.XLOOKUP(A365, Sheet1!A:A, Sheet1!C:F)</f>
        <v>10.4</v>
      </c>
      <c r="H365">
        <v>23</v>
      </c>
      <c r="I365">
        <v>31.3</v>
      </c>
      <c r="J365">
        <v>13.3</v>
      </c>
    </row>
    <row r="366" spans="1:10" x14ac:dyDescent="0.3">
      <c r="A366" t="str" cm="1">
        <f t="array" ref="A366">IF(ROW()&lt;=COUNTA(Sheet1!A:A), INDEX(Sheet1!A:A, ROW()),
INDEX(Sheet4!A:A, ROW()-COUNTA(Sheet1!A:A)))</f>
        <v>Al22.284Cr17.373Fe23.092Co16.485Ni20.766</v>
      </c>
      <c r="B366" s="10">
        <f>_xlfn.XLOOKUP(A366, Sheet4!A:A, Sheet4!C:C)</f>
        <v>0</v>
      </c>
      <c r="C366" s="10">
        <v>-1</v>
      </c>
      <c r="D366" s="10">
        <f>_xlfn.XLOOKUP(A366, Sheet2!A:A, Sheet2!B:B)</f>
        <v>7.1185</v>
      </c>
      <c r="E366" s="10">
        <f>_xlfn.XLOOKUP(A366, Sheet1!A:A, Sheet1!G:G)</f>
        <v>-1</v>
      </c>
      <c r="F366" s="10">
        <f t="shared" si="5"/>
        <v>-1</v>
      </c>
      <c r="G366" cm="1">
        <f t="array" ref="G366:J366">_xlfn.XLOOKUP(A366, Sheet1!A:A, Sheet1!C:F)</f>
        <v>10.6</v>
      </c>
      <c r="H366">
        <v>28.8</v>
      </c>
      <c r="I366">
        <v>27.1</v>
      </c>
      <c r="J366">
        <v>11.4</v>
      </c>
    </row>
    <row r="367" spans="1:10" x14ac:dyDescent="0.3">
      <c r="A367" t="str" cm="1">
        <f t="array" ref="A367">IF(ROW()&lt;=COUNTA(Sheet1!A:A), INDEX(Sheet1!A:A, ROW()),
INDEX(Sheet4!A:A, ROW()-COUNTA(Sheet1!A:A)))</f>
        <v>Al22.376Cr29.495Fe11.632Co17.776Ni18.721</v>
      </c>
      <c r="B367" s="10">
        <f>_xlfn.XLOOKUP(A367, Sheet4!A:A, Sheet4!C:C)</f>
        <v>0</v>
      </c>
      <c r="C367" s="10">
        <v>-1</v>
      </c>
      <c r="D367" s="10">
        <f>_xlfn.XLOOKUP(A367, Sheet2!A:A, Sheet2!B:B)</f>
        <v>6.8434999999999997</v>
      </c>
      <c r="E367" s="10">
        <f>_xlfn.XLOOKUP(A367, Sheet1!A:A, Sheet1!G:G)</f>
        <v>-1</v>
      </c>
      <c r="F367" s="10">
        <f t="shared" si="5"/>
        <v>-1</v>
      </c>
      <c r="G367" cm="1">
        <f t="array" ref="G367:J367">_xlfn.XLOOKUP(A367, Sheet1!A:A, Sheet1!C:F)</f>
        <v>17.3</v>
      </c>
      <c r="H367">
        <v>28.9</v>
      </c>
      <c r="I367">
        <v>13.7</v>
      </c>
      <c r="J367">
        <v>18</v>
      </c>
    </row>
    <row r="368" spans="1:10" x14ac:dyDescent="0.3">
      <c r="A368" t="str" cm="1">
        <f t="array" ref="A368">IF(ROW()&lt;=COUNTA(Sheet1!A:A), INDEX(Sheet1!A:A, ROW()),
INDEX(Sheet4!A:A, ROW()-COUNTA(Sheet1!A:A)))</f>
        <v>Al22.4Cr29Fe21.2Co13.1Ni14.3</v>
      </c>
      <c r="B368" s="10">
        <f>_xlfn.XLOOKUP(A368, Sheet4!A:A, Sheet4!C:C)</f>
        <v>0</v>
      </c>
      <c r="C368" s="10">
        <v>-1</v>
      </c>
      <c r="D368" s="10">
        <f>_xlfn.XLOOKUP(A368, Sheet2!A:A, Sheet2!B:B)</f>
        <v>6.7169999999999996</v>
      </c>
      <c r="E368" s="10">
        <f>_xlfn.XLOOKUP(A368, Sheet1!A:A, Sheet1!G:G)</f>
        <v>-1</v>
      </c>
      <c r="F368" s="10">
        <f t="shared" si="5"/>
        <v>-1</v>
      </c>
      <c r="G368" cm="1">
        <f t="array" ref="G368:J368">_xlfn.XLOOKUP(A368, Sheet1!A:A, Sheet1!C:F)</f>
        <v>17.262</v>
      </c>
      <c r="H368">
        <v>28.93</v>
      </c>
      <c r="I368">
        <v>13.680999999999999</v>
      </c>
      <c r="J368">
        <v>18.024000000000001</v>
      </c>
    </row>
    <row r="369" spans="1:10" x14ac:dyDescent="0.3">
      <c r="A369" t="str" cm="1">
        <f t="array" ref="A369">IF(ROW()&lt;=COUNTA(Sheet1!A:A), INDEX(Sheet1!A:A, ROW()),
INDEX(Sheet4!A:A, ROW()-COUNTA(Sheet1!A:A)))</f>
        <v>Al22.4Cr29.5Fe11.6Co17.8Ni18.7</v>
      </c>
      <c r="B369" s="10">
        <f>_xlfn.XLOOKUP(A369, Sheet4!A:A, Sheet4!C:C)</f>
        <v>0</v>
      </c>
      <c r="C369" s="10">
        <v>-1</v>
      </c>
      <c r="D369" s="10">
        <f>_xlfn.XLOOKUP(A369, Sheet2!A:A, Sheet2!B:B)</f>
        <v>6.8419999999999996</v>
      </c>
      <c r="E369" s="10">
        <f>_xlfn.XLOOKUP(A369, Sheet1!A:A, Sheet1!G:G)</f>
        <v>-1</v>
      </c>
      <c r="F369" s="10">
        <f t="shared" si="5"/>
        <v>-1</v>
      </c>
      <c r="G369" cm="1">
        <f t="array" ref="G369:J369">_xlfn.XLOOKUP(A369, Sheet1!A:A, Sheet1!C:F)</f>
        <v>10.563000000000001</v>
      </c>
      <c r="H369">
        <v>28.777000000000001</v>
      </c>
      <c r="I369">
        <v>27.106000000000002</v>
      </c>
      <c r="J369">
        <v>11.422000000000001</v>
      </c>
    </row>
    <row r="370" spans="1:10" x14ac:dyDescent="0.3">
      <c r="A370" t="str" cm="1">
        <f t="array" ref="A370">IF(ROW()&lt;=COUNTA(Sheet1!A:A), INDEX(Sheet1!A:A, ROW()),
INDEX(Sheet4!A:A, ROW()-COUNTA(Sheet1!A:A)))</f>
        <v>Al22.4Cr29.8Fe10Co18.4Ni19.4</v>
      </c>
      <c r="B370" s="10">
        <f>_xlfn.XLOOKUP(A370, Sheet4!A:A, Sheet4!C:C)</f>
        <v>0</v>
      </c>
      <c r="C370" s="10">
        <v>-1</v>
      </c>
      <c r="D370" s="10">
        <f>_xlfn.XLOOKUP(A370, Sheet2!A:A, Sheet2!B:B)</f>
        <v>6.8559999999999999</v>
      </c>
      <c r="E370" s="10">
        <f>_xlfn.XLOOKUP(A370, Sheet1!A:A, Sheet1!G:G)</f>
        <v>-1</v>
      </c>
      <c r="F370" s="10">
        <f t="shared" si="5"/>
        <v>-1</v>
      </c>
      <c r="G370" cm="1">
        <f t="array" ref="G370:J370">_xlfn.XLOOKUP(A370, Sheet1!A:A, Sheet1!C:F)</f>
        <v>17.899999999999999</v>
      </c>
      <c r="H370">
        <v>15.8</v>
      </c>
      <c r="I370">
        <v>21.1</v>
      </c>
      <c r="J370">
        <v>23</v>
      </c>
    </row>
    <row r="371" spans="1:10" x14ac:dyDescent="0.3">
      <c r="A371" t="str" cm="1">
        <f t="array" ref="A371">IF(ROW()&lt;=COUNTA(Sheet1!A:A), INDEX(Sheet1!A:A, ROW()),
INDEX(Sheet4!A:A, ROW()-COUNTA(Sheet1!A:A)))</f>
        <v>Al22.411Cr29.802Fe10.038Co18.398Ni19.351</v>
      </c>
      <c r="B371" s="10">
        <f>_xlfn.XLOOKUP(A371, Sheet4!A:A, Sheet4!C:C)</f>
        <v>0</v>
      </c>
      <c r="C371" s="10">
        <v>-1</v>
      </c>
      <c r="D371" s="10">
        <f>_xlfn.XLOOKUP(A371, Sheet2!A:A, Sheet2!B:B)</f>
        <v>6.8544</v>
      </c>
      <c r="E371" s="10">
        <f>_xlfn.XLOOKUP(A371, Sheet1!A:A, Sheet1!G:G)</f>
        <v>-1</v>
      </c>
      <c r="F371" s="10">
        <f t="shared" si="5"/>
        <v>-1</v>
      </c>
      <c r="G371" cm="1">
        <f t="array" ref="G371:J371">_xlfn.XLOOKUP(A371, Sheet1!A:A, Sheet1!C:F)</f>
        <v>22.222222219999999</v>
      </c>
      <c r="H371">
        <v>11.11111111</v>
      </c>
      <c r="I371">
        <v>22.222222219999999</v>
      </c>
      <c r="J371">
        <v>22.222222219999999</v>
      </c>
    </row>
    <row r="372" spans="1:10" x14ac:dyDescent="0.3">
      <c r="A372" t="str" cm="1">
        <f t="array" ref="A372">IF(ROW()&lt;=COUNTA(Sheet1!A:A), INDEX(Sheet1!A:A, ROW()),
INDEX(Sheet4!A:A, ROW()-COUNTA(Sheet1!A:A)))</f>
        <v>Al22.418Cr28.982Fe21.178Co13.115Ni14.307</v>
      </c>
      <c r="B372" s="10">
        <f>_xlfn.XLOOKUP(A372, Sheet4!A:A, Sheet4!C:C)</f>
        <v>0</v>
      </c>
      <c r="C372" s="10">
        <v>-1</v>
      </c>
      <c r="D372" s="10">
        <f>_xlfn.XLOOKUP(A372, Sheet2!A:A, Sheet2!B:B)</f>
        <v>6.7167000000000003</v>
      </c>
      <c r="E372" s="10">
        <f>_xlfn.XLOOKUP(A372, Sheet1!A:A, Sheet1!G:G)</f>
        <v>-1</v>
      </c>
      <c r="F372" s="10">
        <f t="shared" si="5"/>
        <v>-1</v>
      </c>
      <c r="G372" cm="1">
        <f t="array" ref="G372:J372">_xlfn.XLOOKUP(A372, Sheet1!A:A, Sheet1!C:F)</f>
        <v>22.222222219999999</v>
      </c>
      <c r="H372">
        <v>22.222222219999999</v>
      </c>
      <c r="I372">
        <v>22.222222219999999</v>
      </c>
      <c r="J372">
        <v>11.11111111</v>
      </c>
    </row>
    <row r="373" spans="1:10" x14ac:dyDescent="0.3">
      <c r="A373" t="str" cm="1">
        <f t="array" ref="A373">IF(ROW()&lt;=COUNTA(Sheet1!A:A), INDEX(Sheet1!A:A, ROW()),
INDEX(Sheet4!A:A, ROW()-COUNTA(Sheet1!A:A)))</f>
        <v>AlCoCrFeNi0.45</v>
      </c>
      <c r="B373" s="10">
        <f>_xlfn.XLOOKUP(A373, Sheet4!A:A, Sheet4!C:C)</f>
        <v>0</v>
      </c>
      <c r="C373" s="10">
        <v>-1</v>
      </c>
      <c r="D373" s="10">
        <f>_xlfn.XLOOKUP(A373, Sheet2!A:A, Sheet2!B:B)</f>
        <v>6.8539000000000003</v>
      </c>
      <c r="E373" s="10">
        <f>_xlfn.XLOOKUP(A373, Sheet1!A:A, Sheet1!G:G)</f>
        <v>-1</v>
      </c>
      <c r="F373" s="10">
        <f t="shared" si="5"/>
        <v>-1</v>
      </c>
      <c r="G373" cm="1">
        <f t="array" ref="G373:J373">_xlfn.XLOOKUP(A373, Sheet1!A:A, Sheet1!C:F)</f>
        <v>17.861000000000001</v>
      </c>
      <c r="H373">
        <v>15.805999999999999</v>
      </c>
      <c r="I373">
        <v>21.132000000000001</v>
      </c>
      <c r="J373">
        <v>22.977</v>
      </c>
    </row>
    <row r="374" spans="1:10" x14ac:dyDescent="0.3">
      <c r="A374" t="str" cm="1">
        <f t="array" ref="A374">IF(ROW()&lt;=COUNTA(Sheet1!A:A), INDEX(Sheet1!A:A, ROW()),
INDEX(Sheet4!A:A, ROW()-COUNTA(Sheet1!A:A)))</f>
        <v>Al1.17CoCrFeNi</v>
      </c>
      <c r="B374" s="10" t="str">
        <f>_xlfn.XLOOKUP(A374, Sheet4!A:A, Sheet4!C:C)</f>
        <v>BCC</v>
      </c>
      <c r="C374" s="10">
        <v>0</v>
      </c>
      <c r="D374" s="10">
        <f>_xlfn.XLOOKUP(A374, Sheet2!A:A, Sheet2!B:B)</f>
        <v>7.0618999999999996</v>
      </c>
      <c r="E374" s="10">
        <f>_xlfn.XLOOKUP(A374, Sheet1!A:A, Sheet1!G:G)</f>
        <v>-1</v>
      </c>
      <c r="F374" s="10">
        <f t="shared" si="5"/>
        <v>0</v>
      </c>
      <c r="G374" cm="1">
        <f t="array" ref="G374:J374">_xlfn.XLOOKUP(A374, Sheet1!A:A, Sheet1!C:F)</f>
        <v>16.5</v>
      </c>
      <c r="H374">
        <v>17.399999999999999</v>
      </c>
      <c r="I374">
        <v>23.1</v>
      </c>
      <c r="J374">
        <v>20.8</v>
      </c>
    </row>
    <row r="375" spans="1:10" x14ac:dyDescent="0.3">
      <c r="A375" t="str" cm="1">
        <f t="array" ref="A375">IF(ROW()&lt;=COUNTA(Sheet1!A:A), INDEX(Sheet1!A:A, ROW()),
INDEX(Sheet4!A:A, ROW()-COUNTA(Sheet1!A:A)))</f>
        <v>Al22.699Cr14.274Fe18.748Co19.392Ni24.887</v>
      </c>
      <c r="B375" s="10">
        <f>_xlfn.XLOOKUP(A375, Sheet4!A:A, Sheet4!C:C)</f>
        <v>0</v>
      </c>
      <c r="C375" s="10">
        <v>-1</v>
      </c>
      <c r="D375" s="10">
        <f>_xlfn.XLOOKUP(A375, Sheet2!A:A, Sheet2!B:B)</f>
        <v>7.2712000000000003</v>
      </c>
      <c r="E375" s="10">
        <f>_xlfn.XLOOKUP(A375, Sheet1!A:A, Sheet1!G:G)</f>
        <v>-1</v>
      </c>
      <c r="F375" s="10">
        <f t="shared" si="5"/>
        <v>-1</v>
      </c>
      <c r="G375" cm="1">
        <f t="array" ref="G375:J375">_xlfn.XLOOKUP(A375, Sheet1!A:A, Sheet1!C:F)</f>
        <v>16.484999999999999</v>
      </c>
      <c r="H375">
        <v>17.373000000000001</v>
      </c>
      <c r="I375">
        <v>23.091999999999999</v>
      </c>
      <c r="J375">
        <v>20.765999999999998</v>
      </c>
    </row>
    <row r="376" spans="1:10" x14ac:dyDescent="0.3">
      <c r="A376" t="str" cm="1">
        <f t="array" ref="A376">IF(ROW()&lt;=COUNTA(Sheet1!A:A), INDEX(Sheet1!A:A, ROW()),
INDEX(Sheet4!A:A, ROW()-COUNTA(Sheet1!A:A)))</f>
        <v>Al22.7Cr14.3Fe18.7Co19.4Ni24.9</v>
      </c>
      <c r="B376" s="10">
        <f>_xlfn.XLOOKUP(A376, Sheet4!A:A, Sheet4!C:C)</f>
        <v>0</v>
      </c>
      <c r="C376" s="10">
        <v>-1</v>
      </c>
      <c r="D376" s="10">
        <f>_xlfn.XLOOKUP(A376, Sheet2!A:A, Sheet2!B:B)</f>
        <v>7.2709999999999999</v>
      </c>
      <c r="E376" s="10">
        <f>_xlfn.XLOOKUP(A376, Sheet1!A:A, Sheet1!G:G)</f>
        <v>-1</v>
      </c>
      <c r="F376" s="10">
        <f t="shared" si="5"/>
        <v>-1</v>
      </c>
      <c r="G376" cm="1">
        <f t="array" ref="G376:J376">_xlfn.XLOOKUP(A376, Sheet1!A:A, Sheet1!C:F)</f>
        <v>17.776</v>
      </c>
      <c r="H376">
        <v>29.495000000000001</v>
      </c>
      <c r="I376">
        <v>11.632</v>
      </c>
      <c r="J376">
        <v>18.721</v>
      </c>
    </row>
    <row r="377" spans="1:10" x14ac:dyDescent="0.3">
      <c r="A377" t="str" cm="1">
        <f t="array" ref="A377">IF(ROW()&lt;=COUNTA(Sheet1!A:A), INDEX(Sheet1!A:A, ROW()),
INDEX(Sheet4!A:A, ROW()-COUNTA(Sheet1!A:A)))</f>
        <v>Al22.9Cr21.6Fe28.9Co11.7Ni14.9</v>
      </c>
      <c r="B377" s="10">
        <f>_xlfn.XLOOKUP(A377, Sheet4!A:A, Sheet4!C:C)</f>
        <v>0</v>
      </c>
      <c r="C377" s="10">
        <v>-1</v>
      </c>
      <c r="D377" s="10">
        <f>_xlfn.XLOOKUP(A377, Sheet2!A:A, Sheet2!B:B)</f>
        <v>6.8380000000000001</v>
      </c>
      <c r="E377" s="10">
        <f>_xlfn.XLOOKUP(A377, Sheet1!A:A, Sheet1!G:G)</f>
        <v>-1</v>
      </c>
      <c r="F377" s="10">
        <f t="shared" si="5"/>
        <v>-1</v>
      </c>
      <c r="G377" cm="1">
        <f t="array" ref="G377:J377">_xlfn.XLOOKUP(A377, Sheet1!A:A, Sheet1!C:F)</f>
        <v>13.1</v>
      </c>
      <c r="H377">
        <v>29</v>
      </c>
      <c r="I377">
        <v>21.2</v>
      </c>
      <c r="J377">
        <v>14.3</v>
      </c>
    </row>
    <row r="378" spans="1:10" x14ac:dyDescent="0.3">
      <c r="A378" t="str" cm="1">
        <f t="array" ref="A378">IF(ROW()&lt;=COUNTA(Sheet1!A:A), INDEX(Sheet1!A:A, ROW()),
INDEX(Sheet4!A:A, ROW()-COUNTA(Sheet1!A:A)))</f>
        <v>Al22.945Cr21.572Fe28.887Co11.687Ni14.908</v>
      </c>
      <c r="B378" s="10">
        <f>_xlfn.XLOOKUP(A378, Sheet4!A:A, Sheet4!C:C)</f>
        <v>0</v>
      </c>
      <c r="C378" s="10">
        <v>-1</v>
      </c>
      <c r="D378" s="10">
        <f>_xlfn.XLOOKUP(A378, Sheet2!A:A, Sheet2!B:B)</f>
        <v>6.8362999999999996</v>
      </c>
      <c r="E378" s="10">
        <f>_xlfn.XLOOKUP(A378, Sheet1!A:A, Sheet1!G:G)</f>
        <v>-1</v>
      </c>
      <c r="F378" s="10">
        <f t="shared" si="5"/>
        <v>-1</v>
      </c>
      <c r="G378" cm="1">
        <f t="array" ref="G378:J378">_xlfn.XLOOKUP(A378, Sheet1!A:A, Sheet1!C:F)</f>
        <v>17.8</v>
      </c>
      <c r="H378">
        <v>29.5</v>
      </c>
      <c r="I378">
        <v>11.6</v>
      </c>
      <c r="J378">
        <v>18.7</v>
      </c>
    </row>
    <row r="379" spans="1:10" x14ac:dyDescent="0.3">
      <c r="A379" t="str" cm="1">
        <f t="array" ref="A379">IF(ROW()&lt;=COUNTA(Sheet1!A:A), INDEX(Sheet1!A:A, ROW()),
INDEX(Sheet4!A:A, ROW()-COUNTA(Sheet1!A:A)))</f>
        <v>Al22.964Cr27.499Fe37.191Co5.3003Ni7.0456</v>
      </c>
      <c r="B379" s="10">
        <f>_xlfn.XLOOKUP(A379, Sheet4!A:A, Sheet4!C:C)</f>
        <v>0</v>
      </c>
      <c r="C379" s="10">
        <v>-1</v>
      </c>
      <c r="D379" s="10">
        <f>_xlfn.XLOOKUP(A379, Sheet2!A:A, Sheet2!B:B)</f>
        <v>6.4957000000000003</v>
      </c>
      <c r="E379" s="10">
        <f>_xlfn.XLOOKUP(A379, Sheet1!A:A, Sheet1!G:G)</f>
        <v>-1</v>
      </c>
      <c r="F379" s="10">
        <f t="shared" si="5"/>
        <v>-1</v>
      </c>
      <c r="G379" cm="1">
        <f t="array" ref="G379:J379">_xlfn.XLOOKUP(A379, Sheet1!A:A, Sheet1!C:F)</f>
        <v>18.399999999999999</v>
      </c>
      <c r="H379">
        <v>29.8</v>
      </c>
      <c r="I379">
        <v>10</v>
      </c>
      <c r="J379">
        <v>19.399999999999999</v>
      </c>
    </row>
    <row r="380" spans="1:10" x14ac:dyDescent="0.3">
      <c r="A380" t="str" cm="1">
        <f t="array" ref="A380">IF(ROW()&lt;=COUNTA(Sheet1!A:A), INDEX(Sheet1!A:A, ROW()),
INDEX(Sheet4!A:A, ROW()-COUNTA(Sheet1!A:A)))</f>
        <v>Al23Cr27.5Fe37.2Co5.3Ni7</v>
      </c>
      <c r="B380" s="10">
        <f>_xlfn.XLOOKUP(A380, Sheet4!A:A, Sheet4!C:C)</f>
        <v>0</v>
      </c>
      <c r="C380" s="10">
        <v>-1</v>
      </c>
      <c r="D380" s="10">
        <f>_xlfn.XLOOKUP(A380, Sheet2!A:A, Sheet2!B:B)</f>
        <v>6.4930000000000003</v>
      </c>
      <c r="E380" s="10">
        <f>_xlfn.XLOOKUP(A380, Sheet1!A:A, Sheet1!G:G)</f>
        <v>-1</v>
      </c>
      <c r="F380" s="10">
        <f t="shared" si="5"/>
        <v>-1</v>
      </c>
      <c r="G380" cm="1">
        <f t="array" ref="G380:J380">_xlfn.XLOOKUP(A380, Sheet1!A:A, Sheet1!C:F)</f>
        <v>18.398</v>
      </c>
      <c r="H380">
        <v>29.802</v>
      </c>
      <c r="I380">
        <v>10.038</v>
      </c>
      <c r="J380">
        <v>19.350999999999999</v>
      </c>
    </row>
    <row r="381" spans="1:10" x14ac:dyDescent="0.3">
      <c r="A381" t="str" cm="1">
        <f t="array" ref="A381">IF(ROW()&lt;=COUNTA(Sheet1!A:A), INDEX(Sheet1!A:A, ROW()),
INDEX(Sheet4!A:A, ROW()-COUNTA(Sheet1!A:A)))</f>
        <v>Al1.2CoCrFeNi</v>
      </c>
      <c r="B381" s="10" t="str">
        <f>_xlfn.XLOOKUP(A381, Sheet4!A:A, Sheet4!C:C)</f>
        <v>BCC</v>
      </c>
      <c r="C381" s="10">
        <v>0</v>
      </c>
      <c r="D381" s="10">
        <f>_xlfn.XLOOKUP(A381, Sheet2!A:A, Sheet2!B:B)</f>
        <v>7.0385</v>
      </c>
      <c r="E381" s="10">
        <f>_xlfn.XLOOKUP(A381, Sheet1!A:A, Sheet1!G:G)</f>
        <v>-1</v>
      </c>
      <c r="F381" s="10">
        <f t="shared" si="5"/>
        <v>0</v>
      </c>
      <c r="G381" cm="1">
        <f t="array" ref="G381:J381">_xlfn.XLOOKUP(A381, Sheet1!A:A, Sheet1!C:F)</f>
        <v>13.115</v>
      </c>
      <c r="H381">
        <v>28.981999999999999</v>
      </c>
      <c r="I381">
        <v>21.178000000000001</v>
      </c>
      <c r="J381">
        <v>14.307</v>
      </c>
    </row>
    <row r="382" spans="1:10" x14ac:dyDescent="0.3">
      <c r="A382" t="str" cm="1">
        <f t="array" ref="A382">IF(ROW()&lt;=COUNTA(Sheet1!A:A), INDEX(Sheet1!A:A, ROW()),
INDEX(Sheet4!A:A, ROW()-COUNTA(Sheet1!A:A)))</f>
        <v>Al23.09Cr29.988Fe8.4699Co18.846Ni19.606</v>
      </c>
      <c r="B382" s="10">
        <f>_xlfn.XLOOKUP(A382, Sheet4!A:A, Sheet4!C:C)</f>
        <v>0</v>
      </c>
      <c r="C382" s="10">
        <v>-1</v>
      </c>
      <c r="D382" s="10">
        <f>_xlfn.XLOOKUP(A382, Sheet2!A:A, Sheet2!B:B)</f>
        <v>6.8262999999999998</v>
      </c>
      <c r="E382" s="10">
        <f>_xlfn.XLOOKUP(A382, Sheet1!A:A, Sheet1!G:G)</f>
        <v>-1</v>
      </c>
      <c r="F382" s="10">
        <f t="shared" si="5"/>
        <v>-1</v>
      </c>
      <c r="G382" cm="1">
        <f t="array" ref="G382:J382">_xlfn.XLOOKUP(A382, Sheet1!A:A, Sheet1!C:F)</f>
        <v>22.47191011</v>
      </c>
      <c r="H382">
        <v>22.47191011</v>
      </c>
      <c r="I382">
        <v>22.47191011</v>
      </c>
      <c r="J382">
        <v>10.112359550000001</v>
      </c>
    </row>
    <row r="383" spans="1:10" x14ac:dyDescent="0.3">
      <c r="A383" t="str" cm="1">
        <f t="array" ref="A383">IF(ROW()&lt;=COUNTA(Sheet1!A:A), INDEX(Sheet1!A:A, ROW()),
INDEX(Sheet4!A:A, ROW()-COUNTA(Sheet1!A:A)))</f>
        <v>Al23.095Cr30.354Fe23.435Co11.371Ni11.746</v>
      </c>
      <c r="B383" s="10">
        <f>_xlfn.XLOOKUP(A383, Sheet4!A:A, Sheet4!C:C)</f>
        <v>0</v>
      </c>
      <c r="C383" s="10">
        <v>-1</v>
      </c>
      <c r="D383" s="10">
        <f>_xlfn.XLOOKUP(A383, Sheet2!A:A, Sheet2!B:B)</f>
        <v>6.5868000000000002</v>
      </c>
      <c r="E383" s="10">
        <f>_xlfn.XLOOKUP(A383, Sheet1!A:A, Sheet1!G:G)</f>
        <v>-1</v>
      </c>
      <c r="F383" s="10">
        <f t="shared" si="5"/>
        <v>-1</v>
      </c>
      <c r="G383" cm="1">
        <f t="array" ref="G383:J383">_xlfn.XLOOKUP(A383, Sheet1!A:A, Sheet1!C:F)</f>
        <v>19.342359770000002</v>
      </c>
      <c r="H383">
        <v>19.342359770000002</v>
      </c>
      <c r="I383">
        <v>19.342359770000002</v>
      </c>
      <c r="J383">
        <v>19.342359770000002</v>
      </c>
    </row>
    <row r="384" spans="1:10" x14ac:dyDescent="0.3">
      <c r="A384" t="str" cm="1">
        <f t="array" ref="A384">IF(ROW()&lt;=COUNTA(Sheet1!A:A), INDEX(Sheet1!A:A, ROW()),
INDEX(Sheet4!A:A, ROW()-COUNTA(Sheet1!A:A)))</f>
        <v>Al23.1Cr30.4Fe23.4Co11.4Ni11.7</v>
      </c>
      <c r="B384" s="10">
        <f>_xlfn.XLOOKUP(A384, Sheet4!A:A, Sheet4!C:C)</f>
        <v>0</v>
      </c>
      <c r="C384" s="10">
        <v>-1</v>
      </c>
      <c r="D384" s="10">
        <f>_xlfn.XLOOKUP(A384, Sheet2!A:A, Sheet2!B:B)</f>
        <v>6.585</v>
      </c>
      <c r="E384" s="10">
        <f>_xlfn.XLOOKUP(A384, Sheet1!A:A, Sheet1!G:G)</f>
        <v>-1</v>
      </c>
      <c r="F384" s="10">
        <f t="shared" si="5"/>
        <v>-1</v>
      </c>
      <c r="G384" cm="1">
        <f t="array" ref="G384:J384">_xlfn.XLOOKUP(A384, Sheet1!A:A, Sheet1!C:F)</f>
        <v>19.391999999999999</v>
      </c>
      <c r="H384">
        <v>14.273999999999999</v>
      </c>
      <c r="I384">
        <v>18.748000000000001</v>
      </c>
      <c r="J384">
        <v>24.887</v>
      </c>
    </row>
    <row r="385" spans="1:10" x14ac:dyDescent="0.3">
      <c r="A385" t="str" cm="1">
        <f t="array" ref="A385">IF(ROW()&lt;=COUNTA(Sheet1!A:A), INDEX(Sheet1!A:A, ROW()),
INDEX(Sheet4!A:A, ROW()-COUNTA(Sheet1!A:A)))</f>
        <v>Al23.1Cr30Fe8.5Co18.8Ni19.6</v>
      </c>
      <c r="B385" s="10">
        <f>_xlfn.XLOOKUP(A385, Sheet4!A:A, Sheet4!C:C)</f>
        <v>0</v>
      </c>
      <c r="C385" s="10">
        <v>-1</v>
      </c>
      <c r="D385" s="10">
        <f>_xlfn.XLOOKUP(A385, Sheet2!A:A, Sheet2!B:B)</f>
        <v>6.8250000000000002</v>
      </c>
      <c r="E385" s="10">
        <f>_xlfn.XLOOKUP(A385, Sheet1!A:A, Sheet1!G:G)</f>
        <v>-1</v>
      </c>
      <c r="F385" s="10">
        <f t="shared" si="5"/>
        <v>-1</v>
      </c>
      <c r="G385" cm="1">
        <f t="array" ref="G385:J385">_xlfn.XLOOKUP(A385, Sheet1!A:A, Sheet1!C:F)</f>
        <v>19.399999999999999</v>
      </c>
      <c r="H385">
        <v>14.3</v>
      </c>
      <c r="I385">
        <v>18.7</v>
      </c>
      <c r="J385">
        <v>24.9</v>
      </c>
    </row>
    <row r="386" spans="1:10" x14ac:dyDescent="0.3">
      <c r="A386" t="str" cm="1">
        <f t="array" ref="A386">IF(ROW()&lt;=COUNTA(Sheet1!A:A), INDEX(Sheet1!A:A, ROW()),
INDEX(Sheet4!A:A, ROW()-COUNTA(Sheet1!A:A)))</f>
        <v>Al23.1Cr30.1Fe7.5Co19.3Ni19.9</v>
      </c>
      <c r="B386" s="10">
        <f>_xlfn.XLOOKUP(A386, Sheet4!A:A, Sheet4!C:C)</f>
        <v>0</v>
      </c>
      <c r="C386" s="10">
        <v>-1</v>
      </c>
      <c r="D386" s="10">
        <f>_xlfn.XLOOKUP(A386, Sheet2!A:A, Sheet2!B:B)</f>
        <v>6.8327999999999998</v>
      </c>
      <c r="E386" s="10">
        <f>_xlfn.XLOOKUP(A386, Sheet1!A:A, Sheet1!G:G)</f>
        <v>-1</v>
      </c>
      <c r="F386" s="10">
        <f t="shared" si="5"/>
        <v>-1</v>
      </c>
      <c r="G386" cm="1">
        <f t="array" ref="G386:J386">_xlfn.XLOOKUP(A386, Sheet1!A:A, Sheet1!C:F)</f>
        <v>11.7</v>
      </c>
      <c r="H386">
        <v>21.6</v>
      </c>
      <c r="I386">
        <v>28.9</v>
      </c>
      <c r="J386">
        <v>14.9</v>
      </c>
    </row>
    <row r="387" spans="1:10" x14ac:dyDescent="0.3">
      <c r="A387" t="str" cm="1">
        <f t="array" ref="A387">IF(ROW()&lt;=COUNTA(Sheet1!A:A), INDEX(Sheet1!A:A, ROW()),
INDEX(Sheet4!A:A, ROW()-COUNTA(Sheet1!A:A)))</f>
        <v>Al23.131Cr30.102Fe7.5073Co19.33Ni19.929</v>
      </c>
      <c r="B387" s="10">
        <f>_xlfn.XLOOKUP(A387, Sheet4!A:A, Sheet4!C:C)</f>
        <v>0</v>
      </c>
      <c r="C387" s="10">
        <v>-1</v>
      </c>
      <c r="D387" s="10">
        <f>_xlfn.XLOOKUP(A387, Sheet2!A:A, Sheet2!B:B)</f>
        <v>6.8333000000000004</v>
      </c>
      <c r="E387" s="10">
        <f>_xlfn.XLOOKUP(A387, Sheet1!A:A, Sheet1!G:G)</f>
        <v>-1</v>
      </c>
      <c r="F387" s="10">
        <f t="shared" ref="F387:F450" si="6">IF(OR(C387=1, E387=1), 1,
   IF(OR(C387=0, E387=0), 0,
      -1))</f>
        <v>-1</v>
      </c>
      <c r="G387" cm="1">
        <f t="array" ref="G387:J387">_xlfn.XLOOKUP(A387, Sheet1!A:A, Sheet1!C:F)</f>
        <v>11.686999999999999</v>
      </c>
      <c r="H387">
        <v>21.571999999999999</v>
      </c>
      <c r="I387">
        <v>28.887</v>
      </c>
      <c r="J387">
        <v>14.907999999999999</v>
      </c>
    </row>
    <row r="388" spans="1:10" x14ac:dyDescent="0.3">
      <c r="A388" t="str" cm="1">
        <f t="array" ref="A388">IF(ROW()&lt;=COUNTA(Sheet1!A:A), INDEX(Sheet1!A:A, ROW()),
INDEX(Sheet4!A:A, ROW()-COUNTA(Sheet1!A:A)))</f>
        <v>Al23.2Co19.2Cr19.2Fe19.2Ni19.2</v>
      </c>
      <c r="B388" s="10" t="str">
        <f>_xlfn.XLOOKUP(A388, Sheet4!A:A, Sheet4!C:C)</f>
        <v>BCC</v>
      </c>
      <c r="C388" s="10">
        <v>0</v>
      </c>
      <c r="D388" s="10">
        <f>_xlfn.XLOOKUP(A388, Sheet2!A:A, Sheet2!B:B)</f>
        <v>7.032</v>
      </c>
      <c r="E388" s="10">
        <f>_xlfn.XLOOKUP(A388, Sheet1!A:A, Sheet1!G:G)</f>
        <v>-1</v>
      </c>
      <c r="F388" s="10">
        <f t="shared" si="6"/>
        <v>0</v>
      </c>
      <c r="G388" cm="1">
        <f t="array" ref="G388:J388">_xlfn.XLOOKUP(A388, Sheet1!A:A, Sheet1!C:F)</f>
        <v>5.3003</v>
      </c>
      <c r="H388">
        <v>27.498999999999999</v>
      </c>
      <c r="I388">
        <v>37.191000000000003</v>
      </c>
      <c r="J388">
        <v>7.0456000000000003</v>
      </c>
    </row>
    <row r="389" spans="1:10" x14ac:dyDescent="0.3">
      <c r="A389" t="str" cm="1">
        <f t="array" ref="A389">IF(ROW()&lt;=COUNTA(Sheet1!A:A), INDEX(Sheet1!A:A, ROW()),
INDEX(Sheet4!A:A, ROW()-COUNTA(Sheet1!A:A)))</f>
        <v>NiCoFeCrAl1.21</v>
      </c>
      <c r="B389" s="10" t="str">
        <f>_xlfn.XLOOKUP(A389, Sheet4!A:A, Sheet4!C:C)</f>
        <v>FCC+BCC</v>
      </c>
      <c r="C389" s="10">
        <v>-1</v>
      </c>
      <c r="D389" s="10">
        <f>_xlfn.XLOOKUP(A389, Sheet2!A:A, Sheet2!B:B)</f>
        <v>7.0307000000000004</v>
      </c>
      <c r="E389" s="10">
        <f>_xlfn.XLOOKUP(A389, Sheet1!A:A, Sheet1!G:G)</f>
        <v>-1</v>
      </c>
      <c r="F389" s="10">
        <f t="shared" si="6"/>
        <v>-1</v>
      </c>
      <c r="G389" cm="1">
        <f t="array" ref="G389:J389">_xlfn.XLOOKUP(A389, Sheet1!A:A, Sheet1!C:F)</f>
        <v>5.3</v>
      </c>
      <c r="H389">
        <v>27.5</v>
      </c>
      <c r="I389">
        <v>37.200000000000003</v>
      </c>
      <c r="J389">
        <v>7</v>
      </c>
    </row>
    <row r="390" spans="1:10" x14ac:dyDescent="0.3">
      <c r="A390" t="str" cm="1">
        <f t="array" ref="A390">IF(ROW()&lt;=COUNTA(Sheet1!A:A), INDEX(Sheet1!A:A, ROW()),
INDEX(Sheet4!A:A, ROW()-COUNTA(Sheet1!A:A)))</f>
        <v>Al23.251Cr30.118Fe6.4328Co19.783Ni20.415</v>
      </c>
      <c r="B390" s="10">
        <f>_xlfn.XLOOKUP(A390, Sheet4!A:A, Sheet4!C:C)</f>
        <v>0</v>
      </c>
      <c r="C390" s="10">
        <v>-1</v>
      </c>
      <c r="D390" s="10">
        <f>_xlfn.XLOOKUP(A390, Sheet2!A:A, Sheet2!B:B)</f>
        <v>6.8411999999999997</v>
      </c>
      <c r="E390" s="10">
        <f>_xlfn.XLOOKUP(A390, Sheet1!A:A, Sheet1!G:G)</f>
        <v>-1</v>
      </c>
      <c r="F390" s="10">
        <f t="shared" si="6"/>
        <v>-1</v>
      </c>
      <c r="G390" cm="1">
        <f t="array" ref="G390:J390">_xlfn.XLOOKUP(A390, Sheet1!A:A, Sheet1!C:F)</f>
        <v>19.23076923</v>
      </c>
      <c r="H390">
        <v>19.23076923</v>
      </c>
      <c r="I390">
        <v>19.23076923</v>
      </c>
      <c r="J390">
        <v>19.23076923</v>
      </c>
    </row>
    <row r="391" spans="1:10" x14ac:dyDescent="0.3">
      <c r="A391" t="str" cm="1">
        <f t="array" ref="A391">IF(ROW()&lt;=COUNTA(Sheet1!A:A), INDEX(Sheet1!A:A, ROW()),
INDEX(Sheet4!A:A, ROW()-COUNTA(Sheet1!A:A)))</f>
        <v>Al23.253Cr30.138Fe18.137Co13.717Ni14.756</v>
      </c>
      <c r="B391" s="10">
        <f>_xlfn.XLOOKUP(A391, Sheet4!A:A, Sheet4!C:C)</f>
        <v>0</v>
      </c>
      <c r="C391" s="10">
        <v>-1</v>
      </c>
      <c r="D391" s="10">
        <f>_xlfn.XLOOKUP(A391, Sheet2!A:A, Sheet2!B:B)</f>
        <v>6.6669</v>
      </c>
      <c r="E391" s="10">
        <f>_xlfn.XLOOKUP(A391, Sheet1!A:A, Sheet1!G:G)</f>
        <v>-1</v>
      </c>
      <c r="F391" s="10">
        <f t="shared" si="6"/>
        <v>-1</v>
      </c>
      <c r="G391" cm="1">
        <f t="array" ref="G391:J391">_xlfn.XLOOKUP(A391, Sheet1!A:A, Sheet1!C:F)</f>
        <v>18.846</v>
      </c>
      <c r="H391">
        <v>29.988</v>
      </c>
      <c r="I391">
        <v>8.4699000000000009</v>
      </c>
      <c r="J391">
        <v>19.606000000000002</v>
      </c>
    </row>
    <row r="392" spans="1:10" x14ac:dyDescent="0.3">
      <c r="A392" t="str" cm="1">
        <f t="array" ref="A392">IF(ROW()&lt;=COUNTA(Sheet1!A:A), INDEX(Sheet1!A:A, ROW()),
INDEX(Sheet4!A:A, ROW()-COUNTA(Sheet1!A:A)))</f>
        <v>AlCoCr0.3FeNi</v>
      </c>
      <c r="B392" s="10" t="str">
        <f>_xlfn.XLOOKUP(A392, Sheet4!A:A, Sheet4!C:C)</f>
        <v>FCC+BCC</v>
      </c>
      <c r="C392" s="10">
        <v>-1</v>
      </c>
      <c r="D392" s="10">
        <f>_xlfn.XLOOKUP(A392, Sheet2!A:A, Sheet2!B:B)</f>
        <v>7.3952999999999998</v>
      </c>
      <c r="E392" s="10">
        <f>_xlfn.XLOOKUP(A392, Sheet1!A:A, Sheet1!G:G)</f>
        <v>-1</v>
      </c>
      <c r="F392" s="10">
        <f t="shared" si="6"/>
        <v>-1</v>
      </c>
      <c r="G392" cm="1">
        <f t="array" ref="G392:J392">_xlfn.XLOOKUP(A392, Sheet1!A:A, Sheet1!C:F)</f>
        <v>11.371</v>
      </c>
      <c r="H392">
        <v>30.353999999999999</v>
      </c>
      <c r="I392">
        <v>23.434999999999999</v>
      </c>
      <c r="J392">
        <v>11.746</v>
      </c>
    </row>
    <row r="393" spans="1:10" x14ac:dyDescent="0.3">
      <c r="A393" t="str" cm="1">
        <f t="array" ref="A393">IF(ROW()&lt;=COUNTA(Sheet1!A:A), INDEX(Sheet1!A:A, ROW()),
INDEX(Sheet4!A:A, ROW()-COUNTA(Sheet1!A:A)))</f>
        <v>Al23.3Cr26.1Fe35Co6.9Ni8.7</v>
      </c>
      <c r="B393" s="10">
        <f>_xlfn.XLOOKUP(A393, Sheet4!A:A, Sheet4!C:C)</f>
        <v>0</v>
      </c>
      <c r="C393" s="10">
        <v>-1</v>
      </c>
      <c r="D393" s="10">
        <f>_xlfn.XLOOKUP(A393, Sheet2!A:A, Sheet2!B:B)</f>
        <v>6.556</v>
      </c>
      <c r="E393" s="10">
        <f>_xlfn.XLOOKUP(A393, Sheet1!A:A, Sheet1!G:G)</f>
        <v>-1</v>
      </c>
      <c r="F393" s="10">
        <f t="shared" si="6"/>
        <v>-1</v>
      </c>
      <c r="G393" cm="1">
        <f t="array" ref="G393:J393">_xlfn.XLOOKUP(A393, Sheet1!A:A, Sheet1!C:F)</f>
        <v>11.4</v>
      </c>
      <c r="H393">
        <v>30.4</v>
      </c>
      <c r="I393">
        <v>23.4</v>
      </c>
      <c r="J393">
        <v>11.7</v>
      </c>
    </row>
    <row r="394" spans="1:10" x14ac:dyDescent="0.3">
      <c r="A394" t="str" cm="1">
        <f t="array" ref="A394">IF(ROW()&lt;=COUNTA(Sheet1!A:A), INDEX(Sheet1!A:A, ROW()),
INDEX(Sheet4!A:A, ROW()-COUNTA(Sheet1!A:A)))</f>
        <v>Al23.3Cr30.1Fe18.1Co13.7Ni14.8</v>
      </c>
      <c r="B394" s="10">
        <f>_xlfn.XLOOKUP(A394, Sheet4!A:A, Sheet4!C:C)</f>
        <v>0</v>
      </c>
      <c r="C394" s="10">
        <v>-1</v>
      </c>
      <c r="D394" s="10">
        <f>_xlfn.XLOOKUP(A394, Sheet2!A:A, Sheet2!B:B)</f>
        <v>6.6660000000000004</v>
      </c>
      <c r="E394" s="10">
        <f>_xlfn.XLOOKUP(A394, Sheet1!A:A, Sheet1!G:G)</f>
        <v>-1</v>
      </c>
      <c r="F394" s="10">
        <f t="shared" si="6"/>
        <v>-1</v>
      </c>
      <c r="G394" cm="1">
        <f t="array" ref="G394:J394">_xlfn.XLOOKUP(A394, Sheet1!A:A, Sheet1!C:F)</f>
        <v>18.8</v>
      </c>
      <c r="H394">
        <v>30</v>
      </c>
      <c r="I394">
        <v>8.5</v>
      </c>
      <c r="J394">
        <v>19.600000000000001</v>
      </c>
    </row>
    <row r="395" spans="1:10" x14ac:dyDescent="0.3">
      <c r="A395" t="str" cm="1">
        <f t="array" ref="A395">IF(ROW()&lt;=COUNTA(Sheet1!A:A), INDEX(Sheet1!A:A, ROW()),
INDEX(Sheet4!A:A, ROW()-COUNTA(Sheet1!A:A)))</f>
        <v>Al23.3Cr30.1Fe6.4Co19.8Ni20.4</v>
      </c>
      <c r="B395" s="10">
        <f>_xlfn.XLOOKUP(A395, Sheet4!A:A, Sheet4!C:C)</f>
        <v>0</v>
      </c>
      <c r="C395" s="10">
        <v>-1</v>
      </c>
      <c r="D395" s="10">
        <f>_xlfn.XLOOKUP(A395, Sheet2!A:A, Sheet2!B:B)</f>
        <v>6.8390000000000004</v>
      </c>
      <c r="E395" s="10">
        <f>_xlfn.XLOOKUP(A395, Sheet1!A:A, Sheet1!G:G)</f>
        <v>-1</v>
      </c>
      <c r="F395" s="10">
        <f t="shared" si="6"/>
        <v>-1</v>
      </c>
      <c r="G395" cm="1">
        <f t="array" ref="G395:J395">_xlfn.XLOOKUP(A395, Sheet1!A:A, Sheet1!C:F)</f>
        <v>19.3</v>
      </c>
      <c r="H395">
        <v>30.1</v>
      </c>
      <c r="I395">
        <v>7.5</v>
      </c>
      <c r="J395">
        <v>19.899999999999999</v>
      </c>
    </row>
    <row r="396" spans="1:10" x14ac:dyDescent="0.3">
      <c r="A396" t="str" cm="1">
        <f t="array" ref="A396">IF(ROW()&lt;=COUNTA(Sheet1!A:A), INDEX(Sheet1!A:A, ROW()),
INDEX(Sheet4!A:A, ROW()-COUNTA(Sheet1!A:A)))</f>
        <v>Al23.341Cr26.051Fe34.957Co6.9101Ni8.741</v>
      </c>
      <c r="B396" s="10">
        <f>_xlfn.XLOOKUP(A396, Sheet4!A:A, Sheet4!C:C)</f>
        <v>0</v>
      </c>
      <c r="C396" s="10">
        <v>-1</v>
      </c>
      <c r="D396" s="10">
        <f>_xlfn.XLOOKUP(A396, Sheet2!A:A, Sheet2!B:B)</f>
        <v>6.5559000000000003</v>
      </c>
      <c r="E396" s="10">
        <f>_xlfn.XLOOKUP(A396, Sheet1!A:A, Sheet1!G:G)</f>
        <v>-1</v>
      </c>
      <c r="F396" s="10">
        <f t="shared" si="6"/>
        <v>-1</v>
      </c>
      <c r="G396" cm="1">
        <f t="array" ref="G396:J396">_xlfn.XLOOKUP(A396, Sheet1!A:A, Sheet1!C:F)</f>
        <v>19.329999999999998</v>
      </c>
      <c r="H396">
        <v>30.102</v>
      </c>
      <c r="I396">
        <v>7.5072999999999999</v>
      </c>
      <c r="J396">
        <v>19.928999999999998</v>
      </c>
    </row>
    <row r="397" spans="1:10" x14ac:dyDescent="0.3">
      <c r="A397" t="str" cm="1">
        <f t="array" ref="A397">IF(ROW()&lt;=COUNTA(Sheet1!A:A), INDEX(Sheet1!A:A, ROW()),
INDEX(Sheet4!A:A, ROW()-COUNTA(Sheet1!A:A)))</f>
        <v>Al23.4Cr11.5Fe15.2Co22Ni27.9</v>
      </c>
      <c r="B397" s="10">
        <f>_xlfn.XLOOKUP(A397, Sheet4!A:A, Sheet4!C:C)</f>
        <v>0</v>
      </c>
      <c r="C397" s="10">
        <v>-1</v>
      </c>
      <c r="D397" s="10">
        <f>_xlfn.XLOOKUP(A397, Sheet2!A:A, Sheet2!B:B)</f>
        <v>7.3780000000000001</v>
      </c>
      <c r="E397" s="10">
        <f>_xlfn.XLOOKUP(A397, Sheet1!A:A, Sheet1!G:G)</f>
        <v>-1</v>
      </c>
      <c r="F397" s="10">
        <f t="shared" si="6"/>
        <v>-1</v>
      </c>
      <c r="G397" cm="1">
        <f t="array" ref="G397:J397">_xlfn.XLOOKUP(A397, Sheet1!A:A, Sheet1!C:F)</f>
        <v>19.2</v>
      </c>
      <c r="H397">
        <v>19.2</v>
      </c>
      <c r="I397">
        <v>19.2</v>
      </c>
      <c r="J397">
        <v>19.2</v>
      </c>
    </row>
    <row r="398" spans="1:10" x14ac:dyDescent="0.3">
      <c r="A398" t="str" cm="1">
        <f t="array" ref="A398">IF(ROW()&lt;=COUNTA(Sheet1!A:A), INDEX(Sheet1!A:A, ROW()),
INDEX(Sheet4!A:A, ROW()-COUNTA(Sheet1!A:A)))</f>
        <v>Al23.437Cr11.473Fe15.18Co22.037Ni27.873</v>
      </c>
      <c r="B398" s="10">
        <f>_xlfn.XLOOKUP(A398, Sheet4!A:A, Sheet4!C:C)</f>
        <v>0</v>
      </c>
      <c r="C398" s="10">
        <v>-1</v>
      </c>
      <c r="D398" s="10">
        <f>_xlfn.XLOOKUP(A398, Sheet2!A:A, Sheet2!B:B)</f>
        <v>7.3765000000000001</v>
      </c>
      <c r="E398" s="10">
        <f>_xlfn.XLOOKUP(A398, Sheet1!A:A, Sheet1!G:G)</f>
        <v>-1</v>
      </c>
      <c r="F398" s="10">
        <f t="shared" si="6"/>
        <v>-1</v>
      </c>
      <c r="G398" cm="1">
        <f t="array" ref="G398:J398">_xlfn.XLOOKUP(A398, Sheet1!A:A, Sheet1!C:F)</f>
        <v>19.19385797</v>
      </c>
      <c r="H398">
        <v>19.19385797</v>
      </c>
      <c r="I398">
        <v>19.19385797</v>
      </c>
      <c r="J398">
        <v>19.19385797</v>
      </c>
    </row>
    <row r="399" spans="1:10" x14ac:dyDescent="0.3">
      <c r="A399" t="str" cm="1">
        <f t="array" ref="A399">IF(ROW()&lt;=COUNTA(Sheet1!A:A), INDEX(Sheet1!A:A, ROW()),
INDEX(Sheet4!A:A, ROW()-COUNTA(Sheet1!A:A)))</f>
        <v>Al23.485Cr29.048Fe29.2Co8.7738Ni9.4937</v>
      </c>
      <c r="B399" s="10">
        <f>_xlfn.XLOOKUP(A399, Sheet4!A:A, Sheet4!C:C)</f>
        <v>0</v>
      </c>
      <c r="C399" s="10">
        <v>-1</v>
      </c>
      <c r="D399" s="10">
        <f>_xlfn.XLOOKUP(A399, Sheet2!A:A, Sheet2!B:B)</f>
        <v>6.5224000000000002</v>
      </c>
      <c r="E399" s="10">
        <f>_xlfn.XLOOKUP(A399, Sheet1!A:A, Sheet1!G:G)</f>
        <v>-1</v>
      </c>
      <c r="F399" s="10">
        <f t="shared" si="6"/>
        <v>-1</v>
      </c>
      <c r="G399" cm="1">
        <f t="array" ref="G399:J399">_xlfn.XLOOKUP(A399, Sheet1!A:A, Sheet1!C:F)</f>
        <v>19.783000000000001</v>
      </c>
      <c r="H399">
        <v>30.117999999999999</v>
      </c>
      <c r="I399">
        <v>6.4328000000000003</v>
      </c>
      <c r="J399">
        <v>20.414999999999999</v>
      </c>
    </row>
    <row r="400" spans="1:10" x14ac:dyDescent="0.3">
      <c r="A400" t="str" cm="1">
        <f t="array" ref="A400">IF(ROW()&lt;=COUNTA(Sheet1!A:A), INDEX(Sheet1!A:A, ROW()),
INDEX(Sheet4!A:A, ROW()-COUNTA(Sheet1!A:A)))</f>
        <v>Al23.5Cr29Fe29.2Co8.8Ni9.5</v>
      </c>
      <c r="B400" s="10">
        <f>_xlfn.XLOOKUP(A400, Sheet4!A:A, Sheet4!C:C)</f>
        <v>0</v>
      </c>
      <c r="C400" s="10">
        <v>-1</v>
      </c>
      <c r="D400" s="10">
        <f>_xlfn.XLOOKUP(A400, Sheet2!A:A, Sheet2!B:B)</f>
        <v>6.5229999999999997</v>
      </c>
      <c r="E400" s="10">
        <f>_xlfn.XLOOKUP(A400, Sheet1!A:A, Sheet1!G:G)</f>
        <v>-1</v>
      </c>
      <c r="F400" s="10">
        <f t="shared" si="6"/>
        <v>-1</v>
      </c>
      <c r="G400" cm="1">
        <f t="array" ref="G400:J400">_xlfn.XLOOKUP(A400, Sheet1!A:A, Sheet1!C:F)</f>
        <v>13.717000000000001</v>
      </c>
      <c r="H400">
        <v>30.138000000000002</v>
      </c>
      <c r="I400">
        <v>18.137</v>
      </c>
      <c r="J400">
        <v>14.756</v>
      </c>
    </row>
    <row r="401" spans="1:10" x14ac:dyDescent="0.3">
      <c r="A401" t="str" cm="1">
        <f t="array" ref="A401">IF(ROW()&lt;=COUNTA(Sheet1!A:A), INDEX(Sheet1!A:A, ROW()),
INDEX(Sheet4!A:A, ROW()-COUNTA(Sheet1!A:A)))</f>
        <v>Al23.5Cr12.8Fe17Co20.5Ni26.2</v>
      </c>
      <c r="B401" s="10">
        <f>_xlfn.XLOOKUP(A401, Sheet4!A:A, Sheet4!C:C)</f>
        <v>0</v>
      </c>
      <c r="C401" s="10">
        <v>-1</v>
      </c>
      <c r="D401" s="10">
        <f>_xlfn.XLOOKUP(A401, Sheet2!A:A, Sheet2!B:B)</f>
        <v>7.298</v>
      </c>
      <c r="E401" s="10">
        <f>_xlfn.XLOOKUP(A401, Sheet1!A:A, Sheet1!G:G)</f>
        <v>-1</v>
      </c>
      <c r="F401" s="10">
        <f t="shared" si="6"/>
        <v>-1</v>
      </c>
      <c r="G401" cm="1">
        <f t="array" ref="G401:J401">_xlfn.XLOOKUP(A401, Sheet1!A:A, Sheet1!C:F)</f>
        <v>23.25581395</v>
      </c>
      <c r="H401">
        <v>6.9767441860000003</v>
      </c>
      <c r="I401">
        <v>23.25581395</v>
      </c>
      <c r="J401">
        <v>23.25581395</v>
      </c>
    </row>
    <row r="402" spans="1:10" x14ac:dyDescent="0.3">
      <c r="A402" t="str" cm="1">
        <f t="array" ref="A402">IF(ROW()&lt;=COUNTA(Sheet1!A:A), INDEX(Sheet1!A:A, ROW()),
INDEX(Sheet4!A:A, ROW()-COUNTA(Sheet1!A:A)))</f>
        <v>Al23.537Cr12.785Fe17.011Co20.481Ni26.187</v>
      </c>
      <c r="B402" s="10">
        <f>_xlfn.XLOOKUP(A402, Sheet4!A:A, Sheet4!C:C)</f>
        <v>0</v>
      </c>
      <c r="C402" s="10">
        <v>-1</v>
      </c>
      <c r="D402" s="10">
        <f>_xlfn.XLOOKUP(A402, Sheet2!A:A, Sheet2!B:B)</f>
        <v>7.2960000000000003</v>
      </c>
      <c r="E402" s="10">
        <f>_xlfn.XLOOKUP(A402, Sheet1!A:A, Sheet1!G:G)</f>
        <v>-1</v>
      </c>
      <c r="F402" s="10">
        <f t="shared" si="6"/>
        <v>-1</v>
      </c>
      <c r="G402" cm="1">
        <f t="array" ref="G402:J402">_xlfn.XLOOKUP(A402, Sheet1!A:A, Sheet1!C:F)</f>
        <v>6.9</v>
      </c>
      <c r="H402">
        <v>26.1</v>
      </c>
      <c r="I402">
        <v>35</v>
      </c>
      <c r="J402">
        <v>8.6999999999999993</v>
      </c>
    </row>
    <row r="403" spans="1:10" x14ac:dyDescent="0.3">
      <c r="A403" t="str" cm="1">
        <f t="array" ref="A403">IF(ROW()&lt;=COUNTA(Sheet1!A:A), INDEX(Sheet1!A:A, ROW()),
INDEX(Sheet4!A:A, ROW()-COUNTA(Sheet1!A:A)))</f>
        <v>Al23.6Cr29.6Fe31.3Co7.3Ni8.2</v>
      </c>
      <c r="B403" s="10">
        <f>_xlfn.XLOOKUP(A403, Sheet4!A:A, Sheet4!C:C)</f>
        <v>0</v>
      </c>
      <c r="C403" s="10">
        <v>-1</v>
      </c>
      <c r="D403" s="10">
        <f>_xlfn.XLOOKUP(A403, Sheet2!A:A, Sheet2!B:B)</f>
        <v>6.4649999999999999</v>
      </c>
      <c r="E403" s="10">
        <f>_xlfn.XLOOKUP(A403, Sheet1!A:A, Sheet1!G:G)</f>
        <v>-1</v>
      </c>
      <c r="F403" s="10">
        <f t="shared" si="6"/>
        <v>-1</v>
      </c>
      <c r="G403" cm="1">
        <f t="array" ref="G403:J403">_xlfn.XLOOKUP(A403, Sheet1!A:A, Sheet1!C:F)</f>
        <v>13.7</v>
      </c>
      <c r="H403">
        <v>30.1</v>
      </c>
      <c r="I403">
        <v>18.100000000000001</v>
      </c>
      <c r="J403">
        <v>14.8</v>
      </c>
    </row>
    <row r="404" spans="1:10" x14ac:dyDescent="0.3">
      <c r="A404" t="str" cm="1">
        <f t="array" ref="A404">IF(ROW()&lt;=COUNTA(Sheet1!A:A), INDEX(Sheet1!A:A, ROW()),
INDEX(Sheet4!A:A, ROW()-COUNTA(Sheet1!A:A)))</f>
        <v>Al23.6Cr19.9Fe26.7Co12.9Ni16.9</v>
      </c>
      <c r="B404" s="10">
        <f>_xlfn.XLOOKUP(A404, Sheet4!A:A, Sheet4!C:C)</f>
        <v>0</v>
      </c>
      <c r="C404" s="10">
        <v>-1</v>
      </c>
      <c r="D404" s="10">
        <f>_xlfn.XLOOKUP(A404, Sheet2!A:A, Sheet2!B:B)</f>
        <v>6.8890000000000002</v>
      </c>
      <c r="E404" s="10">
        <f>_xlfn.XLOOKUP(A404, Sheet1!A:A, Sheet1!G:G)</f>
        <v>-1</v>
      </c>
      <c r="F404" s="10">
        <f t="shared" si="6"/>
        <v>-1</v>
      </c>
      <c r="G404" cm="1">
        <f t="array" ref="G404:J404">_xlfn.XLOOKUP(A404, Sheet1!A:A, Sheet1!C:F)</f>
        <v>19.8</v>
      </c>
      <c r="H404">
        <v>30.1</v>
      </c>
      <c r="I404">
        <v>6.4</v>
      </c>
      <c r="J404">
        <v>20.399999999999999</v>
      </c>
    </row>
    <row r="405" spans="1:10" x14ac:dyDescent="0.3">
      <c r="A405" t="str" cm="1">
        <f t="array" ref="A405">IF(ROW()&lt;=COUNTA(Sheet1!A:A), INDEX(Sheet1!A:A, ROW()),
INDEX(Sheet4!A:A, ROW()-COUNTA(Sheet1!A:A)))</f>
        <v>Al23.6Cr31.3Fe15.2Co14.7Ni15.2</v>
      </c>
      <c r="B405" s="10">
        <f>_xlfn.XLOOKUP(A405, Sheet4!A:A, Sheet4!C:C)</f>
        <v>0</v>
      </c>
      <c r="C405" s="10">
        <v>-1</v>
      </c>
      <c r="D405" s="10">
        <f>_xlfn.XLOOKUP(A405, Sheet2!A:A, Sheet2!B:B)</f>
        <v>6.6449999999999996</v>
      </c>
      <c r="E405" s="10">
        <f>_xlfn.XLOOKUP(A405, Sheet1!A:A, Sheet1!G:G)</f>
        <v>-1</v>
      </c>
      <c r="F405" s="10">
        <f t="shared" si="6"/>
        <v>-1</v>
      </c>
      <c r="G405" cm="1">
        <f t="array" ref="G405:J405">_xlfn.XLOOKUP(A405, Sheet1!A:A, Sheet1!C:F)</f>
        <v>6.9100999999999999</v>
      </c>
      <c r="H405">
        <v>26.050999999999998</v>
      </c>
      <c r="I405">
        <v>34.957000000000001</v>
      </c>
      <c r="J405">
        <v>8.7409999999999997</v>
      </c>
    </row>
    <row r="406" spans="1:10" x14ac:dyDescent="0.3">
      <c r="A406" t="str" cm="1">
        <f t="array" ref="A406">IF(ROW()&lt;=COUNTA(Sheet1!A:A), INDEX(Sheet1!A:A, ROW()),
INDEX(Sheet4!A:A, ROW()-COUNTA(Sheet1!A:A)))</f>
        <v>Al23.617Cr29.558Fe31.281Co7.3486Ni8.1954</v>
      </c>
      <c r="B406" s="10">
        <f>_xlfn.XLOOKUP(A406, Sheet4!A:A, Sheet4!C:C)</f>
        <v>0</v>
      </c>
      <c r="C406" s="10">
        <v>-1</v>
      </c>
      <c r="D406" s="10">
        <f>_xlfn.XLOOKUP(A406, Sheet2!A:A, Sheet2!B:B)</f>
        <v>6.4653999999999998</v>
      </c>
      <c r="E406" s="10">
        <f>_xlfn.XLOOKUP(A406, Sheet1!A:A, Sheet1!G:G)</f>
        <v>-1</v>
      </c>
      <c r="F406" s="10">
        <f t="shared" si="6"/>
        <v>-1</v>
      </c>
      <c r="G406" cm="1">
        <f t="array" ref="G406:J406">_xlfn.XLOOKUP(A406, Sheet1!A:A, Sheet1!C:F)</f>
        <v>22</v>
      </c>
      <c r="H406">
        <v>11.5</v>
      </c>
      <c r="I406">
        <v>15.2</v>
      </c>
      <c r="J406">
        <v>27.9</v>
      </c>
    </row>
    <row r="407" spans="1:10" x14ac:dyDescent="0.3">
      <c r="A407" t="str" cm="1">
        <f t="array" ref="A407">IF(ROW()&lt;=COUNTA(Sheet1!A:A), INDEX(Sheet1!A:A, ROW()),
INDEX(Sheet4!A:A, ROW()-COUNTA(Sheet1!A:A)))</f>
        <v>Al23.618Cr31.328Fe15.204Co14.662Ni15.189</v>
      </c>
      <c r="B407" s="10">
        <f>_xlfn.XLOOKUP(A407, Sheet4!A:A, Sheet4!C:C)</f>
        <v>0</v>
      </c>
      <c r="C407" s="10">
        <v>-1</v>
      </c>
      <c r="D407" s="10">
        <f>_xlfn.XLOOKUP(A407, Sheet2!A:A, Sheet2!B:B)</f>
        <v>6.6429999999999998</v>
      </c>
      <c r="E407" s="10">
        <f>_xlfn.XLOOKUP(A407, Sheet1!A:A, Sheet1!G:G)</f>
        <v>-1</v>
      </c>
      <c r="F407" s="10">
        <f t="shared" si="6"/>
        <v>-1</v>
      </c>
      <c r="G407" cm="1">
        <f t="array" ref="G407:J407">_xlfn.XLOOKUP(A407, Sheet1!A:A, Sheet1!C:F)</f>
        <v>22.036999999999999</v>
      </c>
      <c r="H407">
        <v>11.473000000000001</v>
      </c>
      <c r="I407">
        <v>15.18</v>
      </c>
      <c r="J407">
        <v>27.873000000000001</v>
      </c>
    </row>
    <row r="408" spans="1:10" x14ac:dyDescent="0.3">
      <c r="A408" t="str" cm="1">
        <f t="array" ref="A408">IF(ROW()&lt;=COUNTA(Sheet1!A:A), INDEX(Sheet1!A:A, ROW()),
INDEX(Sheet4!A:A, ROW()-COUNTA(Sheet1!A:A)))</f>
        <v>Al23.62Cr19.894Fe26.734Co12.87Ni16.882</v>
      </c>
      <c r="B408" s="10">
        <f>_xlfn.XLOOKUP(A408, Sheet4!A:A, Sheet4!C:C)</f>
        <v>0</v>
      </c>
      <c r="C408" s="10">
        <v>-1</v>
      </c>
      <c r="D408" s="10">
        <f>_xlfn.XLOOKUP(A408, Sheet2!A:A, Sheet2!B:B)</f>
        <v>6.8875000000000002</v>
      </c>
      <c r="E408" s="10">
        <f>_xlfn.XLOOKUP(A408, Sheet1!A:A, Sheet1!G:G)</f>
        <v>-1</v>
      </c>
      <c r="F408" s="10">
        <f t="shared" si="6"/>
        <v>-1</v>
      </c>
      <c r="G408" cm="1">
        <f t="array" ref="G408:J408">_xlfn.XLOOKUP(A408, Sheet1!A:A, Sheet1!C:F)</f>
        <v>8.7737999999999996</v>
      </c>
      <c r="H408">
        <v>29.047999999999998</v>
      </c>
      <c r="I408">
        <v>29.2</v>
      </c>
      <c r="J408">
        <v>9.4937000000000005</v>
      </c>
    </row>
    <row r="409" spans="1:10" x14ac:dyDescent="0.3">
      <c r="A409" t="str" cm="1">
        <f t="array" ref="A409">IF(ROW()&lt;=COUNTA(Sheet1!A:A), INDEX(Sheet1!A:A, ROW()),
INDEX(Sheet4!A:A, ROW()-COUNTA(Sheet1!A:A)))</f>
        <v>Al23.754Cr23.723Fe32.147Co8.9571Ni11.419</v>
      </c>
      <c r="B409" s="10">
        <f>_xlfn.XLOOKUP(A409, Sheet4!A:A, Sheet4!C:C)</f>
        <v>0</v>
      </c>
      <c r="C409" s="10">
        <v>-1</v>
      </c>
      <c r="D409" s="10">
        <f>_xlfn.XLOOKUP(A409, Sheet2!A:A, Sheet2!B:B)</f>
        <v>6.6558000000000002</v>
      </c>
      <c r="E409" s="10">
        <f>_xlfn.XLOOKUP(A409, Sheet1!A:A, Sheet1!G:G)</f>
        <v>-1</v>
      </c>
      <c r="F409" s="10">
        <f t="shared" si="6"/>
        <v>-1</v>
      </c>
      <c r="G409" cm="1">
        <f t="array" ref="G409:J409">_xlfn.XLOOKUP(A409, Sheet1!A:A, Sheet1!C:F)</f>
        <v>8.8000000000000007</v>
      </c>
      <c r="H409">
        <v>29</v>
      </c>
      <c r="I409">
        <v>29.2</v>
      </c>
      <c r="J409">
        <v>9.5</v>
      </c>
    </row>
    <row r="410" spans="1:10" x14ac:dyDescent="0.3">
      <c r="A410" t="str" cm="1">
        <f t="array" ref="A410">IF(ROW()&lt;=COUNTA(Sheet1!A:A), INDEX(Sheet1!A:A, ROW()),
INDEX(Sheet4!A:A, ROW()-COUNTA(Sheet1!A:A)))</f>
        <v>Al23.8Cr23.7Fe32.1Co9Ni11.4</v>
      </c>
      <c r="B410" s="10">
        <f>_xlfn.XLOOKUP(A410, Sheet4!A:A, Sheet4!C:C)</f>
        <v>0</v>
      </c>
      <c r="C410" s="10">
        <v>-1</v>
      </c>
      <c r="D410" s="10">
        <f>_xlfn.XLOOKUP(A410, Sheet2!A:A, Sheet2!B:B)</f>
        <v>6.6539999999999999</v>
      </c>
      <c r="E410" s="10">
        <f>_xlfn.XLOOKUP(A410, Sheet1!A:A, Sheet1!G:G)</f>
        <v>-1</v>
      </c>
      <c r="F410" s="10">
        <f t="shared" si="6"/>
        <v>-1</v>
      </c>
      <c r="G410" cm="1">
        <f t="array" ref="G410:J410">_xlfn.XLOOKUP(A410, Sheet1!A:A, Sheet1!C:F)</f>
        <v>20.5</v>
      </c>
      <c r="H410">
        <v>12.8</v>
      </c>
      <c r="I410">
        <v>17</v>
      </c>
      <c r="J410">
        <v>26.2</v>
      </c>
    </row>
    <row r="411" spans="1:10" x14ac:dyDescent="0.3">
      <c r="A411" t="str" cm="1">
        <f t="array" ref="A411">IF(ROW()&lt;=COUNTA(Sheet1!A:A), INDEX(Sheet1!A:A, ROW()),
INDEX(Sheet4!A:A, ROW()-COUNTA(Sheet1!A:A)))</f>
        <v>Al1.25CoCrFeNi</v>
      </c>
      <c r="B411" s="10" t="str">
        <f>_xlfn.XLOOKUP(A411, Sheet4!A:A, Sheet4!C:C)</f>
        <v>BCC</v>
      </c>
      <c r="C411" s="10">
        <v>0</v>
      </c>
      <c r="D411" s="10">
        <f>_xlfn.XLOOKUP(A411, Sheet2!A:A, Sheet2!B:B)</f>
        <v>7</v>
      </c>
      <c r="E411" s="10">
        <f>_xlfn.XLOOKUP(A411, Sheet1!A:A, Sheet1!G:G)</f>
        <v>-1</v>
      </c>
      <c r="F411" s="10">
        <f t="shared" si="6"/>
        <v>0</v>
      </c>
      <c r="G411" cm="1">
        <f t="array" ref="G411:J411">_xlfn.XLOOKUP(A411, Sheet1!A:A, Sheet1!C:F)</f>
        <v>20.481000000000002</v>
      </c>
      <c r="H411">
        <v>12.785</v>
      </c>
      <c r="I411">
        <v>17.010999999999999</v>
      </c>
      <c r="J411">
        <v>26.187000000000001</v>
      </c>
    </row>
    <row r="412" spans="1:10" x14ac:dyDescent="0.3">
      <c r="A412" t="str" cm="1">
        <f t="array" ref="A412">IF(ROW()&lt;=COUNTA(Sheet1!A:A), INDEX(Sheet1!A:A, ROW()),
INDEX(Sheet4!A:A, ROW()-COUNTA(Sheet1!A:A)))</f>
        <v>Al24.087Cr32.042Fe13.083Co14.881Ni15.907</v>
      </c>
      <c r="B412" s="10">
        <f>_xlfn.XLOOKUP(A412, Sheet4!A:A, Sheet4!C:C)</f>
        <v>0</v>
      </c>
      <c r="C412" s="10">
        <v>-1</v>
      </c>
      <c r="D412" s="10">
        <f>_xlfn.XLOOKUP(A412, Sheet2!A:A, Sheet2!B:B)</f>
        <v>6.6218000000000004</v>
      </c>
      <c r="E412" s="10">
        <f>_xlfn.XLOOKUP(A412, Sheet1!A:A, Sheet1!G:G)</f>
        <v>-1</v>
      </c>
      <c r="F412" s="10">
        <f t="shared" si="6"/>
        <v>-1</v>
      </c>
      <c r="G412" cm="1">
        <f t="array" ref="G412:J412">_xlfn.XLOOKUP(A412, Sheet1!A:A, Sheet1!C:F)</f>
        <v>7.3</v>
      </c>
      <c r="H412">
        <v>29.6</v>
      </c>
      <c r="I412">
        <v>31.3</v>
      </c>
      <c r="J412">
        <v>8.1999999999999993</v>
      </c>
    </row>
    <row r="413" spans="1:10" x14ac:dyDescent="0.3">
      <c r="A413" t="str" cm="1">
        <f t="array" ref="A413">IF(ROW()&lt;=COUNTA(Sheet1!A:A), INDEX(Sheet1!A:A, ROW()),
INDEX(Sheet4!A:A, ROW()-COUNTA(Sheet1!A:A)))</f>
        <v>Al24.1Cr32Fe13.1Co14.9Ni15.9</v>
      </c>
      <c r="B413" s="10">
        <f>_xlfn.XLOOKUP(A413, Sheet4!A:A, Sheet4!C:C)</f>
        <v>0</v>
      </c>
      <c r="C413" s="10">
        <v>-1</v>
      </c>
      <c r="D413" s="10">
        <f>_xlfn.XLOOKUP(A413, Sheet2!A:A, Sheet2!B:B)</f>
        <v>6.6219999999999999</v>
      </c>
      <c r="E413" s="10">
        <f>_xlfn.XLOOKUP(A413, Sheet1!A:A, Sheet1!G:G)</f>
        <v>-1</v>
      </c>
      <c r="F413" s="10">
        <f t="shared" si="6"/>
        <v>-1</v>
      </c>
      <c r="G413" cm="1">
        <f t="array" ref="G413:J413">_xlfn.XLOOKUP(A413, Sheet1!A:A, Sheet1!C:F)</f>
        <v>12.9</v>
      </c>
      <c r="H413">
        <v>19.899999999999999</v>
      </c>
      <c r="I413">
        <v>26.7</v>
      </c>
      <c r="J413">
        <v>16.899999999999999</v>
      </c>
    </row>
    <row r="414" spans="1:10" x14ac:dyDescent="0.3">
      <c r="A414" t="str" cm="1">
        <f t="array" ref="A414">IF(ROW()&lt;=COUNTA(Sheet1!A:A), INDEX(Sheet1!A:A, ROW()),
INDEX(Sheet4!A:A, ROW()-COUNTA(Sheet1!A:A)))</f>
        <v>Al24.157Cr31.067Fe25.283Co9.5031Ni9.9901</v>
      </c>
      <c r="B414" s="10">
        <f>_xlfn.XLOOKUP(A414, Sheet4!A:A, Sheet4!C:C)</f>
        <v>0</v>
      </c>
      <c r="C414" s="10">
        <v>-1</v>
      </c>
      <c r="D414" s="10">
        <f>_xlfn.XLOOKUP(A414, Sheet2!A:A, Sheet2!B:B)</f>
        <v>6.4656000000000002</v>
      </c>
      <c r="E414" s="10">
        <f>_xlfn.XLOOKUP(A414, Sheet1!A:A, Sheet1!G:G)</f>
        <v>-1</v>
      </c>
      <c r="F414" s="10">
        <f t="shared" si="6"/>
        <v>-1</v>
      </c>
      <c r="G414" cm="1">
        <f t="array" ref="G414:J414">_xlfn.XLOOKUP(A414, Sheet1!A:A, Sheet1!C:F)</f>
        <v>14.7</v>
      </c>
      <c r="H414">
        <v>31.3</v>
      </c>
      <c r="I414">
        <v>15.2</v>
      </c>
      <c r="J414">
        <v>15.2</v>
      </c>
    </row>
    <row r="415" spans="1:10" x14ac:dyDescent="0.3">
      <c r="A415" t="str" cm="1">
        <f t="array" ref="A415">IF(ROW()&lt;=COUNTA(Sheet1!A:A), INDEX(Sheet1!A:A, ROW()),
INDEX(Sheet4!A:A, ROW()-COUNTA(Sheet1!A:A)))</f>
        <v>Al24.2Cr31.1Fe25.3Co9.5Ni10</v>
      </c>
      <c r="B415" s="10">
        <f>_xlfn.XLOOKUP(A415, Sheet4!A:A, Sheet4!C:C)</f>
        <v>0</v>
      </c>
      <c r="C415" s="10">
        <v>-1</v>
      </c>
      <c r="D415" s="10">
        <f>_xlfn.XLOOKUP(A415, Sheet2!A:A, Sheet2!B:B)</f>
        <v>6.4645000000000001</v>
      </c>
      <c r="E415" s="10">
        <f>_xlfn.XLOOKUP(A415, Sheet1!A:A, Sheet1!G:G)</f>
        <v>-1</v>
      </c>
      <c r="F415" s="10">
        <f t="shared" si="6"/>
        <v>-1</v>
      </c>
      <c r="G415" cm="1">
        <f t="array" ref="G415:J415">_xlfn.XLOOKUP(A415, Sheet1!A:A, Sheet1!C:F)</f>
        <v>7.3486000000000002</v>
      </c>
      <c r="H415">
        <v>29.558</v>
      </c>
      <c r="I415">
        <v>31.280999999999999</v>
      </c>
      <c r="J415">
        <v>8.1953999999999994</v>
      </c>
    </row>
    <row r="416" spans="1:10" x14ac:dyDescent="0.3">
      <c r="A416" t="str" cm="1">
        <f t="array" ref="A416">IF(ROW()&lt;=COUNTA(Sheet1!A:A), INDEX(Sheet1!A:A, ROW()),
INDEX(Sheet4!A:A, ROW()-COUNTA(Sheet1!A:A)))</f>
        <v>Al24.3Cr31.7Fe19.8Co11.9Ni12.3</v>
      </c>
      <c r="B416" s="10">
        <f>_xlfn.XLOOKUP(A416, Sheet4!A:A, Sheet4!C:C)</f>
        <v>0</v>
      </c>
      <c r="C416" s="10">
        <v>-1</v>
      </c>
      <c r="D416" s="10">
        <f>_xlfn.XLOOKUP(A416, Sheet2!A:A, Sheet2!B:B)</f>
        <v>6.516</v>
      </c>
      <c r="E416" s="10">
        <f>_xlfn.XLOOKUP(A416, Sheet1!A:A, Sheet1!G:G)</f>
        <v>-1</v>
      </c>
      <c r="F416" s="10">
        <f t="shared" si="6"/>
        <v>-1</v>
      </c>
      <c r="G416" cm="1">
        <f t="array" ref="G416:J416">_xlfn.XLOOKUP(A416, Sheet1!A:A, Sheet1!C:F)</f>
        <v>14.662000000000001</v>
      </c>
      <c r="H416">
        <v>31.327999999999999</v>
      </c>
      <c r="I416">
        <v>15.204000000000001</v>
      </c>
      <c r="J416">
        <v>15.189</v>
      </c>
    </row>
    <row r="417" spans="1:10" x14ac:dyDescent="0.3">
      <c r="A417" t="str" cm="1">
        <f t="array" ref="A417">IF(ROW()&lt;=COUNTA(Sheet1!A:A), INDEX(Sheet1!A:A, ROW()),
INDEX(Sheet4!A:A, ROW()-COUNTA(Sheet1!A:A)))</f>
        <v>Al24.309Cr31.738Fe19.833Co11.85Ni12.271</v>
      </c>
      <c r="B417" s="10">
        <f>_xlfn.XLOOKUP(A417, Sheet4!A:A, Sheet4!C:C)</f>
        <v>0</v>
      </c>
      <c r="C417" s="10">
        <v>-1</v>
      </c>
      <c r="D417" s="10">
        <f>_xlfn.XLOOKUP(A417, Sheet2!A:A, Sheet2!B:B)</f>
        <v>6.5137</v>
      </c>
      <c r="E417" s="10">
        <f>_xlfn.XLOOKUP(A417, Sheet1!A:A, Sheet1!G:G)</f>
        <v>-1</v>
      </c>
      <c r="F417" s="10">
        <f t="shared" si="6"/>
        <v>-1</v>
      </c>
      <c r="G417" cm="1">
        <f t="array" ref="G417:J417">_xlfn.XLOOKUP(A417, Sheet1!A:A, Sheet1!C:F)</f>
        <v>12.87</v>
      </c>
      <c r="H417">
        <v>19.893999999999998</v>
      </c>
      <c r="I417">
        <v>26.734000000000002</v>
      </c>
      <c r="J417">
        <v>16.882000000000001</v>
      </c>
    </row>
    <row r="418" spans="1:10" x14ac:dyDescent="0.3">
      <c r="A418" t="str" cm="1">
        <f t="array" ref="A418">IF(ROW()&lt;=COUNTA(Sheet1!A:A), INDEX(Sheet1!A:A, ROW()),
INDEX(Sheet4!A:A, ROW()-COUNTA(Sheet1!A:A)))</f>
        <v>Al24.468Cr32.449Fe11.207Co15.57Ni16.306</v>
      </c>
      <c r="B418" s="10">
        <f>_xlfn.XLOOKUP(A418, Sheet4!A:A, Sheet4!C:C)</f>
        <v>0</v>
      </c>
      <c r="C418" s="10">
        <v>-1</v>
      </c>
      <c r="D418" s="10">
        <f>_xlfn.XLOOKUP(A418, Sheet2!A:A, Sheet2!B:B)</f>
        <v>6.6093999999999999</v>
      </c>
      <c r="E418" s="10">
        <f>_xlfn.XLOOKUP(A418, Sheet1!A:A, Sheet1!G:G)</f>
        <v>-1</v>
      </c>
      <c r="F418" s="10">
        <f t="shared" si="6"/>
        <v>-1</v>
      </c>
      <c r="G418" cm="1">
        <f t="array" ref="G418:J418">_xlfn.XLOOKUP(A418, Sheet1!A:A, Sheet1!C:F)</f>
        <v>8.9571000000000005</v>
      </c>
      <c r="H418">
        <v>23.722999999999999</v>
      </c>
      <c r="I418">
        <v>32.146999999999998</v>
      </c>
      <c r="J418">
        <v>11.419</v>
      </c>
    </row>
    <row r="419" spans="1:10" x14ac:dyDescent="0.3">
      <c r="A419" t="str" cm="1">
        <f t="array" ref="A419">IF(ROW()&lt;=COUNTA(Sheet1!A:A), INDEX(Sheet1!A:A, ROW()),
INDEX(Sheet4!A:A, ROW()-COUNTA(Sheet1!A:A)))</f>
        <v>Al24.5Cr32.4Fe11.2Co15.6Ni16.3</v>
      </c>
      <c r="B419" s="10">
        <f>_xlfn.XLOOKUP(A419, Sheet4!A:A, Sheet4!C:C)</f>
        <v>0</v>
      </c>
      <c r="C419" s="10">
        <v>-1</v>
      </c>
      <c r="D419" s="10">
        <f>_xlfn.XLOOKUP(A419, Sheet2!A:A, Sheet2!B:B)</f>
        <v>6.609</v>
      </c>
      <c r="E419" s="10">
        <f>_xlfn.XLOOKUP(A419, Sheet1!A:A, Sheet1!G:G)</f>
        <v>-1</v>
      </c>
      <c r="F419" s="10">
        <f t="shared" si="6"/>
        <v>-1</v>
      </c>
      <c r="G419" cm="1">
        <f t="array" ref="G419:J419">_xlfn.XLOOKUP(A419, Sheet1!A:A, Sheet1!C:F)</f>
        <v>9</v>
      </c>
      <c r="H419">
        <v>23.7</v>
      </c>
      <c r="I419">
        <v>32.1</v>
      </c>
      <c r="J419">
        <v>11.4</v>
      </c>
    </row>
    <row r="420" spans="1:10" x14ac:dyDescent="0.3">
      <c r="A420" t="str" cm="1">
        <f t="array" ref="A420">IF(ROW()&lt;=COUNTA(Sheet1!A:A), INDEX(Sheet1!A:A, ROW()),
INDEX(Sheet4!A:A, ROW()-COUNTA(Sheet1!A:A)))</f>
        <v>Al1.3CoCrFeNi</v>
      </c>
      <c r="B420" s="10">
        <f>_xlfn.XLOOKUP(A420, Sheet4!A:A, Sheet4!C:C)</f>
        <v>0</v>
      </c>
      <c r="C420" s="10">
        <v>-1</v>
      </c>
      <c r="D420" s="10">
        <f>_xlfn.XLOOKUP(A420, Sheet2!A:A, Sheet2!B:B)</f>
        <v>6.9622999999999999</v>
      </c>
      <c r="E420" s="10">
        <f>_xlfn.XLOOKUP(A420, Sheet1!A:A, Sheet1!G:G)</f>
        <v>-1</v>
      </c>
      <c r="F420" s="10">
        <f t="shared" si="6"/>
        <v>-1</v>
      </c>
      <c r="G420" cm="1">
        <f t="array" ref="G420:J420">_xlfn.XLOOKUP(A420, Sheet1!A:A, Sheet1!C:F)</f>
        <v>19.047619050000002</v>
      </c>
      <c r="H420">
        <v>19.047619050000002</v>
      </c>
      <c r="I420">
        <v>19.047619050000002</v>
      </c>
      <c r="J420">
        <v>19.047619050000002</v>
      </c>
    </row>
    <row r="421" spans="1:10" x14ac:dyDescent="0.3">
      <c r="A421" t="str" cm="1">
        <f t="array" ref="A421">IF(ROW()&lt;=COUNTA(Sheet1!A:A), INDEX(Sheet1!A:A, ROW()),
INDEX(Sheet4!A:A, ROW()-COUNTA(Sheet1!A:A)))</f>
        <v>Al24.671Cr26.266Fe35.331Co6.0Ni7.7328</v>
      </c>
      <c r="B421" s="10">
        <f>_xlfn.XLOOKUP(A421, Sheet4!A:A, Sheet4!C:C)</f>
        <v>0</v>
      </c>
      <c r="C421" s="10">
        <v>-1</v>
      </c>
      <c r="D421" s="10">
        <f>_xlfn.XLOOKUP(A421, Sheet2!A:A, Sheet2!B:B)</f>
        <v>6.4558</v>
      </c>
      <c r="E421" s="10">
        <f>_xlfn.XLOOKUP(A421, Sheet1!A:A, Sheet1!G:G)</f>
        <v>-1</v>
      </c>
      <c r="F421" s="10">
        <f t="shared" si="6"/>
        <v>-1</v>
      </c>
      <c r="G421" cm="1">
        <f t="array" ref="G421:J421">_xlfn.XLOOKUP(A421, Sheet1!A:A, Sheet1!C:F)</f>
        <v>14.881</v>
      </c>
      <c r="H421">
        <v>32.042000000000002</v>
      </c>
      <c r="I421">
        <v>13.083</v>
      </c>
      <c r="J421">
        <v>15.907</v>
      </c>
    </row>
    <row r="422" spans="1:10" x14ac:dyDescent="0.3">
      <c r="A422" t="str" cm="1">
        <f t="array" ref="A422">IF(ROW()&lt;=COUNTA(Sheet1!A:A), INDEX(Sheet1!A:A, ROW()),
INDEX(Sheet4!A:A, ROW()-COUNTA(Sheet1!A:A)))</f>
        <v>Al24.7Cr32.9Fe9.7Co16Ni16.8</v>
      </c>
      <c r="B422" s="10">
        <f>_xlfn.XLOOKUP(A422, Sheet4!A:A, Sheet4!C:C)</f>
        <v>0</v>
      </c>
      <c r="C422" s="10">
        <v>-1</v>
      </c>
      <c r="D422" s="10">
        <f>_xlfn.XLOOKUP(A422, Sheet2!A:A, Sheet2!B:B)</f>
        <v>6.6044</v>
      </c>
      <c r="E422" s="10">
        <f>_xlfn.XLOOKUP(A422, Sheet1!A:A, Sheet1!G:G)</f>
        <v>-1</v>
      </c>
      <c r="F422" s="10">
        <f t="shared" si="6"/>
        <v>-1</v>
      </c>
      <c r="G422" cm="1">
        <f t="array" ref="G422:J422">_xlfn.XLOOKUP(A422, Sheet1!A:A, Sheet1!C:F)</f>
        <v>14.9</v>
      </c>
      <c r="H422">
        <v>32</v>
      </c>
      <c r="I422">
        <v>13.1</v>
      </c>
      <c r="J422">
        <v>15.9</v>
      </c>
    </row>
    <row r="423" spans="1:10" x14ac:dyDescent="0.3">
      <c r="A423" t="str" cm="1">
        <f t="array" ref="A423">IF(ROW()&lt;=COUNTA(Sheet1!A:A), INDEX(Sheet1!A:A, ROW()),
INDEX(Sheet4!A:A, ROW()-COUNTA(Sheet1!A:A)))</f>
        <v>Al24.679Cr32.906Fe9.6917Co15.961Ni16.762</v>
      </c>
      <c r="B423" s="10">
        <f>_xlfn.XLOOKUP(A423, Sheet4!A:A, Sheet4!C:C)</f>
        <v>0</v>
      </c>
      <c r="C423" s="10">
        <v>-1</v>
      </c>
      <c r="D423" s="10">
        <f>_xlfn.XLOOKUP(A423, Sheet2!A:A, Sheet2!B:B)</f>
        <v>6.6028000000000002</v>
      </c>
      <c r="E423" s="10">
        <f>_xlfn.XLOOKUP(A423, Sheet1!A:A, Sheet1!G:G)</f>
        <v>-1</v>
      </c>
      <c r="F423" s="10">
        <f t="shared" si="6"/>
        <v>-1</v>
      </c>
      <c r="G423" cm="1">
        <f t="array" ref="G423:J423">_xlfn.XLOOKUP(A423, Sheet1!A:A, Sheet1!C:F)</f>
        <v>9.5030999999999999</v>
      </c>
      <c r="H423">
        <v>31.067</v>
      </c>
      <c r="I423">
        <v>25.283000000000001</v>
      </c>
      <c r="J423">
        <v>9.9901</v>
      </c>
    </row>
    <row r="424" spans="1:10" x14ac:dyDescent="0.3">
      <c r="A424" t="str" cm="1">
        <f t="array" ref="A424">IF(ROW()&lt;=COUNTA(Sheet1!A:A), INDEX(Sheet1!A:A, ROW()),
INDEX(Sheet4!A:A, ROW()-COUNTA(Sheet1!A:A)))</f>
        <v>Al24.688Cr24.592Fe32.719Co7.7811Ni10.22</v>
      </c>
      <c r="B424" s="10">
        <f>_xlfn.XLOOKUP(A424, Sheet4!A:A, Sheet4!C:C)</f>
        <v>0</v>
      </c>
      <c r="C424" s="10">
        <v>-1</v>
      </c>
      <c r="D424" s="10">
        <f>_xlfn.XLOOKUP(A424, Sheet2!A:A, Sheet2!B:B)</f>
        <v>6.556</v>
      </c>
      <c r="E424" s="10">
        <f>_xlfn.XLOOKUP(A424, Sheet1!A:A, Sheet1!G:G)</f>
        <v>-1</v>
      </c>
      <c r="F424" s="10">
        <f t="shared" si="6"/>
        <v>-1</v>
      </c>
      <c r="G424" cm="1">
        <f t="array" ref="G424:J424">_xlfn.XLOOKUP(A424, Sheet1!A:A, Sheet1!C:F)</f>
        <v>9.5</v>
      </c>
      <c r="H424">
        <v>31.1</v>
      </c>
      <c r="I424">
        <v>25.3</v>
      </c>
      <c r="J424">
        <v>10</v>
      </c>
    </row>
    <row r="425" spans="1:10" x14ac:dyDescent="0.3">
      <c r="A425" t="str" cm="1">
        <f t="array" ref="A425">IF(ROW()&lt;=COUNTA(Sheet1!A:A), INDEX(Sheet1!A:A, ROW()),
INDEX(Sheet4!A:A, ROW()-COUNTA(Sheet1!A:A)))</f>
        <v>Al24.695Cr18.519Fe24.381Co14.158Ni18.247</v>
      </c>
      <c r="B425" s="10">
        <f>_xlfn.XLOOKUP(A425, Sheet4!A:A, Sheet4!C:C)</f>
        <v>0</v>
      </c>
      <c r="C425" s="10">
        <v>-1</v>
      </c>
      <c r="D425" s="10">
        <f>_xlfn.XLOOKUP(A425, Sheet2!A:A, Sheet2!B:B)</f>
        <v>6.9013999999999998</v>
      </c>
      <c r="E425" s="10">
        <f>_xlfn.XLOOKUP(A425, Sheet1!A:A, Sheet1!G:G)</f>
        <v>-1</v>
      </c>
      <c r="F425" s="10">
        <f t="shared" si="6"/>
        <v>-1</v>
      </c>
      <c r="G425" cm="1">
        <f t="array" ref="G425:J425">_xlfn.XLOOKUP(A425, Sheet1!A:A, Sheet1!C:F)</f>
        <v>11.9</v>
      </c>
      <c r="H425">
        <v>31.7</v>
      </c>
      <c r="I425">
        <v>19.8</v>
      </c>
      <c r="J425">
        <v>12.3</v>
      </c>
    </row>
    <row r="426" spans="1:10" x14ac:dyDescent="0.3">
      <c r="A426" t="str" cm="1">
        <f t="array" ref="A426">IF(ROW()&lt;=COUNTA(Sheet1!A:A), INDEX(Sheet1!A:A, ROW()),
INDEX(Sheet4!A:A, ROW()-COUNTA(Sheet1!A:A)))</f>
        <v>Al24.7Cr26.3Fe35.3Co6Ni7.7</v>
      </c>
      <c r="B426" s="10">
        <f>_xlfn.XLOOKUP(A426, Sheet4!A:A, Sheet4!C:C)</f>
        <v>0</v>
      </c>
      <c r="C426" s="10">
        <v>-1</v>
      </c>
      <c r="D426" s="10">
        <f>_xlfn.XLOOKUP(A426, Sheet2!A:A, Sheet2!B:B)</f>
        <v>6.4530000000000003</v>
      </c>
      <c r="E426" s="10">
        <f>_xlfn.XLOOKUP(A426, Sheet1!A:A, Sheet1!G:G)</f>
        <v>-1</v>
      </c>
      <c r="F426" s="10">
        <f t="shared" si="6"/>
        <v>-1</v>
      </c>
      <c r="G426" cm="1">
        <f t="array" ref="G426:J426">_xlfn.XLOOKUP(A426, Sheet1!A:A, Sheet1!C:F)</f>
        <v>11.85</v>
      </c>
      <c r="H426">
        <v>31.738</v>
      </c>
      <c r="I426">
        <v>19.832999999999998</v>
      </c>
      <c r="J426">
        <v>12.271000000000001</v>
      </c>
    </row>
    <row r="427" spans="1:10" x14ac:dyDescent="0.3">
      <c r="A427" t="str" cm="1">
        <f t="array" ref="A427">IF(ROW()&lt;=COUNTA(Sheet1!A:A), INDEX(Sheet1!A:A, ROW()),
INDEX(Sheet4!A:A, ROW()-COUNTA(Sheet1!A:A)))</f>
        <v>Al24.7Cr24.6Fe32.7Co7.8Ni10.2</v>
      </c>
      <c r="B427" s="10">
        <f>_xlfn.XLOOKUP(A427, Sheet4!A:A, Sheet4!C:C)</f>
        <v>0</v>
      </c>
      <c r="C427" s="10">
        <v>-1</v>
      </c>
      <c r="D427" s="10">
        <f>_xlfn.XLOOKUP(A427, Sheet2!A:A, Sheet2!B:B)</f>
        <v>6.5549999999999997</v>
      </c>
      <c r="E427" s="10">
        <f>_xlfn.XLOOKUP(A427, Sheet1!A:A, Sheet1!G:G)</f>
        <v>-1</v>
      </c>
      <c r="F427" s="10">
        <f t="shared" si="6"/>
        <v>-1</v>
      </c>
      <c r="G427" cm="1">
        <f t="array" ref="G427:J427">_xlfn.XLOOKUP(A427, Sheet1!A:A, Sheet1!C:F)</f>
        <v>15.57</v>
      </c>
      <c r="H427">
        <v>32.448999999999998</v>
      </c>
      <c r="I427">
        <v>11.207000000000001</v>
      </c>
      <c r="J427">
        <v>16.306000000000001</v>
      </c>
    </row>
    <row r="428" spans="1:10" x14ac:dyDescent="0.3">
      <c r="A428" t="str" cm="1">
        <f t="array" ref="A428">IF(ROW()&lt;=COUNTA(Sheet1!A:A), INDEX(Sheet1!A:A, ROW()),
INDEX(Sheet4!A:A, ROW()-COUNTA(Sheet1!A:A)))</f>
        <v>Al24.7Cr18.5Fe24.4Co14.2Ni18.2</v>
      </c>
      <c r="B428" s="10">
        <f>_xlfn.XLOOKUP(A428, Sheet4!A:A, Sheet4!C:C)</f>
        <v>0</v>
      </c>
      <c r="C428" s="10">
        <v>-1</v>
      </c>
      <c r="D428" s="10">
        <f>_xlfn.XLOOKUP(A428, Sheet2!A:A, Sheet2!B:B)</f>
        <v>6.9009999999999998</v>
      </c>
      <c r="E428" s="10">
        <f>_xlfn.XLOOKUP(A428, Sheet1!A:A, Sheet1!G:G)</f>
        <v>-1</v>
      </c>
      <c r="F428" s="10">
        <f t="shared" si="6"/>
        <v>-1</v>
      </c>
      <c r="G428" cm="1">
        <f t="array" ref="G428:J428">_xlfn.XLOOKUP(A428, Sheet1!A:A, Sheet1!C:F)</f>
        <v>15.6</v>
      </c>
      <c r="H428">
        <v>32.4</v>
      </c>
      <c r="I428">
        <v>11.2</v>
      </c>
      <c r="J428">
        <v>16.3</v>
      </c>
    </row>
    <row r="429" spans="1:10" x14ac:dyDescent="0.3">
      <c r="A429" t="str" cm="1">
        <f t="array" ref="A429">IF(ROW()&lt;=COUNTA(Sheet1!A:A), INDEX(Sheet1!A:A, ROW()),
INDEX(Sheet4!A:A, ROW()-COUNTA(Sheet1!A:A)))</f>
        <v>Al24.855Cr33.237Fe8.1593Co16.626Ni17.122</v>
      </c>
      <c r="B429" s="10">
        <f>_xlfn.XLOOKUP(A429, Sheet4!A:A, Sheet4!C:C)</f>
        <v>0</v>
      </c>
      <c r="C429" s="10">
        <v>-1</v>
      </c>
      <c r="D429" s="10">
        <f>_xlfn.XLOOKUP(A429, Sheet2!A:A, Sheet2!B:B)</f>
        <v>6.6012000000000004</v>
      </c>
      <c r="E429" s="10">
        <f>_xlfn.XLOOKUP(A429, Sheet1!A:A, Sheet1!G:G)</f>
        <v>-1</v>
      </c>
      <c r="F429" s="10">
        <f t="shared" si="6"/>
        <v>-1</v>
      </c>
      <c r="G429" cm="1">
        <f t="array" ref="G429:J429">_xlfn.XLOOKUP(A429, Sheet1!A:A, Sheet1!C:F)</f>
        <v>18.86792453</v>
      </c>
      <c r="H429">
        <v>18.86792453</v>
      </c>
      <c r="I429">
        <v>18.86792453</v>
      </c>
      <c r="J429">
        <v>18.86792453</v>
      </c>
    </row>
    <row r="430" spans="1:10" x14ac:dyDescent="0.3">
      <c r="A430" t="str" cm="1">
        <f t="array" ref="A430">IF(ROW()&lt;=COUNTA(Sheet1!A:A), INDEX(Sheet1!A:A, ROW()),
INDEX(Sheet4!A:A, ROW()-COUNTA(Sheet1!A:A)))</f>
        <v>Al24.9Cr33.2Fe8.2Co16.6Ni17.1</v>
      </c>
      <c r="B430" s="10">
        <f>_xlfn.XLOOKUP(A430, Sheet4!A:A, Sheet4!C:C)</f>
        <v>0</v>
      </c>
      <c r="C430" s="10">
        <v>-1</v>
      </c>
      <c r="D430" s="10">
        <f>_xlfn.XLOOKUP(A430, Sheet2!A:A, Sheet2!B:B)</f>
        <v>6.5990000000000002</v>
      </c>
      <c r="E430" s="10">
        <f>_xlfn.XLOOKUP(A430, Sheet1!A:A, Sheet1!G:G)</f>
        <v>-1</v>
      </c>
      <c r="F430" s="10">
        <f t="shared" si="6"/>
        <v>-1</v>
      </c>
      <c r="G430" cm="1">
        <f t="array" ref="G430:J430">_xlfn.XLOOKUP(A430, Sheet1!A:A, Sheet1!C:F)</f>
        <v>6</v>
      </c>
      <c r="H430">
        <v>26.265999999999998</v>
      </c>
      <c r="I430">
        <v>35.331000000000003</v>
      </c>
      <c r="J430">
        <v>7.7328000000000001</v>
      </c>
    </row>
    <row r="431" spans="1:10" x14ac:dyDescent="0.3">
      <c r="A431" t="str" cm="1">
        <f t="array" ref="A431">IF(ROW()&lt;=COUNTA(Sheet1!A:A), INDEX(Sheet1!A:A, ROW()),
INDEX(Sheet4!A:A, ROW()-COUNTA(Sheet1!A:A)))</f>
        <v>Al1.33NiCoFeCr</v>
      </c>
      <c r="B431" s="10">
        <f>_xlfn.XLOOKUP(A431, Sheet4!A:A, Sheet4!C:C)</f>
        <v>0</v>
      </c>
      <c r="C431" s="10">
        <v>-1</v>
      </c>
      <c r="D431" s="10">
        <f>_xlfn.XLOOKUP(A431, Sheet2!A:A, Sheet2!B:B)</f>
        <v>6.94</v>
      </c>
      <c r="E431" s="10">
        <f>_xlfn.XLOOKUP(A431, Sheet1!A:A, Sheet1!G:G)</f>
        <v>-1</v>
      </c>
      <c r="F431" s="10">
        <f t="shared" si="6"/>
        <v>-1</v>
      </c>
      <c r="G431" cm="1">
        <f t="array" ref="G431:J431">_xlfn.XLOOKUP(A431, Sheet1!A:A, Sheet1!C:F)</f>
        <v>16</v>
      </c>
      <c r="H431">
        <v>32.9</v>
      </c>
      <c r="I431">
        <v>9.6999999999999993</v>
      </c>
      <c r="J431">
        <v>16.8</v>
      </c>
    </row>
    <row r="432" spans="1:10" x14ac:dyDescent="0.3">
      <c r="A432" t="str" cm="1">
        <f t="array" ref="A432">IF(ROW()&lt;=COUNTA(Sheet1!A:A), INDEX(Sheet1!A:A, ROW()),
INDEX(Sheet4!A:A, ROW()-COUNTA(Sheet1!A:A)))</f>
        <v>Al24.999Cr33.087Fe21.637Co9.9821Ni10.295</v>
      </c>
      <c r="B432" s="10">
        <f>_xlfn.XLOOKUP(A432, Sheet4!A:A, Sheet4!C:C)</f>
        <v>0</v>
      </c>
      <c r="C432" s="10">
        <v>-1</v>
      </c>
      <c r="D432" s="10">
        <f>_xlfn.XLOOKUP(A432, Sheet2!A:A, Sheet2!B:B)</f>
        <v>6.3940000000000001</v>
      </c>
      <c r="E432" s="10">
        <f>_xlfn.XLOOKUP(A432, Sheet1!A:A, Sheet1!G:G)</f>
        <v>-1</v>
      </c>
      <c r="F432" s="10">
        <f t="shared" si="6"/>
        <v>-1</v>
      </c>
      <c r="G432" cm="1">
        <f t="array" ref="G432:J432">_xlfn.XLOOKUP(A432, Sheet1!A:A, Sheet1!C:F)</f>
        <v>15.961</v>
      </c>
      <c r="H432">
        <v>32.905999999999999</v>
      </c>
      <c r="I432">
        <v>9.6917000000000009</v>
      </c>
      <c r="J432">
        <v>16.762</v>
      </c>
    </row>
    <row r="433" spans="1:10" x14ac:dyDescent="0.3">
      <c r="A433" t="str" cm="1">
        <f t="array" ref="A433">IF(ROW()&lt;=COUNTA(Sheet1!A:A), INDEX(Sheet1!A:A, ROW()),
INDEX(Sheet4!A:A, ROW()-COUNTA(Sheet1!A:A)))</f>
        <v>Al25Cr33.1Fe21.6Co10Ni10.3</v>
      </c>
      <c r="B433" s="10">
        <f>_xlfn.XLOOKUP(A433, Sheet4!A:A, Sheet4!C:C)</f>
        <v>0</v>
      </c>
      <c r="C433" s="10">
        <v>-1</v>
      </c>
      <c r="D433" s="10">
        <f>_xlfn.XLOOKUP(A433, Sheet2!A:A, Sheet2!B:B)</f>
        <v>6.3940000000000001</v>
      </c>
      <c r="E433" s="10">
        <f>_xlfn.XLOOKUP(A433, Sheet1!A:A, Sheet1!G:G)</f>
        <v>-1</v>
      </c>
      <c r="F433" s="10">
        <f t="shared" si="6"/>
        <v>-1</v>
      </c>
      <c r="G433" cm="1">
        <f t="array" ref="G433:J433">_xlfn.XLOOKUP(A433, Sheet1!A:A, Sheet1!C:F)</f>
        <v>7.7811000000000003</v>
      </c>
      <c r="H433">
        <v>24.591999999999999</v>
      </c>
      <c r="I433">
        <v>32.719000000000001</v>
      </c>
      <c r="J433">
        <v>10.220000000000001</v>
      </c>
    </row>
    <row r="434" spans="1:10" x14ac:dyDescent="0.3">
      <c r="A434" t="str" cm="1">
        <f t="array" ref="A434">IF(ROW()&lt;=COUNTA(Sheet1!A:A), INDEX(Sheet1!A:A, ROW()),
INDEX(Sheet4!A:A, ROW()-COUNTA(Sheet1!A:A)))</f>
        <v>Al25Ni18.75Co18.75Fe18.75Cr18.75</v>
      </c>
      <c r="B434" s="10" t="str">
        <f>_xlfn.XLOOKUP(A434, Sheet4!A:A, Sheet4!C:C)</f>
        <v>BCC</v>
      </c>
      <c r="C434" s="10">
        <v>0</v>
      </c>
      <c r="D434" s="10">
        <f>_xlfn.XLOOKUP(A434, Sheet2!A:A, Sheet2!B:B)</f>
        <v>6.9375</v>
      </c>
      <c r="E434" s="10">
        <f>_xlfn.XLOOKUP(A434, Sheet1!A:A, Sheet1!G:G)</f>
        <v>-1</v>
      </c>
      <c r="F434" s="10">
        <f t="shared" si="6"/>
        <v>0</v>
      </c>
      <c r="G434" cm="1">
        <f t="array" ref="G434:J434">_xlfn.XLOOKUP(A434, Sheet1!A:A, Sheet1!C:F)</f>
        <v>14.157999999999999</v>
      </c>
      <c r="H434">
        <v>18.518999999999998</v>
      </c>
      <c r="I434">
        <v>24.381</v>
      </c>
      <c r="J434">
        <v>18.247</v>
      </c>
    </row>
    <row r="435" spans="1:10" x14ac:dyDescent="0.3">
      <c r="A435" t="str" cm="1">
        <f t="array" ref="A435">IF(ROW()&lt;=COUNTA(Sheet1!A:A), INDEX(Sheet1!A:A, ROW()),
INDEX(Sheet4!A:A, ROW()-COUNTA(Sheet1!A:A)))</f>
        <v>Al25.076Cr33.124Fe16.849Co12.019Ni12.933</v>
      </c>
      <c r="B435" s="10">
        <f>_xlfn.XLOOKUP(A435, Sheet4!A:A, Sheet4!C:C)</f>
        <v>0</v>
      </c>
      <c r="C435" s="10">
        <v>-1</v>
      </c>
      <c r="D435" s="10">
        <f>_xlfn.XLOOKUP(A435, Sheet2!A:A, Sheet2!B:B)</f>
        <v>6.4626000000000001</v>
      </c>
      <c r="E435" s="10">
        <f>_xlfn.XLOOKUP(A435, Sheet1!A:A, Sheet1!G:G)</f>
        <v>-1</v>
      </c>
      <c r="F435" s="10">
        <f t="shared" si="6"/>
        <v>-1</v>
      </c>
      <c r="G435" cm="1">
        <f t="array" ref="G435:J435">_xlfn.XLOOKUP(A435, Sheet1!A:A, Sheet1!C:F)</f>
        <v>6</v>
      </c>
      <c r="H435">
        <v>26.3</v>
      </c>
      <c r="I435">
        <v>35.299999999999997</v>
      </c>
      <c r="J435">
        <v>7.7</v>
      </c>
    </row>
    <row r="436" spans="1:10" x14ac:dyDescent="0.3">
      <c r="A436" t="str" cm="1">
        <f t="array" ref="A436">IF(ROW()&lt;=COUNTA(Sheet1!A:A), INDEX(Sheet1!A:A, ROW()),
INDEX(Sheet4!A:A, ROW()-COUNTA(Sheet1!A:A)))</f>
        <v>Al25.1Cr33.1Fe16.8Co12Ni12.9</v>
      </c>
      <c r="B436" s="10">
        <f>_xlfn.XLOOKUP(A436, Sheet4!A:A, Sheet4!C:C)</f>
        <v>0</v>
      </c>
      <c r="C436" s="10">
        <v>-1</v>
      </c>
      <c r="D436" s="10">
        <f>_xlfn.XLOOKUP(A436, Sheet2!A:A, Sheet2!B:B)</f>
        <v>6.4595000000000002</v>
      </c>
      <c r="E436" s="10">
        <f>_xlfn.XLOOKUP(A436, Sheet1!A:A, Sheet1!G:G)</f>
        <v>-1</v>
      </c>
      <c r="F436" s="10">
        <f t="shared" si="6"/>
        <v>-1</v>
      </c>
      <c r="G436" cm="1">
        <f t="array" ref="G436:J436">_xlfn.XLOOKUP(A436, Sheet1!A:A, Sheet1!C:F)</f>
        <v>7.8</v>
      </c>
      <c r="H436">
        <v>24.6</v>
      </c>
      <c r="I436">
        <v>32.700000000000003</v>
      </c>
      <c r="J436">
        <v>10.199999999999999</v>
      </c>
    </row>
    <row r="437" spans="1:10" x14ac:dyDescent="0.3">
      <c r="A437" t="str" cm="1">
        <f t="array" ref="A437">IF(ROW()&lt;=COUNTA(Sheet1!A:A), INDEX(Sheet1!A:A, ROW()),
INDEX(Sheet4!A:A, ROW()-COUNTA(Sheet1!A:A)))</f>
        <v>Al25.154Cr22.38Fe29.816Co9.8614Ni12.789</v>
      </c>
      <c r="B437" s="10">
        <f>_xlfn.XLOOKUP(A437, Sheet4!A:A, Sheet4!C:C)</f>
        <v>0</v>
      </c>
      <c r="C437" s="10">
        <v>-1</v>
      </c>
      <c r="D437" s="10">
        <f>_xlfn.XLOOKUP(A437, Sheet2!A:A, Sheet2!B:B)</f>
        <v>6.6490999999999998</v>
      </c>
      <c r="E437" s="10">
        <f>_xlfn.XLOOKUP(A437, Sheet1!A:A, Sheet1!G:G)</f>
        <v>-1</v>
      </c>
      <c r="F437" s="10">
        <f t="shared" si="6"/>
        <v>-1</v>
      </c>
      <c r="G437" cm="1">
        <f t="array" ref="G437:J437">_xlfn.XLOOKUP(A437, Sheet1!A:A, Sheet1!C:F)</f>
        <v>14.2</v>
      </c>
      <c r="H437">
        <v>18.5</v>
      </c>
      <c r="I437">
        <v>24.4</v>
      </c>
      <c r="J437">
        <v>18.2</v>
      </c>
    </row>
    <row r="438" spans="1:10" x14ac:dyDescent="0.3">
      <c r="A438" t="str" cm="1">
        <f t="array" ref="A438">IF(ROW()&lt;=COUNTA(Sheet1!A:A), INDEX(Sheet1!A:A, ROW()),
INDEX(Sheet4!A:A, ROW()-COUNTA(Sheet1!A:A)))</f>
        <v>Al25.2Cr22.4Fe29.8Co9.9Ni12.8</v>
      </c>
      <c r="B438" s="10">
        <f>_xlfn.XLOOKUP(A438, Sheet4!A:A, Sheet4!C:C)</f>
        <v>0</v>
      </c>
      <c r="C438" s="10">
        <v>-1</v>
      </c>
      <c r="D438" s="10">
        <f>_xlfn.XLOOKUP(A438, Sheet2!A:A, Sheet2!B:B)</f>
        <v>6.6483999999999996</v>
      </c>
      <c r="E438" s="10">
        <f>_xlfn.XLOOKUP(A438, Sheet1!A:A, Sheet1!G:G)</f>
        <v>-1</v>
      </c>
      <c r="F438" s="10">
        <f t="shared" si="6"/>
        <v>-1</v>
      </c>
      <c r="G438" cm="1">
        <f t="array" ref="G438:J438">_xlfn.XLOOKUP(A438, Sheet1!A:A, Sheet1!C:F)</f>
        <v>16.626000000000001</v>
      </c>
      <c r="H438">
        <v>33.237000000000002</v>
      </c>
      <c r="I438">
        <v>8.1593</v>
      </c>
      <c r="J438">
        <v>17.122</v>
      </c>
    </row>
    <row r="439" spans="1:10" x14ac:dyDescent="0.3">
      <c r="A439" t="str" cm="1">
        <f t="array" ref="A439">IF(ROW()&lt;=COUNTA(Sheet1!A:A), INDEX(Sheet1!A:A, ROW()),
INDEX(Sheet4!A:A, ROW()-COUNTA(Sheet1!A:A)))</f>
        <v>Al25.2Cr31.6Fe26.8Co8Ni8.4</v>
      </c>
      <c r="B439" s="10">
        <f>_xlfn.XLOOKUP(A439, Sheet4!A:A, Sheet4!C:C)</f>
        <v>0</v>
      </c>
      <c r="C439" s="10">
        <v>-1</v>
      </c>
      <c r="D439" s="10">
        <f>_xlfn.XLOOKUP(A439, Sheet2!A:A, Sheet2!B:B)</f>
        <v>6.3559999999999999</v>
      </c>
      <c r="E439" s="10">
        <f>_xlfn.XLOOKUP(A439, Sheet1!A:A, Sheet1!G:G)</f>
        <v>-1</v>
      </c>
      <c r="F439" s="10">
        <f t="shared" si="6"/>
        <v>-1</v>
      </c>
      <c r="G439" cm="1">
        <f t="array" ref="G439:J439">_xlfn.XLOOKUP(A439, Sheet1!A:A, Sheet1!C:F)</f>
        <v>16.600000000000001</v>
      </c>
      <c r="H439">
        <v>33.200000000000003</v>
      </c>
      <c r="I439">
        <v>8.1999999999999993</v>
      </c>
      <c r="J439">
        <v>17.100000000000001</v>
      </c>
    </row>
    <row r="440" spans="1:10" x14ac:dyDescent="0.3">
      <c r="A440" t="str" cm="1">
        <f t="array" ref="A440">IF(ROW()&lt;=COUNTA(Sheet1!A:A), INDEX(Sheet1!A:A, ROW()),
INDEX(Sheet4!A:A, ROW()-COUNTA(Sheet1!A:A)))</f>
        <v>Al25.2Cr33.5Fe7.2Co16.7Ni17.4</v>
      </c>
      <c r="B440" s="10">
        <f>_xlfn.XLOOKUP(A440, Sheet4!A:A, Sheet4!C:C)</f>
        <v>0</v>
      </c>
      <c r="C440" s="10">
        <v>-1</v>
      </c>
      <c r="D440" s="10">
        <f>_xlfn.XLOOKUP(A440, Sheet2!A:A, Sheet2!B:B)</f>
        <v>6.585</v>
      </c>
      <c r="E440" s="10">
        <f>_xlfn.XLOOKUP(A440, Sheet1!A:A, Sheet1!G:G)</f>
        <v>-1</v>
      </c>
      <c r="F440" s="10">
        <f t="shared" si="6"/>
        <v>-1</v>
      </c>
      <c r="G440" cm="1">
        <f t="array" ref="G440:J440">_xlfn.XLOOKUP(A440, Sheet1!A:A, Sheet1!C:F)</f>
        <v>18.761726079999999</v>
      </c>
      <c r="H440">
        <v>18.761726079999999</v>
      </c>
      <c r="I440">
        <v>18.761726079999999</v>
      </c>
      <c r="J440">
        <v>18.761726079999999</v>
      </c>
    </row>
    <row r="441" spans="1:10" x14ac:dyDescent="0.3">
      <c r="A441" t="str" cm="1">
        <f t="array" ref="A441">IF(ROW()&lt;=COUNTA(Sheet1!A:A), INDEX(Sheet1!A:A, ROW()),
INDEX(Sheet4!A:A, ROW()-COUNTA(Sheet1!A:A)))</f>
        <v>Al25.217Cr31.592Fe26.845Co7.9949Ni8.3508</v>
      </c>
      <c r="B441" s="10">
        <f>_xlfn.XLOOKUP(A441, Sheet4!A:A, Sheet4!C:C)</f>
        <v>0</v>
      </c>
      <c r="C441" s="10">
        <v>-1</v>
      </c>
      <c r="D441" s="10">
        <f>_xlfn.XLOOKUP(A441, Sheet2!A:A, Sheet2!B:B)</f>
        <v>6.3543000000000003</v>
      </c>
      <c r="E441" s="10">
        <f>_xlfn.XLOOKUP(A441, Sheet1!A:A, Sheet1!G:G)</f>
        <v>-1</v>
      </c>
      <c r="F441" s="10">
        <f t="shared" si="6"/>
        <v>-1</v>
      </c>
      <c r="G441" cm="1">
        <f t="array" ref="G441:J441">_xlfn.XLOOKUP(A441, Sheet1!A:A, Sheet1!C:F)</f>
        <v>9.9821000000000009</v>
      </c>
      <c r="H441">
        <v>33.087000000000003</v>
      </c>
      <c r="I441">
        <v>21.637</v>
      </c>
      <c r="J441">
        <v>10.295</v>
      </c>
    </row>
    <row r="442" spans="1:10" x14ac:dyDescent="0.3">
      <c r="A442" t="str" cm="1">
        <f t="array" ref="A442">IF(ROW()&lt;=COUNTA(Sheet1!A:A), INDEX(Sheet1!A:A, ROW()),
INDEX(Sheet4!A:A, ROW()-COUNTA(Sheet1!A:A)))</f>
        <v>Al25.229Cr33.491Fe7.1736Co16.733Ni17.373</v>
      </c>
      <c r="B442" s="10">
        <f>_xlfn.XLOOKUP(A442, Sheet4!A:A, Sheet4!C:C)</f>
        <v>0</v>
      </c>
      <c r="C442" s="10">
        <v>-1</v>
      </c>
      <c r="D442" s="10">
        <f>_xlfn.XLOOKUP(A442, Sheet2!A:A, Sheet2!B:B)</f>
        <v>6.5834999999999999</v>
      </c>
      <c r="E442" s="10">
        <f>_xlfn.XLOOKUP(A442, Sheet1!A:A, Sheet1!G:G)</f>
        <v>-1</v>
      </c>
      <c r="F442" s="10">
        <f t="shared" si="6"/>
        <v>-1</v>
      </c>
      <c r="G442" cm="1">
        <f t="array" ref="G442:J442">_xlfn.XLOOKUP(A442, Sheet1!A:A, Sheet1!C:F)</f>
        <v>10</v>
      </c>
      <c r="H442">
        <v>33.1</v>
      </c>
      <c r="I442">
        <v>21.6</v>
      </c>
      <c r="J442">
        <v>10.3</v>
      </c>
    </row>
    <row r="443" spans="1:10" x14ac:dyDescent="0.3">
      <c r="A443" t="str" cm="1">
        <f t="array" ref="A443">IF(ROW()&lt;=COUNTA(Sheet1!A:A), INDEX(Sheet1!A:A, ROW()),
INDEX(Sheet4!A:A, ROW()-COUNTA(Sheet1!A:A)))</f>
        <v>Al25.56Cr16.72Fe22.379Co15.684Ni19.657</v>
      </c>
      <c r="B443" s="10">
        <f>_xlfn.XLOOKUP(A443, Sheet4!A:A, Sheet4!C:C)</f>
        <v>0</v>
      </c>
      <c r="C443" s="10">
        <v>-1</v>
      </c>
      <c r="D443" s="10">
        <f>_xlfn.XLOOKUP(A443, Sheet2!A:A, Sheet2!B:B)</f>
        <v>6.9375999999999998</v>
      </c>
      <c r="E443" s="10">
        <f>_xlfn.XLOOKUP(A443, Sheet1!A:A, Sheet1!G:G)</f>
        <v>-1</v>
      </c>
      <c r="F443" s="10">
        <f t="shared" si="6"/>
        <v>-1</v>
      </c>
      <c r="G443" cm="1">
        <f t="array" ref="G443:J443">_xlfn.XLOOKUP(A443, Sheet1!A:A, Sheet1!C:F)</f>
        <v>18.75</v>
      </c>
      <c r="H443">
        <v>18.75</v>
      </c>
      <c r="I443">
        <v>18.75</v>
      </c>
      <c r="J443">
        <v>18.75</v>
      </c>
    </row>
    <row r="444" spans="1:10" x14ac:dyDescent="0.3">
      <c r="A444" t="str" cm="1">
        <f t="array" ref="A444">IF(ROW()&lt;=COUNTA(Sheet1!A:A), INDEX(Sheet1!A:A, ROW()),
INDEX(Sheet4!A:A, ROW()-COUNTA(Sheet1!A:A)))</f>
        <v>Al25.6Cr16.7Fe22.4Co15.7Ni19.7</v>
      </c>
      <c r="B444" s="10">
        <f>_xlfn.XLOOKUP(A444, Sheet4!A:A, Sheet4!C:C)</f>
        <v>0</v>
      </c>
      <c r="C444" s="10">
        <v>-1</v>
      </c>
      <c r="D444" s="10">
        <f>_xlfn.XLOOKUP(A444, Sheet2!A:A, Sheet2!B:B)</f>
        <v>6.9381000000000004</v>
      </c>
      <c r="E444" s="10">
        <f>_xlfn.XLOOKUP(A444, Sheet1!A:A, Sheet1!G:G)</f>
        <v>-1</v>
      </c>
      <c r="F444" s="10">
        <f t="shared" si="6"/>
        <v>-1</v>
      </c>
      <c r="G444" cm="1">
        <f t="array" ref="G444:J444">_xlfn.XLOOKUP(A444, Sheet1!A:A, Sheet1!C:F)</f>
        <v>12.019</v>
      </c>
      <c r="H444">
        <v>33.124000000000002</v>
      </c>
      <c r="I444">
        <v>16.849</v>
      </c>
      <c r="J444">
        <v>12.933</v>
      </c>
    </row>
    <row r="445" spans="1:10" x14ac:dyDescent="0.3">
      <c r="A445" t="str" cm="1">
        <f t="array" ref="A445">IF(ROW()&lt;=COUNTA(Sheet1!A:A), INDEX(Sheet1!A:A, ROW()),
INDEX(Sheet4!A:A, ROW()-COUNTA(Sheet1!A:A)))</f>
        <v>Al25.682Cr14.016Fe18.41Co18.288Ni23.604</v>
      </c>
      <c r="B445" s="10">
        <f>_xlfn.XLOOKUP(A445, Sheet4!A:A, Sheet4!C:C)</f>
        <v>0</v>
      </c>
      <c r="C445" s="10">
        <v>-1</v>
      </c>
      <c r="D445" s="10">
        <f>_xlfn.XLOOKUP(A445, Sheet2!A:A, Sheet2!B:B)</f>
        <v>7.0904999999999996</v>
      </c>
      <c r="E445" s="10">
        <f>_xlfn.XLOOKUP(A445, Sheet1!A:A, Sheet1!G:G)</f>
        <v>-1</v>
      </c>
      <c r="F445" s="10">
        <f t="shared" si="6"/>
        <v>-1</v>
      </c>
      <c r="G445" cm="1">
        <f t="array" ref="G445:J445">_xlfn.XLOOKUP(A445, Sheet1!A:A, Sheet1!C:F)</f>
        <v>12</v>
      </c>
      <c r="H445">
        <v>33.1</v>
      </c>
      <c r="I445">
        <v>16.8</v>
      </c>
      <c r="J445">
        <v>12.9</v>
      </c>
    </row>
    <row r="446" spans="1:10" x14ac:dyDescent="0.3">
      <c r="A446" t="str" cm="1">
        <f t="array" ref="A446">IF(ROW()&lt;=COUNTA(Sheet1!A:A), INDEX(Sheet1!A:A, ROW()),
INDEX(Sheet4!A:A, ROW()-COUNTA(Sheet1!A:A)))</f>
        <v>Al25.689Cr33.652Fe6.2264Co16.926Ni17.507</v>
      </c>
      <c r="B446" s="10">
        <f>_xlfn.XLOOKUP(A446, Sheet4!A:A, Sheet4!C:C)</f>
        <v>0</v>
      </c>
      <c r="C446" s="10">
        <v>-1</v>
      </c>
      <c r="D446" s="10">
        <f>_xlfn.XLOOKUP(A446, Sheet2!A:A, Sheet2!B:B)</f>
        <v>6.5618999999999996</v>
      </c>
      <c r="E446" s="10">
        <f>_xlfn.XLOOKUP(A446, Sheet1!A:A, Sheet1!G:G)</f>
        <v>-1</v>
      </c>
      <c r="F446" s="10">
        <f t="shared" si="6"/>
        <v>-1</v>
      </c>
      <c r="G446" cm="1">
        <f t="array" ref="G446:J446">_xlfn.XLOOKUP(A446, Sheet1!A:A, Sheet1!C:F)</f>
        <v>9.8613999999999997</v>
      </c>
      <c r="H446">
        <v>22.38</v>
      </c>
      <c r="I446">
        <v>29.815999999999999</v>
      </c>
      <c r="J446">
        <v>12.789</v>
      </c>
    </row>
    <row r="447" spans="1:10" x14ac:dyDescent="0.3">
      <c r="A447" t="str" cm="1">
        <f t="array" ref="A447">IF(ROW()&lt;=COUNTA(Sheet1!A:A), INDEX(Sheet1!A:A, ROW()),
INDEX(Sheet4!A:A, ROW()-COUNTA(Sheet1!A:A)))</f>
        <v>Al25.7Cr33.7Fe6.2Co16.9Ni17.5</v>
      </c>
      <c r="B447" s="10">
        <f>_xlfn.XLOOKUP(A447, Sheet4!A:A, Sheet4!C:C)</f>
        <v>0</v>
      </c>
      <c r="C447" s="10">
        <v>-1</v>
      </c>
      <c r="D447" s="10">
        <f>_xlfn.XLOOKUP(A447, Sheet2!A:A, Sheet2!B:B)</f>
        <v>6.56</v>
      </c>
      <c r="E447" s="10">
        <f>_xlfn.XLOOKUP(A447, Sheet1!A:A, Sheet1!G:G)</f>
        <v>-1</v>
      </c>
      <c r="F447" s="10">
        <f t="shared" si="6"/>
        <v>-1</v>
      </c>
      <c r="G447" cm="1">
        <f t="array" ref="G447:J447">_xlfn.XLOOKUP(A447, Sheet1!A:A, Sheet1!C:F)</f>
        <v>9.9</v>
      </c>
      <c r="H447">
        <v>22.4</v>
      </c>
      <c r="I447">
        <v>29.8</v>
      </c>
      <c r="J447">
        <v>12.8</v>
      </c>
    </row>
    <row r="448" spans="1:10" x14ac:dyDescent="0.3">
      <c r="A448" t="str" cm="1">
        <f t="array" ref="A448">IF(ROW()&lt;=COUNTA(Sheet1!A:A), INDEX(Sheet1!A:A, ROW()),
INDEX(Sheet4!A:A, ROW()-COUNTA(Sheet1!A:A)))</f>
        <v>Al25.7Cr14Fe18.4Co18.3Ni23.6</v>
      </c>
      <c r="B448" s="10">
        <f>_xlfn.XLOOKUP(A448, Sheet4!A:A, Sheet4!C:C)</f>
        <v>0</v>
      </c>
      <c r="C448" s="10">
        <v>-1</v>
      </c>
      <c r="D448" s="10">
        <f>_xlfn.XLOOKUP(A448, Sheet2!A:A, Sheet2!B:B)</f>
        <v>7.09</v>
      </c>
      <c r="E448" s="10">
        <f>_xlfn.XLOOKUP(A448, Sheet1!A:A, Sheet1!G:G)</f>
        <v>-1</v>
      </c>
      <c r="F448" s="10">
        <f t="shared" si="6"/>
        <v>-1</v>
      </c>
      <c r="G448" cm="1">
        <f t="array" ref="G448:J448">_xlfn.XLOOKUP(A448, Sheet1!A:A, Sheet1!C:F)</f>
        <v>8</v>
      </c>
      <c r="H448">
        <v>31.6</v>
      </c>
      <c r="I448">
        <v>26.8</v>
      </c>
      <c r="J448">
        <v>8.4</v>
      </c>
    </row>
    <row r="449" spans="1:10" x14ac:dyDescent="0.3">
      <c r="A449" t="str" cm="1">
        <f t="array" ref="A449">IF(ROW()&lt;=COUNTA(Sheet1!A:A), INDEX(Sheet1!A:A, ROW()),
INDEX(Sheet4!A:A, ROW()-COUNTA(Sheet1!A:A)))</f>
        <v>Al25.797Cr15.306Fe20.371Co16.989Ni21.537</v>
      </c>
      <c r="B449" s="10">
        <f>_xlfn.XLOOKUP(A449, Sheet4!A:A, Sheet4!C:C)</f>
        <v>0</v>
      </c>
      <c r="C449" s="10">
        <v>-1</v>
      </c>
      <c r="D449" s="10">
        <f>_xlfn.XLOOKUP(A449, Sheet2!A:A, Sheet2!B:B)</f>
        <v>7.0046999999999997</v>
      </c>
      <c r="E449" s="10">
        <f>_xlfn.XLOOKUP(A449, Sheet1!A:A, Sheet1!G:G)</f>
        <v>-1</v>
      </c>
      <c r="F449" s="10">
        <f t="shared" si="6"/>
        <v>-1</v>
      </c>
      <c r="G449" cm="1">
        <f t="array" ref="G449:J449">_xlfn.XLOOKUP(A449, Sheet1!A:A, Sheet1!C:F)</f>
        <v>16.7</v>
      </c>
      <c r="H449">
        <v>33.5</v>
      </c>
      <c r="I449">
        <v>7.2</v>
      </c>
      <c r="J449">
        <v>17.399999999999999</v>
      </c>
    </row>
    <row r="450" spans="1:10" x14ac:dyDescent="0.3">
      <c r="A450" t="str" cm="1">
        <f t="array" ref="A450">IF(ROW()&lt;=COUNTA(Sheet1!A:A), INDEX(Sheet1!A:A, ROW()),
INDEX(Sheet4!A:A, ROW()-COUNTA(Sheet1!A:A)))</f>
        <v>Al25.8Cr15.3Fe20.4Co17Ni21.5</v>
      </c>
      <c r="B450" s="10">
        <f>_xlfn.XLOOKUP(A450, Sheet4!A:A, Sheet4!C:C)</f>
        <v>0</v>
      </c>
      <c r="C450" s="10">
        <v>-1</v>
      </c>
      <c r="D450" s="10">
        <f>_xlfn.XLOOKUP(A450, Sheet2!A:A, Sheet2!B:B)</f>
        <v>7.0039999999999996</v>
      </c>
      <c r="E450" s="10">
        <f>_xlfn.XLOOKUP(A450, Sheet1!A:A, Sheet1!G:G)</f>
        <v>-1</v>
      </c>
      <c r="F450" s="10">
        <f t="shared" si="6"/>
        <v>-1</v>
      </c>
      <c r="G450" cm="1">
        <f t="array" ref="G450:J450">_xlfn.XLOOKUP(A450, Sheet1!A:A, Sheet1!C:F)</f>
        <v>7.9949000000000003</v>
      </c>
      <c r="H450">
        <v>31.591999999999999</v>
      </c>
      <c r="I450">
        <v>26.844999999999999</v>
      </c>
      <c r="J450">
        <v>8.3507999999999996</v>
      </c>
    </row>
    <row r="451" spans="1:10" x14ac:dyDescent="0.3">
      <c r="A451" t="str" cm="1">
        <f t="array" ref="A451">IF(ROW()&lt;=COUNTA(Sheet1!A:A), INDEX(Sheet1!A:A, ROW()),
INDEX(Sheet4!A:A, ROW()-COUNTA(Sheet1!A:A)))</f>
        <v>Al25.8Cr34.5Fe18.5Co10.3Ni10.8</v>
      </c>
      <c r="B451" s="10">
        <f>_xlfn.XLOOKUP(A451, Sheet4!A:A, Sheet4!C:C)</f>
        <v>0</v>
      </c>
      <c r="C451" s="10">
        <v>-1</v>
      </c>
      <c r="D451" s="10">
        <f>_xlfn.XLOOKUP(A451, Sheet2!A:A, Sheet2!B:B)</f>
        <v>6.3372999999999999</v>
      </c>
      <c r="E451" s="10">
        <f>_xlfn.XLOOKUP(A451, Sheet1!A:A, Sheet1!G:G)</f>
        <v>-1</v>
      </c>
      <c r="F451" s="10">
        <f t="shared" ref="F451:F514" si="7">IF(OR(C451=1, E451=1), 1,
   IF(OR(C451=0, E451=0), 0,
      -1))</f>
        <v>-1</v>
      </c>
      <c r="G451" cm="1">
        <f t="array" ref="G451:J451">_xlfn.XLOOKUP(A451, Sheet1!A:A, Sheet1!C:F)</f>
        <v>16.733000000000001</v>
      </c>
      <c r="H451">
        <v>33.491</v>
      </c>
      <c r="I451">
        <v>7.1736000000000004</v>
      </c>
      <c r="J451">
        <v>17.373000000000001</v>
      </c>
    </row>
    <row r="452" spans="1:10" x14ac:dyDescent="0.3">
      <c r="A452" t="str" cm="1">
        <f t="array" ref="A452">IF(ROW()&lt;=COUNTA(Sheet1!A:A), INDEX(Sheet1!A:A, ROW()),
INDEX(Sheet4!A:A, ROW()-COUNTA(Sheet1!A:A)))</f>
        <v>Al25.844Cr34.517Fe18.489Co10.34Ni10.81</v>
      </c>
      <c r="B452" s="10">
        <f>_xlfn.XLOOKUP(A452, Sheet4!A:A, Sheet4!C:C)</f>
        <v>0</v>
      </c>
      <c r="C452" s="10">
        <v>-1</v>
      </c>
      <c r="D452" s="10">
        <f>_xlfn.XLOOKUP(A452, Sheet2!A:A, Sheet2!B:B)</f>
        <v>6.3371000000000004</v>
      </c>
      <c r="E452" s="10">
        <f>_xlfn.XLOOKUP(A452, Sheet1!A:A, Sheet1!G:G)</f>
        <v>-1</v>
      </c>
      <c r="F452" s="10">
        <f t="shared" si="7"/>
        <v>-1</v>
      </c>
      <c r="G452" cm="1">
        <f t="array" ref="G452:J452">_xlfn.XLOOKUP(A452, Sheet1!A:A, Sheet1!C:F)</f>
        <v>15.683999999999999</v>
      </c>
      <c r="H452">
        <v>16.72</v>
      </c>
      <c r="I452">
        <v>22.379000000000001</v>
      </c>
      <c r="J452">
        <v>19.657</v>
      </c>
    </row>
    <row r="453" spans="1:10" x14ac:dyDescent="0.3">
      <c r="A453" t="str" cm="1">
        <f t="array" ref="A453">IF(ROW()&lt;=COUNTA(Sheet1!A:A), INDEX(Sheet1!A:A, ROW()),
INDEX(Sheet4!A:A, ROW()-COUNTA(Sheet1!A:A)))</f>
        <v>Al1.4CoCrFeNi</v>
      </c>
      <c r="B453" s="10">
        <f>_xlfn.XLOOKUP(A453, Sheet4!A:A, Sheet4!C:C)</f>
        <v>0</v>
      </c>
      <c r="C453" s="10">
        <v>-1</v>
      </c>
      <c r="D453" s="10">
        <f>_xlfn.XLOOKUP(A453, Sheet2!A:A, Sheet2!B:B)</f>
        <v>6.8888999999999996</v>
      </c>
      <c r="E453" s="10">
        <f>_xlfn.XLOOKUP(A453, Sheet1!A:A, Sheet1!G:G)</f>
        <v>-1</v>
      </c>
      <c r="F453" s="10">
        <f t="shared" si="7"/>
        <v>-1</v>
      </c>
      <c r="G453" cm="1">
        <f t="array" ref="G453:J453">_xlfn.XLOOKUP(A453, Sheet1!A:A, Sheet1!C:F)</f>
        <v>15.7</v>
      </c>
      <c r="H453">
        <v>16.7</v>
      </c>
      <c r="I453">
        <v>22.4</v>
      </c>
      <c r="J453">
        <v>19.7</v>
      </c>
    </row>
    <row r="454" spans="1:10" x14ac:dyDescent="0.3">
      <c r="A454" t="str" cm="1">
        <f t="array" ref="A454">IF(ROW()&lt;=COUNTA(Sheet1!A:A), INDEX(Sheet1!A:A, ROW()),
INDEX(Sheet4!A:A, ROW()-COUNTA(Sheet1!A:A)))</f>
        <v>Al25.961Cr34.228Fe14.225Co12.518Ni13.067</v>
      </c>
      <c r="B454" s="10">
        <f>_xlfn.XLOOKUP(A454, Sheet4!A:A, Sheet4!C:C)</f>
        <v>0</v>
      </c>
      <c r="C454" s="10">
        <v>-1</v>
      </c>
      <c r="D454" s="10">
        <f>_xlfn.XLOOKUP(A454, Sheet2!A:A, Sheet2!B:B)</f>
        <v>6.4039000000000001</v>
      </c>
      <c r="E454" s="10">
        <f>_xlfn.XLOOKUP(A454, Sheet1!A:A, Sheet1!G:G)</f>
        <v>-1</v>
      </c>
      <c r="F454" s="10">
        <f t="shared" si="7"/>
        <v>-1</v>
      </c>
      <c r="G454" cm="1">
        <f t="array" ref="G454:J454">_xlfn.XLOOKUP(A454, Sheet1!A:A, Sheet1!C:F)</f>
        <v>18.288</v>
      </c>
      <c r="H454">
        <v>14.016</v>
      </c>
      <c r="I454">
        <v>18.41</v>
      </c>
      <c r="J454">
        <v>23.603999999999999</v>
      </c>
    </row>
    <row r="455" spans="1:10" x14ac:dyDescent="0.3">
      <c r="A455" t="str" cm="1">
        <f t="array" ref="A455">IF(ROW()&lt;=COUNTA(Sheet1!A:A), INDEX(Sheet1!A:A, ROW()),
INDEX(Sheet4!A:A, ROW()-COUNTA(Sheet1!A:A)))</f>
        <v>Al26Cr34.2Fe14.2Co12.5Ni13.1</v>
      </c>
      <c r="B455" s="10">
        <f>_xlfn.XLOOKUP(A455, Sheet4!A:A, Sheet4!C:C)</f>
        <v>0</v>
      </c>
      <c r="C455" s="10">
        <v>-1</v>
      </c>
      <c r="D455" s="10">
        <f>_xlfn.XLOOKUP(A455, Sheet2!A:A, Sheet2!B:B)</f>
        <v>6.4029999999999996</v>
      </c>
      <c r="E455" s="10">
        <f>_xlfn.XLOOKUP(A455, Sheet1!A:A, Sheet1!G:G)</f>
        <v>-1</v>
      </c>
      <c r="F455" s="10">
        <f t="shared" si="7"/>
        <v>-1</v>
      </c>
      <c r="G455" cm="1">
        <f t="array" ref="G455:J455">_xlfn.XLOOKUP(A455, Sheet1!A:A, Sheet1!C:F)</f>
        <v>16.925999999999998</v>
      </c>
      <c r="H455">
        <v>33.652000000000001</v>
      </c>
      <c r="I455">
        <v>6.2263999999999999</v>
      </c>
      <c r="J455">
        <v>17.507000000000001</v>
      </c>
    </row>
    <row r="456" spans="1:10" x14ac:dyDescent="0.3">
      <c r="A456" t="str" cm="1">
        <f t="array" ref="A456">IF(ROW()&lt;=COUNTA(Sheet1!A:A), INDEX(Sheet1!A:A, ROW()),
INDEX(Sheet4!A:A, ROW()-COUNTA(Sheet1!A:A)))</f>
        <v>Al26Cr35Fe12.3Co12.9Ni13.8</v>
      </c>
      <c r="B456" s="10">
        <f>_xlfn.XLOOKUP(A456, Sheet4!A:A, Sheet4!C:C)</f>
        <v>0</v>
      </c>
      <c r="C456" s="10">
        <v>-1</v>
      </c>
      <c r="D456" s="10">
        <f>_xlfn.XLOOKUP(A456, Sheet2!A:A, Sheet2!B:B)</f>
        <v>6.4050000000000002</v>
      </c>
      <c r="E456" s="10">
        <f>_xlfn.XLOOKUP(A456, Sheet1!A:A, Sheet1!G:G)</f>
        <v>-1</v>
      </c>
      <c r="F456" s="10">
        <f t="shared" si="7"/>
        <v>-1</v>
      </c>
      <c r="G456" cm="1">
        <f t="array" ref="G456:J456">_xlfn.XLOOKUP(A456, Sheet1!A:A, Sheet1!C:F)</f>
        <v>16.899999999999999</v>
      </c>
      <c r="H456">
        <v>33.700000000000003</v>
      </c>
      <c r="I456">
        <v>6.2</v>
      </c>
      <c r="J456">
        <v>17.5</v>
      </c>
    </row>
    <row r="457" spans="1:10" x14ac:dyDescent="0.3">
      <c r="A457" t="str" cm="1">
        <f t="array" ref="A457">IF(ROW()&lt;=COUNTA(Sheet1!A:A), INDEX(Sheet1!A:A, ROW()),
INDEX(Sheet4!A:A, ROW()-COUNTA(Sheet1!A:A)))</f>
        <v>Al26.018Cr35.028Fe12.275Co12.868Ni13.81</v>
      </c>
      <c r="B457" s="10">
        <f>_xlfn.XLOOKUP(A457, Sheet4!A:A, Sheet4!C:C)</f>
        <v>0</v>
      </c>
      <c r="C457" s="10">
        <v>-1</v>
      </c>
      <c r="D457" s="10">
        <f>_xlfn.XLOOKUP(A457, Sheet2!A:A, Sheet2!B:B)</f>
        <v>6.4034000000000004</v>
      </c>
      <c r="E457" s="10">
        <f>_xlfn.XLOOKUP(A457, Sheet1!A:A, Sheet1!G:G)</f>
        <v>-1</v>
      </c>
      <c r="F457" s="10">
        <f t="shared" si="7"/>
        <v>-1</v>
      </c>
      <c r="G457" cm="1">
        <f t="array" ref="G457:J457">_xlfn.XLOOKUP(A457, Sheet1!A:A, Sheet1!C:F)</f>
        <v>18.3</v>
      </c>
      <c r="H457">
        <v>14</v>
      </c>
      <c r="I457">
        <v>18.399999999999999</v>
      </c>
      <c r="J457">
        <v>23.6</v>
      </c>
    </row>
    <row r="458" spans="1:10" x14ac:dyDescent="0.3">
      <c r="A458" t="str" cm="1">
        <f t="array" ref="A458">IF(ROW()&lt;=COUNTA(Sheet1!A:A), INDEX(Sheet1!A:A, ROW()),
INDEX(Sheet4!A:A, ROW()-COUNTA(Sheet1!A:A)))</f>
        <v>Al26Cr33.6Fe23.1Co8.4Ni8.8</v>
      </c>
      <c r="B458" s="10">
        <f>_xlfn.XLOOKUP(A458, Sheet4!A:A, Sheet4!C:C)</f>
        <v>0</v>
      </c>
      <c r="C458" s="10">
        <v>-1</v>
      </c>
      <c r="D458" s="10">
        <f>_xlfn.XLOOKUP(A458, Sheet2!A:A, Sheet2!B:B)</f>
        <v>6.2862999999999998</v>
      </c>
      <c r="E458" s="10">
        <f>_xlfn.XLOOKUP(A458, Sheet1!A:A, Sheet1!G:G)</f>
        <v>-1</v>
      </c>
      <c r="F458" s="10">
        <f t="shared" si="7"/>
        <v>-1</v>
      </c>
      <c r="G458" cm="1">
        <f t="array" ref="G458:J458">_xlfn.XLOOKUP(A458, Sheet1!A:A, Sheet1!C:F)</f>
        <v>16.989000000000001</v>
      </c>
      <c r="H458">
        <v>15.305999999999999</v>
      </c>
      <c r="I458">
        <v>20.370999999999999</v>
      </c>
      <c r="J458">
        <v>21.536999999999999</v>
      </c>
    </row>
    <row r="459" spans="1:10" x14ac:dyDescent="0.3">
      <c r="A459" t="str" cm="1">
        <f t="array" ref="A459">IF(ROW()&lt;=COUNTA(Sheet1!A:A), INDEX(Sheet1!A:A, ROW()),
INDEX(Sheet4!A:A, ROW()-COUNTA(Sheet1!A:A)))</f>
        <v>Al26.04Cr33.638Fe23.054Co8.448Ni8.8202</v>
      </c>
      <c r="B459" s="10">
        <f>_xlfn.XLOOKUP(A459, Sheet4!A:A, Sheet4!C:C)</f>
        <v>0</v>
      </c>
      <c r="C459" s="10">
        <v>-1</v>
      </c>
      <c r="D459" s="10">
        <f>_xlfn.XLOOKUP(A459, Sheet2!A:A, Sheet2!B:B)</f>
        <v>6.2861000000000002</v>
      </c>
      <c r="E459" s="10">
        <f>_xlfn.XLOOKUP(A459, Sheet1!A:A, Sheet1!G:G)</f>
        <v>-1</v>
      </c>
      <c r="F459" s="10">
        <f t="shared" si="7"/>
        <v>-1</v>
      </c>
      <c r="G459" cm="1">
        <f t="array" ref="G459:J459">_xlfn.XLOOKUP(A459, Sheet1!A:A, Sheet1!C:F)</f>
        <v>17</v>
      </c>
      <c r="H459">
        <v>15.3</v>
      </c>
      <c r="I459">
        <v>20.399999999999999</v>
      </c>
      <c r="J459">
        <v>21.5</v>
      </c>
    </row>
    <row r="460" spans="1:10" x14ac:dyDescent="0.3">
      <c r="A460" t="str" cm="1">
        <f t="array" ref="A460">IF(ROW()&lt;=COUNTA(Sheet1!A:A), INDEX(Sheet1!A:A, ROW()),
INDEX(Sheet4!A:A, ROW()-COUNTA(Sheet1!A:A)))</f>
        <v>Al26.3Cr35.9Fe10.4Co13.5Ni14</v>
      </c>
      <c r="B460" s="10">
        <f>_xlfn.XLOOKUP(A460, Sheet4!A:A, Sheet4!C:C)</f>
        <v>0</v>
      </c>
      <c r="C460" s="10">
        <v>-1</v>
      </c>
      <c r="D460" s="10">
        <f>_xlfn.XLOOKUP(A460, Sheet2!A:A, Sheet2!B:B)</f>
        <v>6.3836000000000004</v>
      </c>
      <c r="E460" s="10">
        <f>_xlfn.XLOOKUP(A460, Sheet1!A:A, Sheet1!G:G)</f>
        <v>-1</v>
      </c>
      <c r="F460" s="10">
        <f t="shared" si="7"/>
        <v>-1</v>
      </c>
      <c r="G460" cm="1">
        <f t="array" ref="G460:J460">_xlfn.XLOOKUP(A460, Sheet1!A:A, Sheet1!C:F)</f>
        <v>10.3</v>
      </c>
      <c r="H460">
        <v>34.5</v>
      </c>
      <c r="I460">
        <v>18.5</v>
      </c>
      <c r="J460">
        <v>10.8</v>
      </c>
    </row>
    <row r="461" spans="1:10" x14ac:dyDescent="0.3">
      <c r="A461" t="str" cm="1">
        <f t="array" ref="A461">IF(ROW()&lt;=COUNTA(Sheet1!A:A), INDEX(Sheet1!A:A, ROW()),
INDEX(Sheet4!A:A, ROW()-COUNTA(Sheet1!A:A)))</f>
        <v>Al26.335Cr35.884Fe10.356Co13.452Ni13.973</v>
      </c>
      <c r="B461" s="10">
        <f>_xlfn.XLOOKUP(A461, Sheet4!A:A, Sheet4!C:C)</f>
        <v>0</v>
      </c>
      <c r="C461" s="10">
        <v>-1</v>
      </c>
      <c r="D461" s="10">
        <f>_xlfn.XLOOKUP(A461, Sheet2!A:A, Sheet2!B:B)</f>
        <v>6.3795999999999999</v>
      </c>
      <c r="E461" s="10">
        <f>_xlfn.XLOOKUP(A461, Sheet1!A:A, Sheet1!G:G)</f>
        <v>-1</v>
      </c>
      <c r="F461" s="10">
        <f t="shared" si="7"/>
        <v>-1</v>
      </c>
      <c r="G461" cm="1">
        <f t="array" ref="G461:J461">_xlfn.XLOOKUP(A461, Sheet1!A:A, Sheet1!C:F)</f>
        <v>10.34</v>
      </c>
      <c r="H461">
        <v>34.517000000000003</v>
      </c>
      <c r="I461">
        <v>18.489000000000001</v>
      </c>
      <c r="J461">
        <v>10.81</v>
      </c>
    </row>
    <row r="462" spans="1:10" x14ac:dyDescent="0.3">
      <c r="A462" t="str" cm="1">
        <f t="array" ref="A462">IF(ROW()&lt;=COUNTA(Sheet1!A:A), INDEX(Sheet1!A:A, ROW()),
INDEX(Sheet4!A:A, ROW()-COUNTA(Sheet1!A:A)))</f>
        <v>Al26.4Cr20.613Fe27.729Co11.054Ni14.204</v>
      </c>
      <c r="B462" s="10">
        <f>_xlfn.XLOOKUP(A462, Sheet4!A:A, Sheet4!C:C)</f>
        <v>0</v>
      </c>
      <c r="C462" s="10">
        <v>-1</v>
      </c>
      <c r="D462" s="10">
        <f>_xlfn.XLOOKUP(A462, Sheet2!A:A, Sheet2!B:B)</f>
        <v>6.6623999999999999</v>
      </c>
      <c r="E462" s="10">
        <f>_xlfn.XLOOKUP(A462, Sheet1!A:A, Sheet1!G:G)</f>
        <v>-1</v>
      </c>
      <c r="F462" s="10">
        <f t="shared" si="7"/>
        <v>-1</v>
      </c>
      <c r="G462" cm="1">
        <f t="array" ref="G462:J462">_xlfn.XLOOKUP(A462, Sheet1!A:A, Sheet1!C:F)</f>
        <v>18.518518520000001</v>
      </c>
      <c r="H462">
        <v>18.518518520000001</v>
      </c>
      <c r="I462">
        <v>18.518518520000001</v>
      </c>
      <c r="J462">
        <v>18.518518520000001</v>
      </c>
    </row>
    <row r="463" spans="1:10" x14ac:dyDescent="0.3">
      <c r="A463" t="str" cm="1">
        <f t="array" ref="A463">IF(ROW()&lt;=COUNTA(Sheet1!A:A), INDEX(Sheet1!A:A, ROW()),
INDEX(Sheet4!A:A, ROW()-COUNTA(Sheet1!A:A)))</f>
        <v>Al26.4Cr20.6Fe27.7Co11.1Ni14.2</v>
      </c>
      <c r="B463" s="10">
        <f>_xlfn.XLOOKUP(A463, Sheet4!A:A, Sheet4!C:C)</f>
        <v>0</v>
      </c>
      <c r="C463" s="10">
        <v>-1</v>
      </c>
      <c r="D463" s="10">
        <f>_xlfn.XLOOKUP(A463, Sheet2!A:A, Sheet2!B:B)</f>
        <v>6.6630000000000003</v>
      </c>
      <c r="E463" s="10">
        <f>_xlfn.XLOOKUP(A463, Sheet1!A:A, Sheet1!G:G)</f>
        <v>-1</v>
      </c>
      <c r="F463" s="10">
        <f t="shared" si="7"/>
        <v>-1</v>
      </c>
      <c r="G463" cm="1">
        <f t="array" ref="G463:J463">_xlfn.XLOOKUP(A463, Sheet1!A:A, Sheet1!C:F)</f>
        <v>12.518000000000001</v>
      </c>
      <c r="H463">
        <v>34.228000000000002</v>
      </c>
      <c r="I463">
        <v>14.225</v>
      </c>
      <c r="J463">
        <v>13.067</v>
      </c>
    </row>
    <row r="464" spans="1:10" x14ac:dyDescent="0.3">
      <c r="A464" t="str" cm="1">
        <f t="array" ref="A464">IF(ROW()&lt;=COUNTA(Sheet1!A:A), INDEX(Sheet1!A:A, ROW()),
INDEX(Sheet4!A:A, ROW()-COUNTA(Sheet1!A:A)))</f>
        <v>Al26.4Cr24.9Fe33.5Co6.5Ni8.6</v>
      </c>
      <c r="B464" s="10">
        <f>_xlfn.XLOOKUP(A464, Sheet4!A:A, Sheet4!C:C)</f>
        <v>0</v>
      </c>
      <c r="C464" s="10">
        <v>-1</v>
      </c>
      <c r="D464" s="10">
        <f>_xlfn.XLOOKUP(A464, Sheet2!A:A, Sheet2!B:B)</f>
        <v>6.4173999999999998</v>
      </c>
      <c r="E464" s="10">
        <f>_xlfn.XLOOKUP(A464, Sheet1!A:A, Sheet1!G:G)</f>
        <v>-1</v>
      </c>
      <c r="F464" s="10">
        <f t="shared" si="7"/>
        <v>-1</v>
      </c>
      <c r="G464" cm="1">
        <f t="array" ref="G464:J464">_xlfn.XLOOKUP(A464, Sheet1!A:A, Sheet1!C:F)</f>
        <v>12.5</v>
      </c>
      <c r="H464">
        <v>34.200000000000003</v>
      </c>
      <c r="I464">
        <v>14.2</v>
      </c>
      <c r="J464">
        <v>13.1</v>
      </c>
    </row>
    <row r="465" spans="1:10" x14ac:dyDescent="0.3">
      <c r="A465" t="str" cm="1">
        <f t="array" ref="A465">IF(ROW()&lt;=COUNTA(Sheet1!A:A), INDEX(Sheet1!A:A, ROW()),
INDEX(Sheet4!A:A, ROW()-COUNTA(Sheet1!A:A)))</f>
        <v>Al26.448Cr24.89Fe33.505Co6.5465Ni8.6105</v>
      </c>
      <c r="B465" s="10">
        <f>_xlfn.XLOOKUP(A465, Sheet4!A:A, Sheet4!C:C)</f>
        <v>0</v>
      </c>
      <c r="C465" s="10">
        <v>-1</v>
      </c>
      <c r="D465" s="10">
        <f>_xlfn.XLOOKUP(A465, Sheet2!A:A, Sheet2!B:B)</f>
        <v>6.4175000000000004</v>
      </c>
      <c r="E465" s="10">
        <f>_xlfn.XLOOKUP(A465, Sheet1!A:A, Sheet1!G:G)</f>
        <v>-1</v>
      </c>
      <c r="F465" s="10">
        <f t="shared" si="7"/>
        <v>-1</v>
      </c>
      <c r="G465" cm="1">
        <f t="array" ref="G465:J465">_xlfn.XLOOKUP(A465, Sheet1!A:A, Sheet1!C:F)</f>
        <v>12.9</v>
      </c>
      <c r="H465">
        <v>35</v>
      </c>
      <c r="I465">
        <v>12.3</v>
      </c>
      <c r="J465">
        <v>13.8</v>
      </c>
    </row>
    <row r="466" spans="1:10" x14ac:dyDescent="0.3">
      <c r="A466" t="str" cm="1">
        <f t="array" ref="A466">IF(ROW()&lt;=COUNTA(Sheet1!A:A), INDEX(Sheet1!A:A, ROW()),
INDEX(Sheet4!A:A, ROW()-COUNTA(Sheet1!A:A)))</f>
        <v>Al26.458Cr23.092Fe31.01Co8.5177Ni10.922</v>
      </c>
      <c r="B466" s="10">
        <f>_xlfn.XLOOKUP(A466, Sheet4!A:A, Sheet4!C:C)</f>
        <v>0</v>
      </c>
      <c r="C466" s="10">
        <v>-1</v>
      </c>
      <c r="D466" s="10">
        <f>_xlfn.XLOOKUP(A466, Sheet2!A:A, Sheet2!B:B)</f>
        <v>6.5189000000000004</v>
      </c>
      <c r="E466" s="10">
        <f>_xlfn.XLOOKUP(A466, Sheet1!A:A, Sheet1!G:G)</f>
        <v>-1</v>
      </c>
      <c r="F466" s="10">
        <f t="shared" si="7"/>
        <v>-1</v>
      </c>
      <c r="G466" cm="1">
        <f t="array" ref="G466:J466">_xlfn.XLOOKUP(A466, Sheet1!A:A, Sheet1!C:F)</f>
        <v>12.868</v>
      </c>
      <c r="H466">
        <v>35.027999999999999</v>
      </c>
      <c r="I466">
        <v>12.275</v>
      </c>
      <c r="J466">
        <v>13.81</v>
      </c>
    </row>
    <row r="467" spans="1:10" x14ac:dyDescent="0.3">
      <c r="A467" t="str" cm="1">
        <f t="array" ref="A467">IF(ROW()&lt;=COUNTA(Sheet1!A:A), INDEX(Sheet1!A:A, ROW()),
INDEX(Sheet4!A:A, ROW()-COUNTA(Sheet1!A:A)))</f>
        <v>Al26.487Cr34.34Fe24.422Co7.1436Ni7.6076</v>
      </c>
      <c r="B467" s="10">
        <f>_xlfn.XLOOKUP(A467, Sheet4!A:A, Sheet4!C:C)</f>
        <v>0</v>
      </c>
      <c r="C467" s="10">
        <v>-1</v>
      </c>
      <c r="D467" s="10">
        <f>_xlfn.XLOOKUP(A467, Sheet2!A:A, Sheet2!B:B)</f>
        <v>6.2123999999999997</v>
      </c>
      <c r="E467" s="10">
        <f>_xlfn.XLOOKUP(A467, Sheet1!A:A, Sheet1!G:G)</f>
        <v>-1</v>
      </c>
      <c r="F467" s="10">
        <f t="shared" si="7"/>
        <v>-1</v>
      </c>
      <c r="G467" cm="1">
        <f t="array" ref="G467:J467">_xlfn.XLOOKUP(A467, Sheet1!A:A, Sheet1!C:F)</f>
        <v>8.4</v>
      </c>
      <c r="H467">
        <v>33.6</v>
      </c>
      <c r="I467">
        <v>23.1</v>
      </c>
      <c r="J467">
        <v>8.8000000000000007</v>
      </c>
    </row>
    <row r="468" spans="1:10" x14ac:dyDescent="0.3">
      <c r="A468" t="str" cm="1">
        <f t="array" ref="A468">IF(ROW()&lt;=COUNTA(Sheet1!A:A), INDEX(Sheet1!A:A, ROW()),
INDEX(Sheet4!A:A, ROW()-COUNTA(Sheet1!A:A)))</f>
        <v>Al26.5Cr23.1Fe31Co8.5Ni10.9</v>
      </c>
      <c r="B468" s="10">
        <f>_xlfn.XLOOKUP(A468, Sheet4!A:A, Sheet4!C:C)</f>
        <v>0</v>
      </c>
      <c r="C468" s="10">
        <v>-1</v>
      </c>
      <c r="D468" s="10">
        <f>_xlfn.XLOOKUP(A468, Sheet2!A:A, Sheet2!B:B)</f>
        <v>6.516</v>
      </c>
      <c r="E468" s="10">
        <f>_xlfn.XLOOKUP(A468, Sheet1!A:A, Sheet1!G:G)</f>
        <v>-1</v>
      </c>
      <c r="F468" s="10">
        <f t="shared" si="7"/>
        <v>-1</v>
      </c>
      <c r="G468" cm="1">
        <f t="array" ref="G468:J468">_xlfn.XLOOKUP(A468, Sheet1!A:A, Sheet1!C:F)</f>
        <v>8.4480000000000004</v>
      </c>
      <c r="H468">
        <v>33.637999999999998</v>
      </c>
      <c r="I468">
        <v>23.053999999999998</v>
      </c>
      <c r="J468">
        <v>8.8201999999999998</v>
      </c>
    </row>
    <row r="469" spans="1:10" x14ac:dyDescent="0.3">
      <c r="A469" t="str" cm="1">
        <f t="array" ref="A469">IF(ROW()&lt;=COUNTA(Sheet1!A:A), INDEX(Sheet1!A:A, ROW()),
INDEX(Sheet4!A:A, ROW()-COUNTA(Sheet1!A:A)))</f>
        <v>Al26.5Cr11.4Fe15.2Co20.6Ni26.3</v>
      </c>
      <c r="B469" s="10">
        <f>_xlfn.XLOOKUP(A469, Sheet4!A:A, Sheet4!C:C)</f>
        <v>0</v>
      </c>
      <c r="C469" s="10">
        <v>-1</v>
      </c>
      <c r="D469" s="10">
        <f>_xlfn.XLOOKUP(A469, Sheet2!A:A, Sheet2!B:B)</f>
        <v>7.1790000000000003</v>
      </c>
      <c r="E469" s="10">
        <f>_xlfn.XLOOKUP(A469, Sheet1!A:A, Sheet1!G:G)</f>
        <v>-1</v>
      </c>
      <c r="F469" s="10">
        <f t="shared" si="7"/>
        <v>-1</v>
      </c>
      <c r="G469" cm="1">
        <f t="array" ref="G469:J469">_xlfn.XLOOKUP(A469, Sheet1!A:A, Sheet1!C:F)</f>
        <v>13.5</v>
      </c>
      <c r="H469">
        <v>35.9</v>
      </c>
      <c r="I469">
        <v>10.4</v>
      </c>
      <c r="J469">
        <v>14</v>
      </c>
    </row>
    <row r="470" spans="1:10" x14ac:dyDescent="0.3">
      <c r="A470" t="str" cm="1">
        <f t="array" ref="A470">IF(ROW()&lt;=COUNTA(Sheet1!A:A), INDEX(Sheet1!A:A, ROW()),
INDEX(Sheet4!A:A, ROW()-COUNTA(Sheet1!A:A)))</f>
        <v>Al26.5Cr34.3Fe24.4Co7.1Ni7.6</v>
      </c>
      <c r="B470" s="10">
        <f>_xlfn.XLOOKUP(A470, Sheet4!A:A, Sheet4!C:C)</f>
        <v>0</v>
      </c>
      <c r="C470" s="10">
        <v>-1</v>
      </c>
      <c r="D470" s="10">
        <f>_xlfn.XLOOKUP(A470, Sheet2!A:A, Sheet2!B:B)</f>
        <v>6.2102000000000004</v>
      </c>
      <c r="E470" s="10">
        <f>_xlfn.XLOOKUP(A470, Sheet1!A:A, Sheet1!G:G)</f>
        <v>-1</v>
      </c>
      <c r="F470" s="10">
        <f t="shared" si="7"/>
        <v>-1</v>
      </c>
      <c r="G470" cm="1">
        <f t="array" ref="G470:J470">_xlfn.XLOOKUP(A470, Sheet1!A:A, Sheet1!C:F)</f>
        <v>13.452</v>
      </c>
      <c r="H470">
        <v>35.884</v>
      </c>
      <c r="I470">
        <v>10.356</v>
      </c>
      <c r="J470">
        <v>13.973000000000001</v>
      </c>
    </row>
    <row r="471" spans="1:10" x14ac:dyDescent="0.3">
      <c r="A471" t="str" cm="1">
        <f t="array" ref="A471">IF(ROW()&lt;=COUNTA(Sheet1!A:A), INDEX(Sheet1!A:A, ROW()),
INDEX(Sheet4!A:A, ROW()-COUNTA(Sheet1!A:A)))</f>
        <v>Al26.538Cr11.447Fe15.157Co20.602Ni26.256</v>
      </c>
      <c r="B471" s="10">
        <f>_xlfn.XLOOKUP(A471, Sheet4!A:A, Sheet4!C:C)</f>
        <v>0</v>
      </c>
      <c r="C471" s="10">
        <v>-1</v>
      </c>
      <c r="D471" s="10">
        <f>_xlfn.XLOOKUP(A471, Sheet2!A:A, Sheet2!B:B)</f>
        <v>7.1753</v>
      </c>
      <c r="E471" s="10">
        <f>_xlfn.XLOOKUP(A471, Sheet1!A:A, Sheet1!G:G)</f>
        <v>-1</v>
      </c>
      <c r="F471" s="10">
        <f t="shared" si="7"/>
        <v>-1</v>
      </c>
      <c r="G471" cm="1">
        <f t="array" ref="G471:J471">_xlfn.XLOOKUP(A471, Sheet1!A:A, Sheet1!C:F)</f>
        <v>11.054</v>
      </c>
      <c r="H471">
        <v>20.613</v>
      </c>
      <c r="I471">
        <v>27.728999999999999</v>
      </c>
      <c r="J471">
        <v>14.204000000000001</v>
      </c>
    </row>
    <row r="472" spans="1:10" x14ac:dyDescent="0.3">
      <c r="A472" t="str" cm="1">
        <f t="array" ref="A472">IF(ROW()&lt;=COUNTA(Sheet1!A:A), INDEX(Sheet1!A:A, ROW()),
INDEX(Sheet4!A:A, ROW()-COUNTA(Sheet1!A:A)))</f>
        <v>Al26.6Cr35.8Fe19.7Co8.5Ni9.3</v>
      </c>
      <c r="B472" s="10">
        <f>_xlfn.XLOOKUP(A472, Sheet4!A:A, Sheet4!C:C)</f>
        <v>0</v>
      </c>
      <c r="C472" s="10">
        <v>-1</v>
      </c>
      <c r="D472" s="10">
        <f>_xlfn.XLOOKUP(A472, Sheet2!A:A, Sheet2!B:B)</f>
        <v>6.2232000000000003</v>
      </c>
      <c r="E472" s="10">
        <f>_xlfn.XLOOKUP(A472, Sheet1!A:A, Sheet1!G:G)</f>
        <v>-1</v>
      </c>
      <c r="F472" s="10">
        <f t="shared" si="7"/>
        <v>-1</v>
      </c>
      <c r="G472" cm="1">
        <f t="array" ref="G472:J472">_xlfn.XLOOKUP(A472, Sheet1!A:A, Sheet1!C:F)</f>
        <v>11.1</v>
      </c>
      <c r="H472">
        <v>20.6</v>
      </c>
      <c r="I472">
        <v>27.7</v>
      </c>
      <c r="J472">
        <v>14.2</v>
      </c>
    </row>
    <row r="473" spans="1:10" x14ac:dyDescent="0.3">
      <c r="A473" t="str" cm="1">
        <f t="array" ref="A473">IF(ROW()&lt;=COUNTA(Sheet1!A:A), INDEX(Sheet1!A:A, ROW()),
INDEX(Sheet4!A:A, ROW()-COUNTA(Sheet1!A:A)))</f>
        <v>Al26.633Cr35.834Fe19.722Co8.5182Ni9.2931</v>
      </c>
      <c r="B473" s="10">
        <f>_xlfn.XLOOKUP(A473, Sheet4!A:A, Sheet4!C:C)</f>
        <v>0</v>
      </c>
      <c r="C473" s="10">
        <v>-1</v>
      </c>
      <c r="D473" s="10">
        <f>_xlfn.XLOOKUP(A473, Sheet2!A:A, Sheet2!B:B)</f>
        <v>6.2226999999999997</v>
      </c>
      <c r="E473" s="10">
        <f>_xlfn.XLOOKUP(A473, Sheet1!A:A, Sheet1!G:G)</f>
        <v>-1</v>
      </c>
      <c r="F473" s="10">
        <f t="shared" si="7"/>
        <v>-1</v>
      </c>
      <c r="G473" cm="1">
        <f t="array" ref="G473:J473">_xlfn.XLOOKUP(A473, Sheet1!A:A, Sheet1!C:F)</f>
        <v>6.5</v>
      </c>
      <c r="H473">
        <v>24.9</v>
      </c>
      <c r="I473">
        <v>33.5</v>
      </c>
      <c r="J473">
        <v>8.6</v>
      </c>
    </row>
    <row r="474" spans="1:10" x14ac:dyDescent="0.3">
      <c r="A474" t="str" cm="1">
        <f t="array" ref="A474">IF(ROW()&lt;=COUNTA(Sheet1!A:A), INDEX(Sheet1!A:A, ROW()),
INDEX(Sheet4!A:A, ROW()-COUNTA(Sheet1!A:A)))</f>
        <v>Al26.7Cr36Fe9Co13.9Ni14.4</v>
      </c>
      <c r="B474" s="10">
        <f>_xlfn.XLOOKUP(A474, Sheet4!A:A, Sheet4!C:C)</f>
        <v>0</v>
      </c>
      <c r="C474" s="10">
        <v>-1</v>
      </c>
      <c r="D474" s="10">
        <f>_xlfn.XLOOKUP(A474, Sheet2!A:A, Sheet2!B:B)</f>
        <v>6.3719999999999999</v>
      </c>
      <c r="E474" s="10">
        <f>_xlfn.XLOOKUP(A474, Sheet1!A:A, Sheet1!G:G)</f>
        <v>-1</v>
      </c>
      <c r="F474" s="10">
        <f t="shared" si="7"/>
        <v>-1</v>
      </c>
      <c r="G474" cm="1">
        <f t="array" ref="G474:J474">_xlfn.XLOOKUP(A474, Sheet1!A:A, Sheet1!C:F)</f>
        <v>6.5465</v>
      </c>
      <c r="H474">
        <v>24.89</v>
      </c>
      <c r="I474">
        <v>33.505000000000003</v>
      </c>
      <c r="J474">
        <v>8.6105</v>
      </c>
    </row>
    <row r="475" spans="1:10" x14ac:dyDescent="0.3">
      <c r="A475" t="str" cm="1">
        <f t="array" ref="A475">IF(ROW()&lt;=COUNTA(Sheet1!A:A), INDEX(Sheet1!A:A, ROW()),
INDEX(Sheet4!A:A, ROW()-COUNTA(Sheet1!A:A)))</f>
        <v>Al26.701Cr36.006Fe9.0012Co13.873Ni14.419</v>
      </c>
      <c r="B475" s="10">
        <f>_xlfn.XLOOKUP(A475, Sheet4!A:A, Sheet4!C:C)</f>
        <v>0</v>
      </c>
      <c r="C475" s="10">
        <v>-1</v>
      </c>
      <c r="D475" s="10">
        <f>_xlfn.XLOOKUP(A475, Sheet2!A:A, Sheet2!B:B)</f>
        <v>6.3719000000000001</v>
      </c>
      <c r="E475" s="10">
        <f>_xlfn.XLOOKUP(A475, Sheet1!A:A, Sheet1!G:G)</f>
        <v>-1</v>
      </c>
      <c r="F475" s="10">
        <f t="shared" si="7"/>
        <v>-1</v>
      </c>
      <c r="G475" cm="1">
        <f t="array" ref="G475:J475">_xlfn.XLOOKUP(A475, Sheet1!A:A, Sheet1!C:F)</f>
        <v>8.5176999999999996</v>
      </c>
      <c r="H475">
        <v>23.091999999999999</v>
      </c>
      <c r="I475">
        <v>31.01</v>
      </c>
      <c r="J475">
        <v>10.922000000000001</v>
      </c>
    </row>
    <row r="476" spans="1:10" x14ac:dyDescent="0.3">
      <c r="A476" t="str" cm="1">
        <f t="array" ref="A476">IF(ROW()&lt;=COUNTA(Sheet1!A:A), INDEX(Sheet1!A:A, ROW()),
INDEX(Sheet4!A:A, ROW()-COUNTA(Sheet1!A:A)))</f>
        <v>Al26.888Cr36.715Fe7.7867Co13.962Ni14.648</v>
      </c>
      <c r="B476" s="10">
        <f>_xlfn.XLOOKUP(A476, Sheet4!A:A, Sheet4!C:C)</f>
        <v>0</v>
      </c>
      <c r="C476" s="10">
        <v>-1</v>
      </c>
      <c r="D476" s="10">
        <f>_xlfn.XLOOKUP(A476, Sheet2!A:A, Sheet2!B:B)</f>
        <v>6.3539000000000003</v>
      </c>
      <c r="E476" s="10">
        <f>_xlfn.XLOOKUP(A476, Sheet1!A:A, Sheet1!G:G)</f>
        <v>-1</v>
      </c>
      <c r="F476" s="10">
        <f t="shared" si="7"/>
        <v>-1</v>
      </c>
      <c r="G476" cm="1">
        <f t="array" ref="G476:J476">_xlfn.XLOOKUP(A476, Sheet1!A:A, Sheet1!C:F)</f>
        <v>7.1436000000000002</v>
      </c>
      <c r="H476">
        <v>34.340000000000003</v>
      </c>
      <c r="I476">
        <v>24.422000000000001</v>
      </c>
      <c r="J476">
        <v>7.6075999999999997</v>
      </c>
    </row>
    <row r="477" spans="1:10" x14ac:dyDescent="0.3">
      <c r="A477" t="str" cm="1">
        <f t="array" ref="A477">IF(ROW()&lt;=COUNTA(Sheet1!A:A), INDEX(Sheet1!A:A, ROW()),
INDEX(Sheet4!A:A, ROW()-COUNTA(Sheet1!A:A)))</f>
        <v>Al26.9Cr36.7Fe7.8Co14Ni14.6</v>
      </c>
      <c r="B477" s="10">
        <f>_xlfn.XLOOKUP(A477, Sheet4!A:A, Sheet4!C:C)</f>
        <v>0</v>
      </c>
      <c r="C477" s="10">
        <v>-1</v>
      </c>
      <c r="D477" s="10">
        <f>_xlfn.XLOOKUP(A477, Sheet2!A:A, Sheet2!B:B)</f>
        <v>6.3529999999999998</v>
      </c>
      <c r="E477" s="10">
        <f>_xlfn.XLOOKUP(A477, Sheet1!A:A, Sheet1!G:G)</f>
        <v>-1</v>
      </c>
      <c r="F477" s="10">
        <f t="shared" si="7"/>
        <v>-1</v>
      </c>
      <c r="G477" cm="1">
        <f t="array" ref="G477:J477">_xlfn.XLOOKUP(A477, Sheet1!A:A, Sheet1!C:F)</f>
        <v>8.5</v>
      </c>
      <c r="H477">
        <v>23.1</v>
      </c>
      <c r="I477">
        <v>31</v>
      </c>
      <c r="J477">
        <v>10.9</v>
      </c>
    </row>
    <row r="478" spans="1:10" x14ac:dyDescent="0.3">
      <c r="A478" t="str" cm="1">
        <f t="array" ref="A478">IF(ROW()&lt;=COUNTA(Sheet1!A:A), INDEX(Sheet1!A:A, ROW()),
INDEX(Sheet4!A:A, ROW()-COUNTA(Sheet1!A:A)))</f>
        <v>Al26.9Cr36.9Fe6.8Co14.4Ni15</v>
      </c>
      <c r="B478" s="10">
        <f>_xlfn.XLOOKUP(A478, Sheet4!A:A, Sheet4!C:C)</f>
        <v>0</v>
      </c>
      <c r="C478" s="10">
        <v>-1</v>
      </c>
      <c r="D478" s="10">
        <f>_xlfn.XLOOKUP(A478, Sheet2!A:A, Sheet2!B:B)</f>
        <v>6.3609999999999998</v>
      </c>
      <c r="E478" s="10">
        <f>_xlfn.XLOOKUP(A478, Sheet1!A:A, Sheet1!G:G)</f>
        <v>-1</v>
      </c>
      <c r="F478" s="10">
        <f t="shared" si="7"/>
        <v>-1</v>
      </c>
      <c r="G478" cm="1">
        <f t="array" ref="G478:J478">_xlfn.XLOOKUP(A478, Sheet1!A:A, Sheet1!C:F)</f>
        <v>20.6</v>
      </c>
      <c r="H478">
        <v>11.4</v>
      </c>
      <c r="I478">
        <v>15.2</v>
      </c>
      <c r="J478">
        <v>26.3</v>
      </c>
    </row>
    <row r="479" spans="1:10" x14ac:dyDescent="0.3">
      <c r="A479" t="str" cm="1">
        <f t="array" ref="A479">IF(ROW()&lt;=COUNTA(Sheet1!A:A), INDEX(Sheet1!A:A, ROW()),
INDEX(Sheet4!A:A, ROW()-COUNTA(Sheet1!A:A)))</f>
        <v>Al26.91Cr36.872Fe6.8079Co14.422Ni14.988</v>
      </c>
      <c r="B479" s="10">
        <f>_xlfn.XLOOKUP(A479, Sheet4!A:A, Sheet4!C:C)</f>
        <v>0</v>
      </c>
      <c r="C479" s="10">
        <v>-1</v>
      </c>
      <c r="D479" s="10">
        <f>_xlfn.XLOOKUP(A479, Sheet2!A:A, Sheet2!B:B)</f>
        <v>6.3609999999999998</v>
      </c>
      <c r="E479" s="10">
        <f>_xlfn.XLOOKUP(A479, Sheet1!A:A, Sheet1!G:G)</f>
        <v>-1</v>
      </c>
      <c r="F479" s="10">
        <f t="shared" si="7"/>
        <v>-1</v>
      </c>
      <c r="G479" cm="1">
        <f t="array" ref="G479:J479">_xlfn.XLOOKUP(A479, Sheet1!A:A, Sheet1!C:F)</f>
        <v>7.1</v>
      </c>
      <c r="H479">
        <v>34.299999999999997</v>
      </c>
      <c r="I479">
        <v>24.4</v>
      </c>
      <c r="J479">
        <v>7.6</v>
      </c>
    </row>
    <row r="480" spans="1:10" x14ac:dyDescent="0.3">
      <c r="A480" t="str" cm="1">
        <f t="array" ref="A480">IF(ROW()&lt;=COUNTA(Sheet1!A:A), INDEX(Sheet1!A:A, ROW()),
INDEX(Sheet4!A:A, ROW()-COUNTA(Sheet1!A:A)))</f>
        <v>Al26.962Cr35.837Fe15.649Co10.388Ni11.164</v>
      </c>
      <c r="B480" s="10">
        <f>_xlfn.XLOOKUP(A480, Sheet4!A:A, Sheet4!C:C)</f>
        <v>0</v>
      </c>
      <c r="C480" s="10">
        <v>-1</v>
      </c>
      <c r="D480" s="10">
        <f>_xlfn.XLOOKUP(A480, Sheet2!A:A, Sheet2!B:B)</f>
        <v>6.2622999999999998</v>
      </c>
      <c r="E480" s="10">
        <f>_xlfn.XLOOKUP(A480, Sheet1!A:A, Sheet1!G:G)</f>
        <v>-1</v>
      </c>
      <c r="F480" s="10">
        <f t="shared" si="7"/>
        <v>-1</v>
      </c>
      <c r="G480" cm="1">
        <f t="array" ref="G480:J480">_xlfn.XLOOKUP(A480, Sheet1!A:A, Sheet1!C:F)</f>
        <v>20.602</v>
      </c>
      <c r="H480">
        <v>11.446999999999999</v>
      </c>
      <c r="I480">
        <v>15.157</v>
      </c>
      <c r="J480">
        <v>26.256</v>
      </c>
    </row>
    <row r="481" spans="1:10" x14ac:dyDescent="0.3">
      <c r="A481" t="str" cm="1">
        <f t="array" ref="A481">IF(ROW()&lt;=COUNTA(Sheet1!A:A), INDEX(Sheet1!A:A, ROW()),
INDEX(Sheet4!A:A, ROW()-COUNTA(Sheet1!A:A)))</f>
        <v>Al27Cr35.8Fe15.6Co10.4Ni11.2</v>
      </c>
      <c r="B481" s="10">
        <f>_xlfn.XLOOKUP(A481, Sheet4!A:A, Sheet4!C:C)</f>
        <v>0</v>
      </c>
      <c r="C481" s="10">
        <v>-1</v>
      </c>
      <c r="D481" s="10">
        <f>_xlfn.XLOOKUP(A481, Sheet2!A:A, Sheet2!B:B)</f>
        <v>6.2619999999999996</v>
      </c>
      <c r="E481" s="10">
        <f>_xlfn.XLOOKUP(A481, Sheet1!A:A, Sheet1!G:G)</f>
        <v>-1</v>
      </c>
      <c r="F481" s="10">
        <f t="shared" si="7"/>
        <v>-1</v>
      </c>
      <c r="G481" cm="1">
        <f t="array" ref="G481:J481">_xlfn.XLOOKUP(A481, Sheet1!A:A, Sheet1!C:F)</f>
        <v>8.5</v>
      </c>
      <c r="H481">
        <v>35.799999999999997</v>
      </c>
      <c r="I481">
        <v>19.7</v>
      </c>
      <c r="J481">
        <v>9.3000000000000007</v>
      </c>
    </row>
    <row r="482" spans="1:10" x14ac:dyDescent="0.3">
      <c r="A482" t="str" cm="1">
        <f t="array" ref="A482">IF(ROW()&lt;=COUNTA(Sheet1!A:A), INDEX(Sheet1!A:A, ROW()),
INDEX(Sheet4!A:A, ROW()-COUNTA(Sheet1!A:A)))</f>
        <v>Al27.1Cr12.6Fe16.6Co19.2Ni24.5</v>
      </c>
      <c r="B482" s="10">
        <f>_xlfn.XLOOKUP(A482, Sheet4!A:A, Sheet4!C:C)</f>
        <v>0</v>
      </c>
      <c r="C482" s="10">
        <v>-1</v>
      </c>
      <c r="D482" s="10">
        <f>_xlfn.XLOOKUP(A482, Sheet2!A:A, Sheet2!B:B)</f>
        <v>7.0750000000000002</v>
      </c>
      <c r="E482" s="10">
        <f>_xlfn.XLOOKUP(A482, Sheet1!A:A, Sheet1!G:G)</f>
        <v>-1</v>
      </c>
      <c r="F482" s="10">
        <f t="shared" si="7"/>
        <v>-1</v>
      </c>
      <c r="G482" cm="1">
        <f t="array" ref="G482:J482">_xlfn.XLOOKUP(A482, Sheet1!A:A, Sheet1!C:F)</f>
        <v>8.5182000000000002</v>
      </c>
      <c r="H482">
        <v>35.834000000000003</v>
      </c>
      <c r="I482">
        <v>19.722000000000001</v>
      </c>
      <c r="J482">
        <v>9.2931000000000008</v>
      </c>
    </row>
    <row r="483" spans="1:10" x14ac:dyDescent="0.3">
      <c r="A483" t="str" cm="1">
        <f t="array" ref="A483">IF(ROW()&lt;=COUNTA(Sheet1!A:A), INDEX(Sheet1!A:A, ROW()),
INDEX(Sheet4!A:A, ROW()-COUNTA(Sheet1!A:A)))</f>
        <v>Al27.131Cr12.581Fe16.58Co19.247Ni24.462</v>
      </c>
      <c r="B483" s="10">
        <f>_xlfn.XLOOKUP(A483, Sheet4!A:A, Sheet4!C:C)</f>
        <v>0</v>
      </c>
      <c r="C483" s="10">
        <v>-1</v>
      </c>
      <c r="D483" s="10">
        <f>_xlfn.XLOOKUP(A483, Sheet2!A:A, Sheet2!B:B)</f>
        <v>7.0735000000000001</v>
      </c>
      <c r="E483" s="10">
        <f>_xlfn.XLOOKUP(A483, Sheet1!A:A, Sheet1!G:G)</f>
        <v>-1</v>
      </c>
      <c r="F483" s="10">
        <f t="shared" si="7"/>
        <v>-1</v>
      </c>
      <c r="G483" cm="1">
        <f t="array" ref="G483:J483">_xlfn.XLOOKUP(A483, Sheet1!A:A, Sheet1!C:F)</f>
        <v>13.9</v>
      </c>
      <c r="H483">
        <v>36</v>
      </c>
      <c r="I483">
        <v>9</v>
      </c>
      <c r="J483">
        <v>14.4</v>
      </c>
    </row>
    <row r="484" spans="1:10" x14ac:dyDescent="0.3">
      <c r="A484" t="str" cm="1">
        <f t="array" ref="A484">IF(ROW()&lt;=COUNTA(Sheet1!A:A), INDEX(Sheet1!A:A, ROW()),
INDEX(Sheet4!A:A, ROW()-COUNTA(Sheet1!A:A)))</f>
        <v>Al27.2Co18.2Cr18.2Fe18.2Ni18.2</v>
      </c>
      <c r="B484" s="10" t="str">
        <f>_xlfn.XLOOKUP(A484, Sheet4!A:A, Sheet4!C:C)</f>
        <v>IM</v>
      </c>
      <c r="C484" s="10">
        <v>-1</v>
      </c>
      <c r="D484" s="10">
        <f>_xlfn.XLOOKUP(A484, Sheet2!A:A, Sheet2!B:B)</f>
        <v>6.8220000000000001</v>
      </c>
      <c r="E484" s="10">
        <f>_xlfn.XLOOKUP(A484, Sheet1!A:A, Sheet1!G:G)</f>
        <v>-1</v>
      </c>
      <c r="F484" s="10">
        <f t="shared" si="7"/>
        <v>-1</v>
      </c>
      <c r="G484" cm="1">
        <f t="array" ref="G484:J484">_xlfn.XLOOKUP(A484, Sheet1!A:A, Sheet1!C:F)</f>
        <v>13.872999999999999</v>
      </c>
      <c r="H484">
        <v>36.006</v>
      </c>
      <c r="I484">
        <v>9.0012000000000008</v>
      </c>
      <c r="J484">
        <v>14.419</v>
      </c>
    </row>
    <row r="485" spans="1:10" x14ac:dyDescent="0.3">
      <c r="A485" t="str" cm="1">
        <f t="array" ref="A485">IF(ROW()&lt;=COUNTA(Sheet1!A:A), INDEX(Sheet1!A:A, ROW()),
INDEX(Sheet4!A:A, ROW()-COUNTA(Sheet1!A:A)))</f>
        <v>Al1.5CoCrFeNi</v>
      </c>
      <c r="B485" s="10" t="str">
        <f>_xlfn.XLOOKUP(A485, Sheet4!A:A, Sheet4!C:C)</f>
        <v>BCC</v>
      </c>
      <c r="C485" s="10">
        <v>0</v>
      </c>
      <c r="D485" s="10">
        <f>_xlfn.XLOOKUP(A485, Sheet2!A:A, Sheet2!B:B)</f>
        <v>6.8182</v>
      </c>
      <c r="E485" s="10">
        <f>_xlfn.XLOOKUP(A485, Sheet1!A:A, Sheet1!G:G)</f>
        <v>-1</v>
      </c>
      <c r="F485" s="10">
        <f t="shared" si="7"/>
        <v>0</v>
      </c>
      <c r="G485" cm="1">
        <f t="array" ref="G485:J485">_xlfn.XLOOKUP(A485, Sheet1!A:A, Sheet1!C:F)</f>
        <v>13.962</v>
      </c>
      <c r="H485">
        <v>36.715000000000003</v>
      </c>
      <c r="I485">
        <v>7.7866999999999997</v>
      </c>
      <c r="J485">
        <v>14.648</v>
      </c>
    </row>
    <row r="486" spans="1:10" x14ac:dyDescent="0.3">
      <c r="A486" t="str" cm="1">
        <f t="array" ref="A486">IF(ROW()&lt;=COUNTA(Sheet1!A:A), INDEX(Sheet1!A:A, ROW()),
INDEX(Sheet4!A:A, ROW()-COUNTA(Sheet1!A:A)))</f>
        <v>Al27.295Cr36.349Fe21.094Co7.4846Ni7.7773</v>
      </c>
      <c r="B486" s="10">
        <f>_xlfn.XLOOKUP(A486, Sheet4!A:A, Sheet4!C:C)</f>
        <v>0</v>
      </c>
      <c r="C486" s="10">
        <v>-1</v>
      </c>
      <c r="D486" s="10">
        <f>_xlfn.XLOOKUP(A486, Sheet2!A:A, Sheet2!B:B)</f>
        <v>6.1387</v>
      </c>
      <c r="E486" s="10">
        <f>_xlfn.XLOOKUP(A486, Sheet1!A:A, Sheet1!G:G)</f>
        <v>-1</v>
      </c>
      <c r="F486" s="10">
        <f t="shared" si="7"/>
        <v>-1</v>
      </c>
      <c r="G486" cm="1">
        <f t="array" ref="G486:J486">_xlfn.XLOOKUP(A486, Sheet1!A:A, Sheet1!C:F)</f>
        <v>14</v>
      </c>
      <c r="H486">
        <v>36.700000000000003</v>
      </c>
      <c r="I486">
        <v>7.8</v>
      </c>
      <c r="J486">
        <v>14.6</v>
      </c>
    </row>
    <row r="487" spans="1:10" x14ac:dyDescent="0.3">
      <c r="A487" t="str" cm="1">
        <f t="array" ref="A487">IF(ROW()&lt;=COUNTA(Sheet1!A:A), INDEX(Sheet1!A:A, ROW()),
INDEX(Sheet4!A:A, ROW()-COUNTA(Sheet1!A:A)))</f>
        <v>Al27.3Cr36.3Fe21.1Co7.5Ni7.8</v>
      </c>
      <c r="B487" s="10">
        <f>_xlfn.XLOOKUP(A487, Sheet4!A:A, Sheet4!C:C)</f>
        <v>0</v>
      </c>
      <c r="C487" s="10">
        <v>-1</v>
      </c>
      <c r="D487" s="10">
        <f>_xlfn.XLOOKUP(A487, Sheet2!A:A, Sheet2!B:B)</f>
        <v>6.14</v>
      </c>
      <c r="E487" s="10">
        <f>_xlfn.XLOOKUP(A487, Sheet1!A:A, Sheet1!G:G)</f>
        <v>-1</v>
      </c>
      <c r="F487" s="10">
        <f t="shared" si="7"/>
        <v>-1</v>
      </c>
      <c r="G487" cm="1">
        <f t="array" ref="G487:J487">_xlfn.XLOOKUP(A487, Sheet1!A:A, Sheet1!C:F)</f>
        <v>14.4</v>
      </c>
      <c r="H487">
        <v>36.9</v>
      </c>
      <c r="I487">
        <v>6.8</v>
      </c>
      <c r="J487">
        <v>15</v>
      </c>
    </row>
    <row r="488" spans="1:10" x14ac:dyDescent="0.3">
      <c r="A488" t="str" cm="1">
        <f t="array" ref="A488">IF(ROW()&lt;=COUNTA(Sheet1!A:A), INDEX(Sheet1!A:A, ROW()),
INDEX(Sheet4!A:A, ROW()-COUNTA(Sheet1!A:A)))</f>
        <v>Al27.469Cr37.183Fe13.087Co10.858Ni11.402</v>
      </c>
      <c r="B488" s="10">
        <f>_xlfn.XLOOKUP(A488, Sheet4!A:A, Sheet4!C:C)</f>
        <v>0</v>
      </c>
      <c r="C488" s="10">
        <v>-1</v>
      </c>
      <c r="D488" s="10">
        <f>_xlfn.XLOOKUP(A488, Sheet2!A:A, Sheet2!B:B)</f>
        <v>6.2195</v>
      </c>
      <c r="E488" s="10">
        <f>_xlfn.XLOOKUP(A488, Sheet1!A:A, Sheet1!G:G)</f>
        <v>-1</v>
      </c>
      <c r="F488" s="10">
        <f t="shared" si="7"/>
        <v>-1</v>
      </c>
      <c r="G488" cm="1">
        <f t="array" ref="G488:J488">_xlfn.XLOOKUP(A488, Sheet1!A:A, Sheet1!C:F)</f>
        <v>14.422000000000001</v>
      </c>
      <c r="H488">
        <v>36.872</v>
      </c>
      <c r="I488">
        <v>6.8079000000000001</v>
      </c>
      <c r="J488">
        <v>14.988</v>
      </c>
    </row>
    <row r="489" spans="1:10" x14ac:dyDescent="0.3">
      <c r="A489" t="str" cm="1">
        <f t="array" ref="A489">IF(ROW()&lt;=COUNTA(Sheet1!A:A), INDEX(Sheet1!A:A, ROW()),
INDEX(Sheet4!A:A, ROW()-COUNTA(Sheet1!A:A)))</f>
        <v>Al27.5Cr37.2Fe13.1Co10.9Ni11.4</v>
      </c>
      <c r="B489" s="10">
        <f>_xlfn.XLOOKUP(A489, Sheet4!A:A, Sheet4!C:C)</f>
        <v>0</v>
      </c>
      <c r="C489" s="10">
        <v>-1</v>
      </c>
      <c r="D489" s="10">
        <f>_xlfn.XLOOKUP(A489, Sheet2!A:A, Sheet2!B:B)</f>
        <v>6.2198000000000002</v>
      </c>
      <c r="E489" s="10">
        <f>_xlfn.XLOOKUP(A489, Sheet1!A:A, Sheet1!G:G)</f>
        <v>-1</v>
      </c>
      <c r="F489" s="10">
        <f t="shared" si="7"/>
        <v>-1</v>
      </c>
      <c r="G489" cm="1">
        <f t="array" ref="G489:J489">_xlfn.XLOOKUP(A489, Sheet1!A:A, Sheet1!C:F)</f>
        <v>10.388</v>
      </c>
      <c r="H489">
        <v>35.837000000000003</v>
      </c>
      <c r="I489">
        <v>15.648999999999999</v>
      </c>
      <c r="J489">
        <v>11.164</v>
      </c>
    </row>
    <row r="490" spans="1:10" x14ac:dyDescent="0.3">
      <c r="A490" t="str" cm="1">
        <f t="array" ref="A490">IF(ROW()&lt;=COUNTA(Sheet1!A:A), INDEX(Sheet1!A:A, ROW()),
INDEX(Sheet4!A:A, ROW()-COUNTA(Sheet1!A:A)))</f>
        <v>Al27.6Cr19Fe25.5Co12.2Ni15.7</v>
      </c>
      <c r="B490" s="10">
        <f>_xlfn.XLOOKUP(A490, Sheet4!A:A, Sheet4!C:C)</f>
        <v>0</v>
      </c>
      <c r="C490" s="10">
        <v>-1</v>
      </c>
      <c r="D490" s="10">
        <f>_xlfn.XLOOKUP(A490, Sheet2!A:A, Sheet2!B:B)</f>
        <v>6.6760000000000002</v>
      </c>
      <c r="E490" s="10">
        <f>_xlfn.XLOOKUP(A490, Sheet1!A:A, Sheet1!G:G)</f>
        <v>-1</v>
      </c>
      <c r="F490" s="10">
        <f t="shared" si="7"/>
        <v>-1</v>
      </c>
      <c r="G490" cm="1">
        <f t="array" ref="G490:J490">_xlfn.XLOOKUP(A490, Sheet1!A:A, Sheet1!C:F)</f>
        <v>10.4</v>
      </c>
      <c r="H490">
        <v>35.799999999999997</v>
      </c>
      <c r="I490">
        <v>15.6</v>
      </c>
      <c r="J490">
        <v>11.2</v>
      </c>
    </row>
    <row r="491" spans="1:10" x14ac:dyDescent="0.3">
      <c r="A491" t="str" cm="1">
        <f t="array" ref="A491">IF(ROW()&lt;=COUNTA(Sheet1!A:A), INDEX(Sheet1!A:A, ROW()),
INDEX(Sheet4!A:A, ROW()-COUNTA(Sheet1!A:A)))</f>
        <v>Al27.627Cr18.993Fe25.477Co12.218Ni15.684</v>
      </c>
      <c r="B491" s="10">
        <f>_xlfn.XLOOKUP(A491, Sheet4!A:A, Sheet4!C:C)</f>
        <v>0</v>
      </c>
      <c r="C491" s="10">
        <v>-1</v>
      </c>
      <c r="D491" s="10">
        <f>_xlfn.XLOOKUP(A491, Sheet2!A:A, Sheet2!B:B)</f>
        <v>6.6745999999999999</v>
      </c>
      <c r="E491" s="10">
        <f>_xlfn.XLOOKUP(A491, Sheet1!A:A, Sheet1!G:G)</f>
        <v>-1</v>
      </c>
      <c r="F491" s="10">
        <f t="shared" si="7"/>
        <v>-1</v>
      </c>
      <c r="G491" cm="1">
        <f t="array" ref="G491:J491">_xlfn.XLOOKUP(A491, Sheet1!A:A, Sheet1!C:F)</f>
        <v>19.2</v>
      </c>
      <c r="H491">
        <v>12.6</v>
      </c>
      <c r="I491">
        <v>16.600000000000001</v>
      </c>
      <c r="J491">
        <v>24.5</v>
      </c>
    </row>
    <row r="492" spans="1:10" x14ac:dyDescent="0.3">
      <c r="A492" t="str" cm="1">
        <f t="array" ref="A492">IF(ROW()&lt;=COUNTA(Sheet1!A:A), INDEX(Sheet1!A:A, ROW()),
INDEX(Sheet4!A:A, ROW()-COUNTA(Sheet1!A:A)))</f>
        <v>Al27.8Cr37.2Fe16.8Co8.9Ni9.3</v>
      </c>
      <c r="B492" s="10">
        <f>_xlfn.XLOOKUP(A492, Sheet4!A:A, Sheet4!C:C)</f>
        <v>0</v>
      </c>
      <c r="C492" s="10">
        <v>-1</v>
      </c>
      <c r="D492" s="10">
        <f>_xlfn.XLOOKUP(A492, Sheet2!A:A, Sheet2!B:B)</f>
        <v>6.141</v>
      </c>
      <c r="E492" s="10">
        <f>_xlfn.XLOOKUP(A492, Sheet1!A:A, Sheet1!G:G)</f>
        <v>-1</v>
      </c>
      <c r="F492" s="10">
        <f t="shared" si="7"/>
        <v>-1</v>
      </c>
      <c r="G492" cm="1">
        <f t="array" ref="G492:J492">_xlfn.XLOOKUP(A492, Sheet1!A:A, Sheet1!C:F)</f>
        <v>19.247</v>
      </c>
      <c r="H492">
        <v>12.581</v>
      </c>
      <c r="I492">
        <v>16.579999999999998</v>
      </c>
      <c r="J492">
        <v>24.462</v>
      </c>
    </row>
    <row r="493" spans="1:10" x14ac:dyDescent="0.3">
      <c r="A493" t="str" cm="1">
        <f t="array" ref="A493">IF(ROW()&lt;=COUNTA(Sheet1!A:A), INDEX(Sheet1!A:A, ROW()),
INDEX(Sheet4!A:A, ROW()-COUNTA(Sheet1!A:A)))</f>
        <v>Al27.834Cr37.182Fe16.772Co8.9296Ni9.2823</v>
      </c>
      <c r="B493" s="10">
        <f>_xlfn.XLOOKUP(A493, Sheet4!A:A, Sheet4!C:C)</f>
        <v>0</v>
      </c>
      <c r="C493" s="10">
        <v>-1</v>
      </c>
      <c r="D493" s="10">
        <f>_xlfn.XLOOKUP(A493, Sheet2!A:A, Sheet2!B:B)</f>
        <v>6.1395999999999997</v>
      </c>
      <c r="E493" s="10">
        <f>_xlfn.XLOOKUP(A493, Sheet1!A:A, Sheet1!G:G)</f>
        <v>-1</v>
      </c>
      <c r="F493" s="10">
        <f t="shared" si="7"/>
        <v>-1</v>
      </c>
      <c r="G493" cm="1">
        <f t="array" ref="G493:J493">_xlfn.XLOOKUP(A493, Sheet1!A:A, Sheet1!C:F)</f>
        <v>18.2</v>
      </c>
      <c r="H493">
        <v>18.2</v>
      </c>
      <c r="I493">
        <v>18.2</v>
      </c>
      <c r="J493">
        <v>18.2</v>
      </c>
    </row>
    <row r="494" spans="1:10" x14ac:dyDescent="0.3">
      <c r="A494" t="str" cm="1">
        <f t="array" ref="A494">IF(ROW()&lt;=COUNTA(Sheet1!A:A), INDEX(Sheet1!A:A, ROW()),
INDEX(Sheet4!A:A, ROW()-COUNTA(Sheet1!A:A)))</f>
        <v>Al28.1Cr21.4Fe29Co9.4Ni12.1</v>
      </c>
      <c r="B494" s="10">
        <f>_xlfn.XLOOKUP(A494, Sheet4!A:A, Sheet4!C:C)</f>
        <v>0</v>
      </c>
      <c r="C494" s="10">
        <v>-1</v>
      </c>
      <c r="D494" s="10">
        <f>_xlfn.XLOOKUP(A494, Sheet2!A:A, Sheet2!B:B)</f>
        <v>6.5030000000000001</v>
      </c>
      <c r="E494" s="10">
        <f>_xlfn.XLOOKUP(A494, Sheet1!A:A, Sheet1!G:G)</f>
        <v>-1</v>
      </c>
      <c r="F494" s="10">
        <f t="shared" si="7"/>
        <v>-1</v>
      </c>
      <c r="G494" cm="1">
        <f t="array" ref="G494:J494">_xlfn.XLOOKUP(A494, Sheet1!A:A, Sheet1!C:F)</f>
        <v>18.18181818</v>
      </c>
      <c r="H494">
        <v>18.18181818</v>
      </c>
      <c r="I494">
        <v>18.18181818</v>
      </c>
      <c r="J494">
        <v>18.18181818</v>
      </c>
    </row>
    <row r="495" spans="1:10" x14ac:dyDescent="0.3">
      <c r="A495" t="str" cm="1">
        <f t="array" ref="A495">IF(ROW()&lt;=COUNTA(Sheet1!A:A), INDEX(Sheet1!A:A, ROW()),
INDEX(Sheet4!A:A, ROW()-COUNTA(Sheet1!A:A)))</f>
        <v>Al28.114Cr21.439Fe28.985Co9.3671Ni12.095</v>
      </c>
      <c r="B495" s="10">
        <f>_xlfn.XLOOKUP(A495, Sheet4!A:A, Sheet4!C:C)</f>
        <v>0</v>
      </c>
      <c r="C495" s="10">
        <v>-1</v>
      </c>
      <c r="D495" s="10">
        <f>_xlfn.XLOOKUP(A495, Sheet2!A:A, Sheet2!B:B)</f>
        <v>6.5011000000000001</v>
      </c>
      <c r="E495" s="10">
        <f>_xlfn.XLOOKUP(A495, Sheet1!A:A, Sheet1!G:G)</f>
        <v>-1</v>
      </c>
      <c r="F495" s="10">
        <f t="shared" si="7"/>
        <v>-1</v>
      </c>
      <c r="G495" cm="1">
        <f t="array" ref="G495:J495">_xlfn.XLOOKUP(A495, Sheet1!A:A, Sheet1!C:F)</f>
        <v>7.4846000000000004</v>
      </c>
      <c r="H495">
        <v>36.348999999999997</v>
      </c>
      <c r="I495">
        <v>21.094000000000001</v>
      </c>
      <c r="J495">
        <v>7.7773000000000003</v>
      </c>
    </row>
    <row r="496" spans="1:10" x14ac:dyDescent="0.3">
      <c r="A496" t="str" cm="1">
        <f t="array" ref="A496">IF(ROW()&lt;=COUNTA(Sheet1!A:A), INDEX(Sheet1!A:A, ROW()),
INDEX(Sheet4!A:A, ROW()-COUNTA(Sheet1!A:A)))</f>
        <v>Al28.212Cr25.006Fe33.438Co5.8137Ni7.5305</v>
      </c>
      <c r="B496" s="10">
        <f>_xlfn.XLOOKUP(A496, Sheet4!A:A, Sheet4!C:C)</f>
        <v>0</v>
      </c>
      <c r="C496" s="10">
        <v>-1</v>
      </c>
      <c r="D496" s="10">
        <f>_xlfn.XLOOKUP(A496, Sheet2!A:A, Sheet2!B:B)</f>
        <v>6.298</v>
      </c>
      <c r="E496" s="10">
        <f>_xlfn.XLOOKUP(A496, Sheet1!A:A, Sheet1!G:G)</f>
        <v>-1</v>
      </c>
      <c r="F496" s="10">
        <f t="shared" si="7"/>
        <v>-1</v>
      </c>
      <c r="G496" cm="1">
        <f t="array" ref="G496:J496">_xlfn.XLOOKUP(A496, Sheet1!A:A, Sheet1!C:F)</f>
        <v>7.5</v>
      </c>
      <c r="H496">
        <v>36.299999999999997</v>
      </c>
      <c r="I496">
        <v>21.1</v>
      </c>
      <c r="J496">
        <v>7.8</v>
      </c>
    </row>
    <row r="497" spans="1:10" x14ac:dyDescent="0.3">
      <c r="A497" t="str" cm="1">
        <f t="array" ref="A497">IF(ROW()&lt;=COUNTA(Sheet1!A:A), INDEX(Sheet1!A:A, ROW()),
INDEX(Sheet4!A:A, ROW()-COUNTA(Sheet1!A:A)))</f>
        <v>Al28.2Cr25Fe33.4Co5.8Ni7.5</v>
      </c>
      <c r="B497" s="10">
        <f>_xlfn.XLOOKUP(A497, Sheet4!A:A, Sheet4!C:C)</f>
        <v>0</v>
      </c>
      <c r="C497" s="10">
        <v>-1</v>
      </c>
      <c r="D497" s="10">
        <f>_xlfn.XLOOKUP(A497, Sheet2!A:A, Sheet2!B:B)</f>
        <v>6.2962999999999996</v>
      </c>
      <c r="E497" s="10">
        <f>_xlfn.XLOOKUP(A497, Sheet1!A:A, Sheet1!G:G)</f>
        <v>-1</v>
      </c>
      <c r="F497" s="10">
        <f t="shared" si="7"/>
        <v>-1</v>
      </c>
      <c r="G497" cm="1">
        <f t="array" ref="G497:J497">_xlfn.XLOOKUP(A497, Sheet1!A:A, Sheet1!C:F)</f>
        <v>10.858000000000001</v>
      </c>
      <c r="H497">
        <v>37.183</v>
      </c>
      <c r="I497">
        <v>13.087</v>
      </c>
      <c r="J497">
        <v>11.401999999999999</v>
      </c>
    </row>
    <row r="498" spans="1:10" x14ac:dyDescent="0.3">
      <c r="A498" t="str" cm="1">
        <f t="array" ref="A498">IF(ROW()&lt;=COUNTA(Sheet1!A:A), INDEX(Sheet1!A:A, ROW()),
INDEX(Sheet4!A:A, ROW()-COUNTA(Sheet1!A:A)))</f>
        <v>Al28.3Cr37.9Fe11.2Co11Ni11.6</v>
      </c>
      <c r="B498" s="10">
        <f>_xlfn.XLOOKUP(A498, Sheet4!A:A, Sheet4!C:C)</f>
        <v>0</v>
      </c>
      <c r="C498" s="10">
        <v>-1</v>
      </c>
      <c r="D498" s="10">
        <f>_xlfn.XLOOKUP(A498, Sheet2!A:A, Sheet2!B:B)</f>
        <v>6.1689999999999996</v>
      </c>
      <c r="E498" s="10">
        <f>_xlfn.XLOOKUP(A498, Sheet1!A:A, Sheet1!G:G)</f>
        <v>-1</v>
      </c>
      <c r="F498" s="10">
        <f t="shared" si="7"/>
        <v>-1</v>
      </c>
      <c r="G498" cm="1">
        <f t="array" ref="G498:J498">_xlfn.XLOOKUP(A498, Sheet1!A:A, Sheet1!C:F)</f>
        <v>10.9</v>
      </c>
      <c r="H498">
        <v>37.200000000000003</v>
      </c>
      <c r="I498">
        <v>13.1</v>
      </c>
      <c r="J498">
        <v>11.4</v>
      </c>
    </row>
    <row r="499" spans="1:10" x14ac:dyDescent="0.3">
      <c r="A499" t="str" cm="1">
        <f t="array" ref="A499">IF(ROW()&lt;=COUNTA(Sheet1!A:A), INDEX(Sheet1!A:A, ROW()),
INDEX(Sheet4!A:A, ROW()-COUNTA(Sheet1!A:A)))</f>
        <v>Al28.338Cr37.884Fe11.159Co10.978Ni11.64</v>
      </c>
      <c r="B499" s="10">
        <f>_xlfn.XLOOKUP(A499, Sheet4!A:A, Sheet4!C:C)</f>
        <v>0</v>
      </c>
      <c r="C499" s="10">
        <v>-1</v>
      </c>
      <c r="D499" s="10">
        <f>_xlfn.XLOOKUP(A499, Sheet2!A:A, Sheet2!B:B)</f>
        <v>6.1680000000000001</v>
      </c>
      <c r="E499" s="10">
        <f>_xlfn.XLOOKUP(A499, Sheet1!A:A, Sheet1!G:G)</f>
        <v>-1</v>
      </c>
      <c r="F499" s="10">
        <f t="shared" si="7"/>
        <v>-1</v>
      </c>
      <c r="G499" cm="1">
        <f t="array" ref="G499:J499">_xlfn.XLOOKUP(A499, Sheet1!A:A, Sheet1!C:F)</f>
        <v>12.2</v>
      </c>
      <c r="H499">
        <v>19</v>
      </c>
      <c r="I499">
        <v>25.5</v>
      </c>
      <c r="J499">
        <v>15.7</v>
      </c>
    </row>
    <row r="500" spans="1:10" x14ac:dyDescent="0.3">
      <c r="A500" t="str" cm="1">
        <f t="array" ref="A500">IF(ROW()&lt;=COUNTA(Sheet1!A:A), INDEX(Sheet1!A:A, ROW()),
INDEX(Sheet4!A:A, ROW()-COUNTA(Sheet1!A:A)))</f>
        <v>Al28.4Cr38Fe18Co7.6Ni8</v>
      </c>
      <c r="B500" s="10">
        <f>_xlfn.XLOOKUP(A500, Sheet4!A:A, Sheet4!C:C)</f>
        <v>0</v>
      </c>
      <c r="C500" s="10">
        <v>-1</v>
      </c>
      <c r="D500" s="10">
        <f>_xlfn.XLOOKUP(A500, Sheet2!A:A, Sheet2!B:B)</f>
        <v>6.056</v>
      </c>
      <c r="E500" s="10">
        <f>_xlfn.XLOOKUP(A500, Sheet1!A:A, Sheet1!G:G)</f>
        <v>-1</v>
      </c>
      <c r="F500" s="10">
        <f t="shared" si="7"/>
        <v>-1</v>
      </c>
      <c r="G500" cm="1">
        <f t="array" ref="G500:J500">_xlfn.XLOOKUP(A500, Sheet1!A:A, Sheet1!C:F)</f>
        <v>12.218</v>
      </c>
      <c r="H500">
        <v>18.992999999999999</v>
      </c>
      <c r="I500">
        <v>25.477</v>
      </c>
      <c r="J500">
        <v>15.683999999999999</v>
      </c>
    </row>
    <row r="501" spans="1:10" x14ac:dyDescent="0.3">
      <c r="A501" t="str" cm="1">
        <f t="array" ref="A501">IF(ROW()&lt;=COUNTA(Sheet1!A:A), INDEX(Sheet1!A:A, ROW()),
INDEX(Sheet4!A:A, ROW()-COUNTA(Sheet1!A:A)))</f>
        <v>Al28.448Cr37.969Fe18.017Co7.5603Ni8.0057</v>
      </c>
      <c r="B501" s="10">
        <f>_xlfn.XLOOKUP(A501, Sheet4!A:A, Sheet4!C:C)</f>
        <v>0</v>
      </c>
      <c r="C501" s="10">
        <v>-1</v>
      </c>
      <c r="D501" s="10">
        <f>_xlfn.XLOOKUP(A501, Sheet2!A:A, Sheet2!B:B)</f>
        <v>6.0538999999999996</v>
      </c>
      <c r="E501" s="10">
        <f>_xlfn.XLOOKUP(A501, Sheet1!A:A, Sheet1!G:G)</f>
        <v>-1</v>
      </c>
      <c r="F501" s="10">
        <f t="shared" si="7"/>
        <v>-1</v>
      </c>
      <c r="G501" cm="1">
        <f t="array" ref="G501:J501">_xlfn.XLOOKUP(A501, Sheet1!A:A, Sheet1!C:F)</f>
        <v>8.9</v>
      </c>
      <c r="H501">
        <v>37.200000000000003</v>
      </c>
      <c r="I501">
        <v>16.8</v>
      </c>
      <c r="J501">
        <v>9.3000000000000007</v>
      </c>
    </row>
    <row r="502" spans="1:10" x14ac:dyDescent="0.3">
      <c r="A502" t="str" cm="1">
        <f t="array" ref="A502">IF(ROW()&lt;=COUNTA(Sheet1!A:A), INDEX(Sheet1!A:A, ROW()),
INDEX(Sheet4!A:A, ROW()-COUNTA(Sheet1!A:A)))</f>
        <v>Al28.467Cr17.603Fe23.497Co13.352Ni17.081</v>
      </c>
      <c r="B502" s="10">
        <f>_xlfn.XLOOKUP(A502, Sheet4!A:A, Sheet4!C:C)</f>
        <v>0</v>
      </c>
      <c r="C502" s="10">
        <v>-1</v>
      </c>
      <c r="D502" s="10">
        <f>_xlfn.XLOOKUP(A502, Sheet2!A:A, Sheet2!B:B)</f>
        <v>6.6997</v>
      </c>
      <c r="E502" s="10">
        <f>_xlfn.XLOOKUP(A502, Sheet1!A:A, Sheet1!G:G)</f>
        <v>-1</v>
      </c>
      <c r="F502" s="10">
        <f t="shared" si="7"/>
        <v>-1</v>
      </c>
      <c r="G502" cm="1">
        <f t="array" ref="G502:J502">_xlfn.XLOOKUP(A502, Sheet1!A:A, Sheet1!C:F)</f>
        <v>8.9296000000000006</v>
      </c>
      <c r="H502">
        <v>37.182000000000002</v>
      </c>
      <c r="I502">
        <v>16.771999999999998</v>
      </c>
      <c r="J502">
        <v>9.2822999999999993</v>
      </c>
    </row>
    <row r="503" spans="1:10" x14ac:dyDescent="0.3">
      <c r="A503" t="str" cm="1">
        <f t="array" ref="A503">IF(ROW()&lt;=COUNTA(Sheet1!A:A), INDEX(Sheet1!A:A, ROW()),
INDEX(Sheet4!A:A, ROW()-COUNTA(Sheet1!A:A)))</f>
        <v>Al28.5Cr17.6Fe23.5Co13.4Ni17.1</v>
      </c>
      <c r="B503" s="10">
        <f>_xlfn.XLOOKUP(A503, Sheet4!A:A, Sheet4!C:C)</f>
        <v>0</v>
      </c>
      <c r="C503" s="10">
        <v>-1</v>
      </c>
      <c r="D503" s="10">
        <f>_xlfn.XLOOKUP(A503, Sheet2!A:A, Sheet2!B:B)</f>
        <v>6.7003000000000004</v>
      </c>
      <c r="E503" s="10">
        <f>_xlfn.XLOOKUP(A503, Sheet1!A:A, Sheet1!G:G)</f>
        <v>-1</v>
      </c>
      <c r="F503" s="10">
        <f t="shared" si="7"/>
        <v>-1</v>
      </c>
      <c r="G503" cm="1">
        <f t="array" ref="G503:J503">_xlfn.XLOOKUP(A503, Sheet1!A:A, Sheet1!C:F)</f>
        <v>9.4</v>
      </c>
      <c r="H503">
        <v>21.4</v>
      </c>
      <c r="I503">
        <v>29</v>
      </c>
      <c r="J503">
        <v>12.1</v>
      </c>
    </row>
    <row r="504" spans="1:10" x14ac:dyDescent="0.3">
      <c r="A504" t="str" cm="1">
        <f t="array" ref="A504">IF(ROW()&lt;=COUNTA(Sheet1!A:A), INDEX(Sheet1!A:A, ROW()),
INDEX(Sheet4!A:A, ROW()-COUNTA(Sheet1!A:A)))</f>
        <v>Al28.491Cr23.313Fe31.087Co7.4228Ni9.6867</v>
      </c>
      <c r="B504" s="10">
        <f>_xlfn.XLOOKUP(A504, Sheet4!A:A, Sheet4!C:C)</f>
        <v>0</v>
      </c>
      <c r="C504" s="10">
        <v>-1</v>
      </c>
      <c r="D504" s="10">
        <f>_xlfn.XLOOKUP(A504, Sheet2!A:A, Sheet2!B:B)</f>
        <v>6.3772000000000002</v>
      </c>
      <c r="E504" s="10">
        <f>_xlfn.XLOOKUP(A504, Sheet1!A:A, Sheet1!G:G)</f>
        <v>-1</v>
      </c>
      <c r="F504" s="10">
        <f t="shared" si="7"/>
        <v>-1</v>
      </c>
      <c r="G504" cm="1">
        <f t="array" ref="G504:J504">_xlfn.XLOOKUP(A504, Sheet1!A:A, Sheet1!C:F)</f>
        <v>9.3671000000000006</v>
      </c>
      <c r="H504">
        <v>21.439</v>
      </c>
      <c r="I504">
        <v>28.984999999999999</v>
      </c>
      <c r="J504">
        <v>12.095000000000001</v>
      </c>
    </row>
    <row r="505" spans="1:10" x14ac:dyDescent="0.3">
      <c r="A505" t="str" cm="1">
        <f t="array" ref="A505">IF(ROW()&lt;=COUNTA(Sheet1!A:A), INDEX(Sheet1!A:A, ROW()),
INDEX(Sheet4!A:A, ROW()-COUNTA(Sheet1!A:A)))</f>
        <v>Al28.5Cr23.3Fe31.1Co7.4Ni9.7</v>
      </c>
      <c r="B505" s="10">
        <f>_xlfn.XLOOKUP(A505, Sheet4!A:A, Sheet4!C:C)</f>
        <v>0</v>
      </c>
      <c r="C505" s="10">
        <v>-1</v>
      </c>
      <c r="D505" s="10">
        <f>_xlfn.XLOOKUP(A505, Sheet2!A:A, Sheet2!B:B)</f>
        <v>6.3769999999999998</v>
      </c>
      <c r="E505" s="10">
        <f>_xlfn.XLOOKUP(A505, Sheet1!A:A, Sheet1!G:G)</f>
        <v>-1</v>
      </c>
      <c r="F505" s="10">
        <f t="shared" si="7"/>
        <v>-1</v>
      </c>
      <c r="G505" cm="1">
        <f t="array" ref="G505:J505">_xlfn.XLOOKUP(A505, Sheet1!A:A, Sheet1!C:F)</f>
        <v>5.8136999999999999</v>
      </c>
      <c r="H505">
        <v>25.006</v>
      </c>
      <c r="I505">
        <v>33.438000000000002</v>
      </c>
      <c r="J505">
        <v>7.5305</v>
      </c>
    </row>
    <row r="506" spans="1:10" x14ac:dyDescent="0.3">
      <c r="A506" t="str" cm="1">
        <f t="array" ref="A506">IF(ROW()&lt;=COUNTA(Sheet1!A:A), INDEX(Sheet1!A:A, ROW()),
INDEX(Sheet4!A:A, ROW()-COUNTA(Sheet1!A:A)))</f>
        <v>Al1.6CoCrFeNi</v>
      </c>
      <c r="B506" s="10">
        <f>_xlfn.XLOOKUP(A506, Sheet4!A:A, Sheet4!C:C)</f>
        <v>0</v>
      </c>
      <c r="C506" s="10">
        <v>-1</v>
      </c>
      <c r="D506" s="10">
        <f>_xlfn.XLOOKUP(A506, Sheet2!A:A, Sheet2!B:B)</f>
        <v>6.75</v>
      </c>
      <c r="E506" s="10">
        <f>_xlfn.XLOOKUP(A506, Sheet1!A:A, Sheet1!G:G)</f>
        <v>-1</v>
      </c>
      <c r="F506" s="10">
        <f t="shared" si="7"/>
        <v>-1</v>
      </c>
      <c r="G506" cm="1">
        <f t="array" ref="G506:J506">_xlfn.XLOOKUP(A506, Sheet1!A:A, Sheet1!C:F)</f>
        <v>5.8</v>
      </c>
      <c r="H506">
        <v>25</v>
      </c>
      <c r="I506">
        <v>33.4</v>
      </c>
      <c r="J506">
        <v>7.5</v>
      </c>
    </row>
    <row r="507" spans="1:10" x14ac:dyDescent="0.3">
      <c r="A507" t="str" cm="1">
        <f t="array" ref="A507">IF(ROW()&lt;=COUNTA(Sheet1!A:A), INDEX(Sheet1!A:A, ROW()),
INDEX(Sheet4!A:A, ROW()-COUNTA(Sheet1!A:A)))</f>
        <v>Al28.774Cr38.574Fe9.4211Co11.432Ni11.799</v>
      </c>
      <c r="B507" s="10">
        <f>_xlfn.XLOOKUP(A507, Sheet4!A:A, Sheet4!C:C)</f>
        <v>0</v>
      </c>
      <c r="C507" s="10">
        <v>-1</v>
      </c>
      <c r="D507" s="10">
        <f>_xlfn.XLOOKUP(A507, Sheet2!A:A, Sheet2!B:B)</f>
        <v>6.1401000000000003</v>
      </c>
      <c r="E507" s="10">
        <f>_xlfn.XLOOKUP(A507, Sheet1!A:A, Sheet1!G:G)</f>
        <v>-1</v>
      </c>
      <c r="F507" s="10">
        <f t="shared" si="7"/>
        <v>-1</v>
      </c>
      <c r="G507" cm="1">
        <f t="array" ref="G507:J507">_xlfn.XLOOKUP(A507, Sheet1!A:A, Sheet1!C:F)</f>
        <v>11</v>
      </c>
      <c r="H507">
        <v>37.9</v>
      </c>
      <c r="I507">
        <v>11.2</v>
      </c>
      <c r="J507">
        <v>11.6</v>
      </c>
    </row>
    <row r="508" spans="1:10" x14ac:dyDescent="0.3">
      <c r="A508" t="str" cm="1">
        <f t="array" ref="A508">IF(ROW()&lt;=COUNTA(Sheet1!A:A), INDEX(Sheet1!A:A, ROW()),
INDEX(Sheet4!A:A, ROW()-COUNTA(Sheet1!A:A)))</f>
        <v>Al28.796Cr16.214Fe21.66Co14.848Ni18.482</v>
      </c>
      <c r="B508" s="10">
        <f>_xlfn.XLOOKUP(A508, Sheet4!A:A, Sheet4!C:C)</f>
        <v>0</v>
      </c>
      <c r="C508" s="10">
        <v>-1</v>
      </c>
      <c r="D508" s="10">
        <f>_xlfn.XLOOKUP(A508, Sheet2!A:A, Sheet2!B:B)</f>
        <v>6.7539999999999996</v>
      </c>
      <c r="E508" s="10">
        <f>_xlfn.XLOOKUP(A508, Sheet1!A:A, Sheet1!G:G)</f>
        <v>-1</v>
      </c>
      <c r="F508" s="10">
        <f t="shared" si="7"/>
        <v>-1</v>
      </c>
      <c r="G508" cm="1">
        <f t="array" ref="G508:J508">_xlfn.XLOOKUP(A508, Sheet1!A:A, Sheet1!C:F)</f>
        <v>10.978</v>
      </c>
      <c r="H508">
        <v>37.884</v>
      </c>
      <c r="I508">
        <v>11.159000000000001</v>
      </c>
      <c r="J508">
        <v>11.64</v>
      </c>
    </row>
    <row r="509" spans="1:10" x14ac:dyDescent="0.3">
      <c r="A509" t="str" cm="1">
        <f t="array" ref="A509">IF(ROW()&lt;=COUNTA(Sheet1!A:A), INDEX(Sheet1!A:A, ROW()),
INDEX(Sheet4!A:A, ROW()-COUNTA(Sheet1!A:A)))</f>
        <v>Al28.8Cr38.6Fe9.4Co11.4Ni11.8</v>
      </c>
      <c r="B509" s="10">
        <f>_xlfn.XLOOKUP(A509, Sheet4!A:A, Sheet4!C:C)</f>
        <v>0</v>
      </c>
      <c r="C509" s="10">
        <v>-1</v>
      </c>
      <c r="D509" s="10">
        <f>_xlfn.XLOOKUP(A509, Sheet2!A:A, Sheet2!B:B)</f>
        <v>6.1379999999999999</v>
      </c>
      <c r="E509" s="10">
        <f>_xlfn.XLOOKUP(A509, Sheet1!A:A, Sheet1!G:G)</f>
        <v>-1</v>
      </c>
      <c r="F509" s="10">
        <f t="shared" si="7"/>
        <v>-1</v>
      </c>
      <c r="G509" cm="1">
        <f t="array" ref="G509:J509">_xlfn.XLOOKUP(A509, Sheet1!A:A, Sheet1!C:F)</f>
        <v>7.6</v>
      </c>
      <c r="H509">
        <v>38</v>
      </c>
      <c r="I509">
        <v>18</v>
      </c>
      <c r="J509">
        <v>8</v>
      </c>
    </row>
    <row r="510" spans="1:10" x14ac:dyDescent="0.3">
      <c r="A510" t="str" cm="1">
        <f t="array" ref="A510">IF(ROW()&lt;=COUNTA(Sheet1!A:A), INDEX(Sheet1!A:A, ROW()),
INDEX(Sheet4!A:A, ROW()-COUNTA(Sheet1!A:A)))</f>
        <v>Al28.8Cr16.2Fe21.7Co14.8Ni18.5</v>
      </c>
      <c r="B510" s="10">
        <f>_xlfn.XLOOKUP(A510, Sheet4!A:A, Sheet4!C:C)</f>
        <v>0</v>
      </c>
      <c r="C510" s="10">
        <v>-1</v>
      </c>
      <c r="D510" s="10">
        <f>_xlfn.XLOOKUP(A510, Sheet2!A:A, Sheet2!B:B)</f>
        <v>6.7539999999999996</v>
      </c>
      <c r="E510" s="10">
        <f>_xlfn.XLOOKUP(A510, Sheet1!A:A, Sheet1!G:G)</f>
        <v>-1</v>
      </c>
      <c r="F510" s="10">
        <f t="shared" si="7"/>
        <v>-1</v>
      </c>
      <c r="G510" cm="1">
        <f t="array" ref="G510:J510">_xlfn.XLOOKUP(A510, Sheet1!A:A, Sheet1!C:F)</f>
        <v>7.5602999999999998</v>
      </c>
      <c r="H510">
        <v>37.969000000000001</v>
      </c>
      <c r="I510">
        <v>18.016999999999999</v>
      </c>
      <c r="J510">
        <v>8.0056999999999992</v>
      </c>
    </row>
    <row r="511" spans="1:10" x14ac:dyDescent="0.3">
      <c r="A511" t="str" cm="1">
        <f t="array" ref="A511">IF(ROW()&lt;=COUNTA(Sheet1!A:A), INDEX(Sheet1!A:A, ROW()),
INDEX(Sheet4!A:A, ROW()-COUNTA(Sheet1!A:A)))</f>
        <v>Al28.9Cr39.6Fe7.1Co12Ni12.4</v>
      </c>
      <c r="B511" s="10">
        <f>_xlfn.XLOOKUP(A511, Sheet4!A:A, Sheet4!C:C)</f>
        <v>0</v>
      </c>
      <c r="C511" s="10">
        <v>-1</v>
      </c>
      <c r="D511" s="10">
        <f>_xlfn.XLOOKUP(A511, Sheet2!A:A, Sheet2!B:B)</f>
        <v>6.1310000000000002</v>
      </c>
      <c r="E511" s="10">
        <f>_xlfn.XLOOKUP(A511, Sheet1!A:A, Sheet1!G:G)</f>
        <v>-1</v>
      </c>
      <c r="F511" s="10">
        <f t="shared" si="7"/>
        <v>-1</v>
      </c>
      <c r="G511" cm="1">
        <f t="array" ref="G511:J511">_xlfn.XLOOKUP(A511, Sheet1!A:A, Sheet1!C:F)</f>
        <v>13.352</v>
      </c>
      <c r="H511">
        <v>17.603000000000002</v>
      </c>
      <c r="I511">
        <v>23.497</v>
      </c>
      <c r="J511">
        <v>17.081</v>
      </c>
    </row>
    <row r="512" spans="1:10" x14ac:dyDescent="0.3">
      <c r="A512" t="str" cm="1">
        <f t="array" ref="A512">IF(ROW()&lt;=COUNTA(Sheet1!A:A), INDEX(Sheet1!A:A, ROW()),
INDEX(Sheet4!A:A, ROW()-COUNTA(Sheet1!A:A)))</f>
        <v>Al28.9Cr38.7Fe13.9Co9Ni9.4</v>
      </c>
      <c r="B512" s="10">
        <f>_xlfn.XLOOKUP(A512, Sheet4!A:A, Sheet4!C:C)</f>
        <v>0</v>
      </c>
      <c r="C512" s="10">
        <v>-1</v>
      </c>
      <c r="D512" s="10">
        <f>_xlfn.XLOOKUP(A512, Sheet2!A:A, Sheet2!B:B)</f>
        <v>6.0571000000000002</v>
      </c>
      <c r="E512" s="10">
        <f>_xlfn.XLOOKUP(A512, Sheet1!A:A, Sheet1!G:G)</f>
        <v>-1</v>
      </c>
      <c r="F512" s="10">
        <f t="shared" si="7"/>
        <v>-1</v>
      </c>
      <c r="G512" cm="1">
        <f t="array" ref="G512:J512">_xlfn.XLOOKUP(A512, Sheet1!A:A, Sheet1!C:F)</f>
        <v>13.4</v>
      </c>
      <c r="H512">
        <v>17.600000000000001</v>
      </c>
      <c r="I512">
        <v>23.5</v>
      </c>
      <c r="J512">
        <v>17.100000000000001</v>
      </c>
    </row>
    <row r="513" spans="1:10" x14ac:dyDescent="0.3">
      <c r="A513" t="str" cm="1">
        <f t="array" ref="A513">IF(ROW()&lt;=COUNTA(Sheet1!A:A), INDEX(Sheet1!A:A, ROW()),
INDEX(Sheet4!A:A, ROW()-COUNTA(Sheet1!A:A)))</f>
        <v>Al28.94Cr38.743Fe13.924Co8.9942Ni9.3989</v>
      </c>
      <c r="B513" s="10">
        <f>_xlfn.XLOOKUP(A513, Sheet4!A:A, Sheet4!C:C)</f>
        <v>0</v>
      </c>
      <c r="C513" s="10">
        <v>-1</v>
      </c>
      <c r="D513" s="10">
        <f>_xlfn.XLOOKUP(A513, Sheet2!A:A, Sheet2!B:B)</f>
        <v>6.0560999999999998</v>
      </c>
      <c r="E513" s="10">
        <f>_xlfn.XLOOKUP(A513, Sheet1!A:A, Sheet1!G:G)</f>
        <v>-1</v>
      </c>
      <c r="F513" s="10">
        <f t="shared" si="7"/>
        <v>-1</v>
      </c>
      <c r="G513" cm="1">
        <f t="array" ref="G513:J513">_xlfn.XLOOKUP(A513, Sheet1!A:A, Sheet1!C:F)</f>
        <v>7.4227999999999996</v>
      </c>
      <c r="H513">
        <v>23.312999999999999</v>
      </c>
      <c r="I513">
        <v>31.087</v>
      </c>
      <c r="J513">
        <v>9.6867000000000001</v>
      </c>
    </row>
    <row r="514" spans="1:10" x14ac:dyDescent="0.3">
      <c r="A514" t="str" cm="1">
        <f t="array" ref="A514">IF(ROW()&lt;=COUNTA(Sheet1!A:A), INDEX(Sheet1!A:A, ROW()),
INDEX(Sheet4!A:A, ROW()-COUNTA(Sheet1!A:A)))</f>
        <v>Al28.948Cr39.558Fe7.1113Co11.95Ni12.433</v>
      </c>
      <c r="B514" s="10">
        <f>_xlfn.XLOOKUP(A514, Sheet4!A:A, Sheet4!C:C)</f>
        <v>0</v>
      </c>
      <c r="C514" s="10">
        <v>-1</v>
      </c>
      <c r="D514" s="10">
        <f>_xlfn.XLOOKUP(A514, Sheet2!A:A, Sheet2!B:B)</f>
        <v>6.1295999999999999</v>
      </c>
      <c r="E514" s="10">
        <f>_xlfn.XLOOKUP(A514, Sheet1!A:A, Sheet1!G:G)</f>
        <v>-1</v>
      </c>
      <c r="F514" s="10">
        <f t="shared" si="7"/>
        <v>-1</v>
      </c>
      <c r="G514" cm="1">
        <f t="array" ref="G514:J514">_xlfn.XLOOKUP(A514, Sheet1!A:A, Sheet1!C:F)</f>
        <v>7.4</v>
      </c>
      <c r="H514">
        <v>23.3</v>
      </c>
      <c r="I514">
        <v>31.1</v>
      </c>
      <c r="J514">
        <v>9.6999999999999993</v>
      </c>
    </row>
    <row r="515" spans="1:10" x14ac:dyDescent="0.3">
      <c r="A515" t="str" cm="1">
        <f t="array" ref="A515">IF(ROW()&lt;=COUNTA(Sheet1!A:A), INDEX(Sheet1!A:A, ROW()),
INDEX(Sheet4!A:A, ROW()-COUNTA(Sheet1!A:A)))</f>
        <v>Al28.981Cr39.123Fe8.2221Co11.594Ni12.08</v>
      </c>
      <c r="B515" s="10">
        <f>_xlfn.XLOOKUP(A515, Sheet4!A:A, Sheet4!C:C)</f>
        <v>0</v>
      </c>
      <c r="C515" s="10">
        <v>-1</v>
      </c>
      <c r="D515" s="10">
        <f>_xlfn.XLOOKUP(A515, Sheet2!A:A, Sheet2!B:B)</f>
        <v>6.1260000000000003</v>
      </c>
      <c r="E515" s="10">
        <f>_xlfn.XLOOKUP(A515, Sheet1!A:A, Sheet1!G:G)</f>
        <v>-1</v>
      </c>
      <c r="F515" s="10">
        <f t="shared" ref="F515:F578" si="8">IF(OR(C515=1, E515=1), 1,
   IF(OR(C515=0, E515=0), 0,
      -1))</f>
        <v>-1</v>
      </c>
      <c r="G515" cm="1">
        <f t="array" ref="G515:J515">_xlfn.XLOOKUP(A515, Sheet1!A:A, Sheet1!C:F)</f>
        <v>17.85714286</v>
      </c>
      <c r="H515">
        <v>17.85714286</v>
      </c>
      <c r="I515">
        <v>17.85714286</v>
      </c>
      <c r="J515">
        <v>17.85714286</v>
      </c>
    </row>
    <row r="516" spans="1:10" x14ac:dyDescent="0.3">
      <c r="A516" t="str" cm="1">
        <f t="array" ref="A516">IF(ROW()&lt;=COUNTA(Sheet1!A:A), INDEX(Sheet1!A:A, ROW()),
INDEX(Sheet4!A:A, ROW()-COUNTA(Sheet1!A:A)))</f>
        <v>Al29Cr39.1Fe8.2Co11.6Ni12.1</v>
      </c>
      <c r="B516" s="10">
        <f>_xlfn.XLOOKUP(A516, Sheet4!A:A, Sheet4!C:C)</f>
        <v>0</v>
      </c>
      <c r="C516" s="10">
        <v>-1</v>
      </c>
      <c r="D516" s="10">
        <f>_xlfn.XLOOKUP(A516, Sheet2!A:A, Sheet2!B:B)</f>
        <v>6.1260000000000003</v>
      </c>
      <c r="E516" s="10">
        <f>_xlfn.XLOOKUP(A516, Sheet1!A:A, Sheet1!G:G)</f>
        <v>-1</v>
      </c>
      <c r="F516" s="10">
        <f t="shared" si="8"/>
        <v>-1</v>
      </c>
      <c r="G516" cm="1">
        <f t="array" ref="G516:J516">_xlfn.XLOOKUP(A516, Sheet1!A:A, Sheet1!C:F)</f>
        <v>11.432</v>
      </c>
      <c r="H516">
        <v>38.573999999999998</v>
      </c>
      <c r="I516">
        <v>9.4210999999999991</v>
      </c>
      <c r="J516">
        <v>11.798999999999999</v>
      </c>
    </row>
    <row r="517" spans="1:10" x14ac:dyDescent="0.3">
      <c r="A517" t="str" cm="1">
        <f t="array" ref="A517">IF(ROW()&lt;=COUNTA(Sheet1!A:A), INDEX(Sheet1!A:A, ROW()),
INDEX(Sheet4!A:A, ROW()-COUNTA(Sheet1!A:A)))</f>
        <v>Al29.18Cr19.993Fe26.929Co10.345Ni13.553</v>
      </c>
      <c r="B517" s="10">
        <f>_xlfn.XLOOKUP(A517, Sheet4!A:A, Sheet4!C:C)</f>
        <v>0</v>
      </c>
      <c r="C517" s="10">
        <v>-1</v>
      </c>
      <c r="D517" s="10">
        <f>_xlfn.XLOOKUP(A517, Sheet2!A:A, Sheet2!B:B)</f>
        <v>6.5156000000000001</v>
      </c>
      <c r="E517" s="10">
        <f>_xlfn.XLOOKUP(A517, Sheet1!A:A, Sheet1!G:G)</f>
        <v>-1</v>
      </c>
      <c r="F517" s="10">
        <f t="shared" si="8"/>
        <v>-1</v>
      </c>
      <c r="G517" cm="1">
        <f t="array" ref="G517:J517">_xlfn.XLOOKUP(A517, Sheet1!A:A, Sheet1!C:F)</f>
        <v>14.848000000000001</v>
      </c>
      <c r="H517">
        <v>16.213999999999999</v>
      </c>
      <c r="I517">
        <v>21.66</v>
      </c>
      <c r="J517">
        <v>18.481999999999999</v>
      </c>
    </row>
    <row r="518" spans="1:10" x14ac:dyDescent="0.3">
      <c r="A518" t="str" cm="1">
        <f t="array" ref="A518">IF(ROW()&lt;=COUNTA(Sheet1!A:A), INDEX(Sheet1!A:A, ROW()),
INDEX(Sheet4!A:A, ROW()-COUNTA(Sheet1!A:A)))</f>
        <v>Al29.187Cr39.75Fe6.1695Co12.245Ni12.649</v>
      </c>
      <c r="B518" s="10">
        <f>_xlfn.XLOOKUP(A518, Sheet4!A:A, Sheet4!C:C)</f>
        <v>0</v>
      </c>
      <c r="C518" s="10">
        <v>-1</v>
      </c>
      <c r="D518" s="10">
        <f>_xlfn.XLOOKUP(A518, Sheet2!A:A, Sheet2!B:B)</f>
        <v>6.1211000000000002</v>
      </c>
      <c r="E518" s="10">
        <f>_xlfn.XLOOKUP(A518, Sheet1!A:A, Sheet1!G:G)</f>
        <v>-1</v>
      </c>
      <c r="F518" s="10">
        <f t="shared" si="8"/>
        <v>-1</v>
      </c>
      <c r="G518" cm="1">
        <f t="array" ref="G518:J518">_xlfn.XLOOKUP(A518, Sheet1!A:A, Sheet1!C:F)</f>
        <v>11.4</v>
      </c>
      <c r="H518">
        <v>38.6</v>
      </c>
      <c r="I518">
        <v>9.4</v>
      </c>
      <c r="J518">
        <v>11.8</v>
      </c>
    </row>
    <row r="519" spans="1:10" x14ac:dyDescent="0.3">
      <c r="A519" t="str" cm="1">
        <f t="array" ref="A519">IF(ROW()&lt;=COUNTA(Sheet1!A:A), INDEX(Sheet1!A:A, ROW()),
INDEX(Sheet4!A:A, ROW()-COUNTA(Sheet1!A:A)))</f>
        <v>Al29.2Cr20Fe26.9Co10.3Ni13.6</v>
      </c>
      <c r="B519" s="10">
        <f>_xlfn.XLOOKUP(A519, Sheet4!A:A, Sheet4!C:C)</f>
        <v>0</v>
      </c>
      <c r="C519" s="10">
        <v>-1</v>
      </c>
      <c r="D519" s="10">
        <f>_xlfn.XLOOKUP(A519, Sheet2!A:A, Sheet2!B:B)</f>
        <v>6.5149999999999997</v>
      </c>
      <c r="E519" s="10">
        <f>_xlfn.XLOOKUP(A519, Sheet1!A:A, Sheet1!G:G)</f>
        <v>-1</v>
      </c>
      <c r="F519" s="10">
        <f t="shared" si="8"/>
        <v>-1</v>
      </c>
      <c r="G519" cm="1">
        <f t="array" ref="G519:J519">_xlfn.XLOOKUP(A519, Sheet1!A:A, Sheet1!C:F)</f>
        <v>14.8</v>
      </c>
      <c r="H519">
        <v>16.2</v>
      </c>
      <c r="I519">
        <v>21.7</v>
      </c>
      <c r="J519">
        <v>18.5</v>
      </c>
    </row>
    <row r="520" spans="1:10" x14ac:dyDescent="0.3">
      <c r="A520" t="str" cm="1">
        <f t="array" ref="A520">IF(ROW()&lt;=COUNTA(Sheet1!A:A), INDEX(Sheet1!A:A, ROW()),
INDEX(Sheet4!A:A, ROW()-COUNTA(Sheet1!A:A)))</f>
        <v>Al29.2Cr39.8Fe6.2Co12.2Ni12.6</v>
      </c>
      <c r="B520" s="10">
        <f>_xlfn.XLOOKUP(A520, Sheet4!A:A, Sheet4!C:C)</f>
        <v>0</v>
      </c>
      <c r="C520" s="10">
        <v>-1</v>
      </c>
      <c r="D520" s="10">
        <f>_xlfn.XLOOKUP(A520, Sheet2!A:A, Sheet2!B:B)</f>
        <v>6.1180000000000003</v>
      </c>
      <c r="E520" s="10">
        <f>_xlfn.XLOOKUP(A520, Sheet1!A:A, Sheet1!G:G)</f>
        <v>-1</v>
      </c>
      <c r="F520" s="10">
        <f t="shared" si="8"/>
        <v>-1</v>
      </c>
      <c r="G520" cm="1">
        <f t="array" ref="G520:J520">_xlfn.XLOOKUP(A520, Sheet1!A:A, Sheet1!C:F)</f>
        <v>12</v>
      </c>
      <c r="H520">
        <v>39.6</v>
      </c>
      <c r="I520">
        <v>7.1</v>
      </c>
      <c r="J520">
        <v>12.4</v>
      </c>
    </row>
    <row r="521" spans="1:10" x14ac:dyDescent="0.3">
      <c r="A521" t="str" cm="1">
        <f t="array" ref="A521">IF(ROW()&lt;=COUNTA(Sheet1!A:A), INDEX(Sheet1!A:A, ROW()),
INDEX(Sheet4!A:A, ROW()-COUNTA(Sheet1!A:A)))</f>
        <v>Al29.2Cr14.9Fe19.4Co15.8Ni20.6</v>
      </c>
      <c r="B521" s="10">
        <f>_xlfn.XLOOKUP(A521, Sheet4!A:A, Sheet4!C:C)</f>
        <v>0</v>
      </c>
      <c r="C521" s="10">
        <v>-1</v>
      </c>
      <c r="D521" s="10">
        <f>_xlfn.XLOOKUP(A521, Sheet2!A:A, Sheet2!B:B)</f>
        <v>6.8108000000000004</v>
      </c>
      <c r="E521" s="10">
        <f>_xlfn.XLOOKUP(A521, Sheet1!A:A, Sheet1!G:G)</f>
        <v>-1</v>
      </c>
      <c r="F521" s="10">
        <f t="shared" si="8"/>
        <v>-1</v>
      </c>
      <c r="G521" cm="1">
        <f t="array" ref="G521:J521">_xlfn.XLOOKUP(A521, Sheet1!A:A, Sheet1!C:F)</f>
        <v>9</v>
      </c>
      <c r="H521">
        <v>38.700000000000003</v>
      </c>
      <c r="I521">
        <v>13.9</v>
      </c>
      <c r="J521">
        <v>9.4</v>
      </c>
    </row>
    <row r="522" spans="1:10" x14ac:dyDescent="0.3">
      <c r="A522" t="str" cm="1">
        <f t="array" ref="A522">IF(ROW()&lt;=COUNTA(Sheet1!A:A), INDEX(Sheet1!A:A, ROW()),
INDEX(Sheet4!A:A, ROW()-COUNTA(Sheet1!A:A)))</f>
        <v>Al29.231Cr14.933Fe19.408Co15.79Ni20.638</v>
      </c>
      <c r="B522" s="10">
        <f>_xlfn.XLOOKUP(A522, Sheet4!A:A, Sheet4!C:C)</f>
        <v>0</v>
      </c>
      <c r="C522" s="10">
        <v>-1</v>
      </c>
      <c r="D522" s="10">
        <f>_xlfn.XLOOKUP(A522, Sheet2!A:A, Sheet2!B:B)</f>
        <v>6.8105000000000002</v>
      </c>
      <c r="E522" s="10">
        <f>_xlfn.XLOOKUP(A522, Sheet1!A:A, Sheet1!G:G)</f>
        <v>-1</v>
      </c>
      <c r="F522" s="10">
        <f t="shared" si="8"/>
        <v>-1</v>
      </c>
      <c r="G522" cm="1">
        <f t="array" ref="G522:J522">_xlfn.XLOOKUP(A522, Sheet1!A:A, Sheet1!C:F)</f>
        <v>8.9941999999999993</v>
      </c>
      <c r="H522">
        <v>38.743000000000002</v>
      </c>
      <c r="I522">
        <v>13.923999999999999</v>
      </c>
      <c r="J522">
        <v>9.3988999999999994</v>
      </c>
    </row>
    <row r="523" spans="1:10" x14ac:dyDescent="0.3">
      <c r="A523" t="str" cm="1">
        <f t="array" ref="A523">IF(ROW()&lt;=COUNTA(Sheet1!A:A), INDEX(Sheet1!A:A, ROW()),
INDEX(Sheet4!A:A, ROW()-COUNTA(Sheet1!A:A)))</f>
        <v>Al29.4Cr39.8Fe11.8Co9.3Ni9.8</v>
      </c>
      <c r="B523" s="10">
        <f>_xlfn.XLOOKUP(A523, Sheet4!A:A, Sheet4!C:C)</f>
        <v>0</v>
      </c>
      <c r="C523" s="10">
        <v>-1</v>
      </c>
      <c r="D523" s="10">
        <f>_xlfn.XLOOKUP(A523, Sheet2!A:A, Sheet2!B:B)</f>
        <v>6.0250000000000004</v>
      </c>
      <c r="E523" s="10">
        <f>_xlfn.XLOOKUP(A523, Sheet1!A:A, Sheet1!G:G)</f>
        <v>-1</v>
      </c>
      <c r="F523" s="10">
        <f t="shared" si="8"/>
        <v>-1</v>
      </c>
      <c r="G523" cm="1">
        <f t="array" ref="G523:J523">_xlfn.XLOOKUP(A523, Sheet1!A:A, Sheet1!C:F)</f>
        <v>11.95</v>
      </c>
      <c r="H523">
        <v>39.558</v>
      </c>
      <c r="I523">
        <v>7.1113</v>
      </c>
      <c r="J523">
        <v>12.433</v>
      </c>
    </row>
    <row r="524" spans="1:10" x14ac:dyDescent="0.3">
      <c r="A524" t="str" cm="1">
        <f t="array" ref="A524">IF(ROW()&lt;=COUNTA(Sheet1!A:A), INDEX(Sheet1!A:A, ROW()),
INDEX(Sheet4!A:A, ROW()-COUNTA(Sheet1!A:A)))</f>
        <v>Al29.388Cr39.769Fe11.795Co9.2594Ni9.7894</v>
      </c>
      <c r="B524" s="10">
        <f>_xlfn.XLOOKUP(A524, Sheet4!A:A, Sheet4!C:C)</f>
        <v>0</v>
      </c>
      <c r="C524" s="10">
        <v>-1</v>
      </c>
      <c r="D524" s="10">
        <f>_xlfn.XLOOKUP(A524, Sheet2!A:A, Sheet2!B:B)</f>
        <v>6.0236000000000001</v>
      </c>
      <c r="E524" s="10">
        <f>_xlfn.XLOOKUP(A524, Sheet1!A:A, Sheet1!G:G)</f>
        <v>-1</v>
      </c>
      <c r="F524" s="10">
        <f t="shared" si="8"/>
        <v>-1</v>
      </c>
      <c r="G524" cm="1">
        <f t="array" ref="G524:J524">_xlfn.XLOOKUP(A524, Sheet1!A:A, Sheet1!C:F)</f>
        <v>11.593999999999999</v>
      </c>
      <c r="H524">
        <v>39.122999999999998</v>
      </c>
      <c r="I524">
        <v>8.2220999999999993</v>
      </c>
      <c r="J524">
        <v>12.08</v>
      </c>
    </row>
    <row r="525" spans="1:10" x14ac:dyDescent="0.3">
      <c r="A525" t="str" cm="1">
        <f t="array" ref="A525">IF(ROW()&lt;=COUNTA(Sheet1!A:A), INDEX(Sheet1!A:A, ROW()),
INDEX(Sheet4!A:A, ROW()-COUNTA(Sheet1!A:A)))</f>
        <v>Al29.698Cr11.204Fe14.767Co19.435Ni24.896</v>
      </c>
      <c r="B525" s="10">
        <f>_xlfn.XLOOKUP(A525, Sheet4!A:A, Sheet4!C:C)</f>
        <v>0</v>
      </c>
      <c r="C525" s="10">
        <v>-1</v>
      </c>
      <c r="D525" s="10">
        <f>_xlfn.XLOOKUP(A525, Sheet2!A:A, Sheet2!B:B)</f>
        <v>6.9832999999999998</v>
      </c>
      <c r="E525" s="10">
        <f>_xlfn.XLOOKUP(A525, Sheet1!A:A, Sheet1!G:G)</f>
        <v>-1</v>
      </c>
      <c r="F525" s="10">
        <f t="shared" si="8"/>
        <v>-1</v>
      </c>
      <c r="G525" cm="1">
        <f t="array" ref="G525:J525">_xlfn.XLOOKUP(A525, Sheet1!A:A, Sheet1!C:F)</f>
        <v>11.6</v>
      </c>
      <c r="H525">
        <v>39.1</v>
      </c>
      <c r="I525">
        <v>8.1999999999999993</v>
      </c>
      <c r="J525">
        <v>12.1</v>
      </c>
    </row>
    <row r="526" spans="1:10" x14ac:dyDescent="0.3">
      <c r="A526" t="str" cm="1">
        <f t="array" ref="A526">IF(ROW()&lt;=COUNTA(Sheet1!A:A), INDEX(Sheet1!A:A, ROW()),
INDEX(Sheet4!A:A, ROW()-COUNTA(Sheet1!A:A)))</f>
        <v>Al29.7Cr39.7Fe15Co7.6Ni8</v>
      </c>
      <c r="B526" s="10">
        <f>_xlfn.XLOOKUP(A526, Sheet4!A:A, Sheet4!C:C)</f>
        <v>0</v>
      </c>
      <c r="C526" s="10">
        <v>-1</v>
      </c>
      <c r="D526" s="10">
        <f>_xlfn.XLOOKUP(A526, Sheet2!A:A, Sheet2!B:B)</f>
        <v>5.9569999999999999</v>
      </c>
      <c r="E526" s="10">
        <f>_xlfn.XLOOKUP(A526, Sheet1!A:A, Sheet1!G:G)</f>
        <v>-1</v>
      </c>
      <c r="F526" s="10">
        <f t="shared" si="8"/>
        <v>-1</v>
      </c>
      <c r="G526" cm="1">
        <f t="array" ref="G526:J526">_xlfn.XLOOKUP(A526, Sheet1!A:A, Sheet1!C:F)</f>
        <v>10.345000000000001</v>
      </c>
      <c r="H526">
        <v>19.992999999999999</v>
      </c>
      <c r="I526">
        <v>26.928999999999998</v>
      </c>
      <c r="J526">
        <v>13.553000000000001</v>
      </c>
    </row>
    <row r="527" spans="1:10" x14ac:dyDescent="0.3">
      <c r="A527" t="str" cm="1">
        <f t="array" ref="A527">IF(ROW()&lt;=COUNTA(Sheet1!A:A), INDEX(Sheet1!A:A, ROW()),
INDEX(Sheet4!A:A, ROW()-COUNTA(Sheet1!A:A)))</f>
        <v>Al29.7Cr11.2Fe14.8Co19.4Ni24.9</v>
      </c>
      <c r="B527" s="10">
        <f>_xlfn.XLOOKUP(A527, Sheet4!A:A, Sheet4!C:C)</f>
        <v>0</v>
      </c>
      <c r="C527" s="10">
        <v>-1</v>
      </c>
      <c r="D527" s="10">
        <f>_xlfn.XLOOKUP(A527, Sheet2!A:A, Sheet2!B:B)</f>
        <v>6.9829999999999997</v>
      </c>
      <c r="E527" s="10">
        <f>_xlfn.XLOOKUP(A527, Sheet1!A:A, Sheet1!G:G)</f>
        <v>-1</v>
      </c>
      <c r="F527" s="10">
        <f t="shared" si="8"/>
        <v>-1</v>
      </c>
      <c r="G527" cm="1">
        <f t="array" ref="G527:J527">_xlfn.XLOOKUP(A527, Sheet1!A:A, Sheet1!C:F)</f>
        <v>12.244999999999999</v>
      </c>
      <c r="H527">
        <v>39.75</v>
      </c>
      <c r="I527">
        <v>6.1695000000000002</v>
      </c>
      <c r="J527">
        <v>12.648999999999999</v>
      </c>
    </row>
    <row r="528" spans="1:10" x14ac:dyDescent="0.3">
      <c r="A528" t="str" cm="1">
        <f t="array" ref="A528">IF(ROW()&lt;=COUNTA(Sheet1!A:A), INDEX(Sheet1!A:A, ROW()),
INDEX(Sheet4!A:A, ROW()-COUNTA(Sheet1!A:A)))</f>
        <v>Al29.727Cr39.666Fe15.038Co7.6084Ni7.9609</v>
      </c>
      <c r="B528" s="10">
        <f>_xlfn.XLOOKUP(A528, Sheet4!A:A, Sheet4!C:C)</f>
        <v>0</v>
      </c>
      <c r="C528" s="10">
        <v>-1</v>
      </c>
      <c r="D528" s="10">
        <f>_xlfn.XLOOKUP(A528, Sheet2!A:A, Sheet2!B:B)</f>
        <v>5.9555999999999996</v>
      </c>
      <c r="E528" s="10">
        <f>_xlfn.XLOOKUP(A528, Sheet1!A:A, Sheet1!G:G)</f>
        <v>-1</v>
      </c>
      <c r="F528" s="10">
        <f t="shared" si="8"/>
        <v>-1</v>
      </c>
      <c r="G528" cm="1">
        <f t="array" ref="G528:J528">_xlfn.XLOOKUP(A528, Sheet1!A:A, Sheet1!C:F)</f>
        <v>10.3</v>
      </c>
      <c r="H528">
        <v>20</v>
      </c>
      <c r="I528">
        <v>26.9</v>
      </c>
      <c r="J528">
        <v>13.6</v>
      </c>
    </row>
    <row r="529" spans="1:10" x14ac:dyDescent="0.3">
      <c r="A529" t="str" cm="1">
        <f t="array" ref="A529">IF(ROW()&lt;=COUNTA(Sheet1!A:A), INDEX(Sheet1!A:A, ROW()),
INDEX(Sheet4!A:A, ROW()-COUNTA(Sheet1!A:A)))</f>
        <v>Al29.8Cr40.7Fe10.3Co9.4Ni9.9</v>
      </c>
      <c r="B529" s="10">
        <f>_xlfn.XLOOKUP(A529, Sheet4!A:A, Sheet4!C:C)</f>
        <v>0</v>
      </c>
      <c r="C529" s="10">
        <v>-1</v>
      </c>
      <c r="D529" s="10">
        <f>_xlfn.XLOOKUP(A529, Sheet2!A:A, Sheet2!B:B)</f>
        <v>5.99</v>
      </c>
      <c r="E529" s="10">
        <f>_xlfn.XLOOKUP(A529, Sheet1!A:A, Sheet1!G:G)</f>
        <v>-1</v>
      </c>
      <c r="F529" s="10">
        <f t="shared" si="8"/>
        <v>-1</v>
      </c>
      <c r="G529" cm="1">
        <f t="array" ref="G529:J529">_xlfn.XLOOKUP(A529, Sheet1!A:A, Sheet1!C:F)</f>
        <v>12.2</v>
      </c>
      <c r="H529">
        <v>39.799999999999997</v>
      </c>
      <c r="I529">
        <v>6.2</v>
      </c>
      <c r="J529">
        <v>12.6</v>
      </c>
    </row>
    <row r="530" spans="1:10" x14ac:dyDescent="0.3">
      <c r="A530" t="str" cm="1">
        <f t="array" ref="A530">IF(ROW()&lt;=COUNTA(Sheet1!A:A), INDEX(Sheet1!A:A, ROW()),
INDEX(Sheet4!A:A, ROW()-COUNTA(Sheet1!A:A)))</f>
        <v>Al29.793Cr40.691Fe10.252Co9.3998Ni9.8642</v>
      </c>
      <c r="B530" s="10">
        <f>_xlfn.XLOOKUP(A530, Sheet4!A:A, Sheet4!C:C)</f>
        <v>0</v>
      </c>
      <c r="C530" s="10">
        <v>-1</v>
      </c>
      <c r="D530" s="10">
        <f>_xlfn.XLOOKUP(A530, Sheet2!A:A, Sheet2!B:B)</f>
        <v>5.9878</v>
      </c>
      <c r="E530" s="10">
        <f>_xlfn.XLOOKUP(A530, Sheet1!A:A, Sheet1!G:G)</f>
        <v>-1</v>
      </c>
      <c r="F530" s="10">
        <f t="shared" si="8"/>
        <v>-1</v>
      </c>
      <c r="G530" cm="1">
        <f t="array" ref="G530:J530">_xlfn.XLOOKUP(A530, Sheet1!A:A, Sheet1!C:F)</f>
        <v>15.8</v>
      </c>
      <c r="H530">
        <v>14.9</v>
      </c>
      <c r="I530">
        <v>19.399999999999999</v>
      </c>
      <c r="J530">
        <v>20.6</v>
      </c>
    </row>
    <row r="531" spans="1:10" x14ac:dyDescent="0.3">
      <c r="A531" t="str" cm="1">
        <f t="array" ref="A531">IF(ROW()&lt;=COUNTA(Sheet1!A:A), INDEX(Sheet1!A:A, ROW()),
INDEX(Sheet4!A:A, ROW()-COUNTA(Sheet1!A:A)))</f>
        <v>Al29.8Cr13.7Fe17.7Co17.2Ni21.6</v>
      </c>
      <c r="B531" s="10">
        <f>_xlfn.XLOOKUP(A531, Sheet4!A:A, Sheet4!C:C)</f>
        <v>0</v>
      </c>
      <c r="C531" s="10">
        <v>-1</v>
      </c>
      <c r="D531" s="10">
        <f>_xlfn.XLOOKUP(A531, Sheet2!A:A, Sheet2!B:B)</f>
        <v>6.84</v>
      </c>
      <c r="E531" s="10">
        <f>_xlfn.XLOOKUP(A531, Sheet1!A:A, Sheet1!G:G)</f>
        <v>-1</v>
      </c>
      <c r="F531" s="10">
        <f t="shared" si="8"/>
        <v>-1</v>
      </c>
      <c r="G531" cm="1">
        <f t="array" ref="G531:J531">_xlfn.XLOOKUP(A531, Sheet1!A:A, Sheet1!C:F)</f>
        <v>15.79</v>
      </c>
      <c r="H531">
        <v>14.933</v>
      </c>
      <c r="I531">
        <v>19.408000000000001</v>
      </c>
      <c r="J531">
        <v>20.638000000000002</v>
      </c>
    </row>
    <row r="532" spans="1:10" x14ac:dyDescent="0.3">
      <c r="A532" t="str" cm="1">
        <f t="array" ref="A532">IF(ROW()&lt;=COUNTA(Sheet1!A:A), INDEX(Sheet1!A:A, ROW()),
INDEX(Sheet4!A:A, ROW()-COUNTA(Sheet1!A:A)))</f>
        <v>Al29.805Cr13.688Fe17.735Co17.191Ni21.581</v>
      </c>
      <c r="B532" s="10">
        <f>_xlfn.XLOOKUP(A532, Sheet4!A:A, Sheet4!C:C)</f>
        <v>0</v>
      </c>
      <c r="C532" s="10">
        <v>-1</v>
      </c>
      <c r="D532" s="10">
        <f>_xlfn.XLOOKUP(A532, Sheet2!A:A, Sheet2!B:B)</f>
        <v>6.8395000000000001</v>
      </c>
      <c r="E532" s="10">
        <f>_xlfn.XLOOKUP(A532, Sheet1!A:A, Sheet1!G:G)</f>
        <v>-1</v>
      </c>
      <c r="F532" s="10">
        <f t="shared" si="8"/>
        <v>-1</v>
      </c>
      <c r="G532" cm="1">
        <f t="array" ref="G532:J532">_xlfn.XLOOKUP(A532, Sheet1!A:A, Sheet1!C:F)</f>
        <v>9.3000000000000007</v>
      </c>
      <c r="H532">
        <v>39.799999999999997</v>
      </c>
      <c r="I532">
        <v>11.8</v>
      </c>
      <c r="J532">
        <v>9.8000000000000007</v>
      </c>
    </row>
    <row r="533" spans="1:10" x14ac:dyDescent="0.3">
      <c r="A533" t="str" cm="1">
        <f t="array" ref="A533">IF(ROW()&lt;=COUNTA(Sheet1!A:A), INDEX(Sheet1!A:A, ROW()),
INDEX(Sheet4!A:A, ROW()-COUNTA(Sheet1!A:A)))</f>
        <v>Al1.7CoCrFeNi</v>
      </c>
      <c r="B533" s="10">
        <f>_xlfn.XLOOKUP(A533, Sheet4!A:A, Sheet4!C:C)</f>
        <v>0</v>
      </c>
      <c r="C533" s="10">
        <v>-1</v>
      </c>
      <c r="D533" s="10">
        <f>_xlfn.XLOOKUP(A533, Sheet2!A:A, Sheet2!B:B)</f>
        <v>6.6841999999999997</v>
      </c>
      <c r="E533" s="10">
        <f>_xlfn.XLOOKUP(A533, Sheet1!A:A, Sheet1!G:G)</f>
        <v>-1</v>
      </c>
      <c r="F533" s="10">
        <f t="shared" si="8"/>
        <v>-1</v>
      </c>
      <c r="G533" cm="1">
        <f t="array" ref="G533:J533">_xlfn.XLOOKUP(A533, Sheet1!A:A, Sheet1!C:F)</f>
        <v>9.2593999999999994</v>
      </c>
      <c r="H533">
        <v>39.768999999999998</v>
      </c>
      <c r="I533">
        <v>11.795</v>
      </c>
      <c r="J533">
        <v>9.7894000000000005</v>
      </c>
    </row>
    <row r="534" spans="1:10" x14ac:dyDescent="0.3">
      <c r="A534" t="str" cm="1">
        <f t="array" ref="A534">IF(ROW()&lt;=COUNTA(Sheet1!A:A), INDEX(Sheet1!A:A, ROW()),
INDEX(Sheet4!A:A, ROW()-COUNTA(Sheet1!A:A)))</f>
        <v>Al30Cr12.5Fe16.2Co18.2Ni23.2</v>
      </c>
      <c r="B534" s="10">
        <f>_xlfn.XLOOKUP(A534, Sheet4!A:A, Sheet4!C:C)</f>
        <v>0</v>
      </c>
      <c r="C534" s="10">
        <v>-1</v>
      </c>
      <c r="D534" s="10">
        <f>_xlfn.XLOOKUP(A534, Sheet2!A:A, Sheet2!B:B)</f>
        <v>6.8971</v>
      </c>
      <c r="E534" s="10">
        <f>_xlfn.XLOOKUP(A534, Sheet1!A:A, Sheet1!G:G)</f>
        <v>-1</v>
      </c>
      <c r="F534" s="10">
        <f t="shared" si="8"/>
        <v>-1</v>
      </c>
      <c r="G534" cm="1">
        <f t="array" ref="G534:J534">_xlfn.XLOOKUP(A534, Sheet1!A:A, Sheet1!C:F)</f>
        <v>19.434999999999999</v>
      </c>
      <c r="H534">
        <v>11.204000000000001</v>
      </c>
      <c r="I534">
        <v>14.766999999999999</v>
      </c>
      <c r="J534">
        <v>24.896000000000001</v>
      </c>
    </row>
    <row r="535" spans="1:10" x14ac:dyDescent="0.3">
      <c r="A535" t="str" cm="1">
        <f t="array" ref="A535">IF(ROW()&lt;=COUNTA(Sheet1!A:A), INDEX(Sheet1!A:A, ROW()),
INDEX(Sheet4!A:A, ROW()-COUNTA(Sheet1!A:A)))</f>
        <v>Al30Cr40.3Fe16.2Co6.6Ni6.9</v>
      </c>
      <c r="B535" s="10">
        <f>_xlfn.XLOOKUP(A535, Sheet4!A:A, Sheet4!C:C)</f>
        <v>0</v>
      </c>
      <c r="C535" s="10">
        <v>-1</v>
      </c>
      <c r="D535" s="10">
        <f>_xlfn.XLOOKUP(A535, Sheet2!A:A, Sheet2!B:B)</f>
        <v>5.8979999999999997</v>
      </c>
      <c r="E535" s="10">
        <f>_xlfn.XLOOKUP(A535, Sheet1!A:A, Sheet1!G:G)</f>
        <v>-1</v>
      </c>
      <c r="F535" s="10">
        <f t="shared" si="8"/>
        <v>-1</v>
      </c>
      <c r="G535" cm="1">
        <f t="array" ref="G535:J535">_xlfn.XLOOKUP(A535, Sheet1!A:A, Sheet1!C:F)</f>
        <v>7.6</v>
      </c>
      <c r="H535">
        <v>39.700000000000003</v>
      </c>
      <c r="I535">
        <v>15</v>
      </c>
      <c r="J535">
        <v>8</v>
      </c>
    </row>
    <row r="536" spans="1:10" x14ac:dyDescent="0.3">
      <c r="A536" t="str" cm="1">
        <f t="array" ref="A536">IF(ROW()&lt;=COUNTA(Sheet1!A:A), INDEX(Sheet1!A:A, ROW()),
INDEX(Sheet4!A:A, ROW()-COUNTA(Sheet1!A:A)))</f>
        <v>Al30.002Cr40.323Fe16.227Co6.5768Ni6.872</v>
      </c>
      <c r="B536" s="10">
        <f>_xlfn.XLOOKUP(A536, Sheet4!A:A, Sheet4!C:C)</f>
        <v>0</v>
      </c>
      <c r="C536" s="10">
        <v>-1</v>
      </c>
      <c r="D536" s="10">
        <f>_xlfn.XLOOKUP(A536, Sheet2!A:A, Sheet2!B:B)</f>
        <v>5.8967000000000001</v>
      </c>
      <c r="E536" s="10">
        <f>_xlfn.XLOOKUP(A536, Sheet1!A:A, Sheet1!G:G)</f>
        <v>-1</v>
      </c>
      <c r="F536" s="10">
        <f t="shared" si="8"/>
        <v>-1</v>
      </c>
      <c r="G536" cm="1">
        <f t="array" ref="G536:J536">_xlfn.XLOOKUP(A536, Sheet1!A:A, Sheet1!C:F)</f>
        <v>19.399999999999999</v>
      </c>
      <c r="H536">
        <v>11.2</v>
      </c>
      <c r="I536">
        <v>14.8</v>
      </c>
      <c r="J536">
        <v>24.9</v>
      </c>
    </row>
    <row r="537" spans="1:10" x14ac:dyDescent="0.3">
      <c r="A537" t="str" cm="1">
        <f t="array" ref="A537">IF(ROW()&lt;=COUNTA(Sheet1!A:A), INDEX(Sheet1!A:A, ROW()),
INDEX(Sheet4!A:A, ROW()-COUNTA(Sheet1!A:A)))</f>
        <v>Al30.03Cr12.455Fe16.17Co18.152Ni23.193</v>
      </c>
      <c r="B537" s="10">
        <f>_xlfn.XLOOKUP(A537, Sheet4!A:A, Sheet4!C:C)</f>
        <v>0</v>
      </c>
      <c r="C537" s="10">
        <v>-1</v>
      </c>
      <c r="D537" s="10">
        <f>_xlfn.XLOOKUP(A537, Sheet2!A:A, Sheet2!B:B)</f>
        <v>6.8948</v>
      </c>
      <c r="E537" s="10">
        <f>_xlfn.XLOOKUP(A537, Sheet1!A:A, Sheet1!G:G)</f>
        <v>-1</v>
      </c>
      <c r="F537" s="10">
        <f t="shared" si="8"/>
        <v>-1</v>
      </c>
      <c r="G537" cm="1">
        <f t="array" ref="G537:J537">_xlfn.XLOOKUP(A537, Sheet1!A:A, Sheet1!C:F)</f>
        <v>7.6083999999999996</v>
      </c>
      <c r="H537">
        <v>39.665999999999997</v>
      </c>
      <c r="I537">
        <v>15.038</v>
      </c>
      <c r="J537">
        <v>7.9608999999999996</v>
      </c>
    </row>
    <row r="538" spans="1:10" x14ac:dyDescent="0.3">
      <c r="A538" t="str" cm="1">
        <f t="array" ref="A538">IF(ROW()&lt;=COUNTA(Sheet1!A:A), INDEX(Sheet1!A:A, ROW()),
INDEX(Sheet4!A:A, ROW()-COUNTA(Sheet1!A:A)))</f>
        <v>Al30.265Cr21.934Fe29.172Co8.1633Ni10.466</v>
      </c>
      <c r="B538" s="10">
        <f>_xlfn.XLOOKUP(A538, Sheet4!A:A, Sheet4!C:C)</f>
        <v>0</v>
      </c>
      <c r="C538" s="10">
        <v>-1</v>
      </c>
      <c r="D538" s="10">
        <f>_xlfn.XLOOKUP(A538, Sheet2!A:A, Sheet2!B:B)</f>
        <v>6.3390000000000004</v>
      </c>
      <c r="E538" s="10">
        <f>_xlfn.XLOOKUP(A538, Sheet1!A:A, Sheet1!G:G)</f>
        <v>-1</v>
      </c>
      <c r="F538" s="10">
        <f t="shared" si="8"/>
        <v>-1</v>
      </c>
      <c r="G538" cm="1">
        <f t="array" ref="G538:J538">_xlfn.XLOOKUP(A538, Sheet1!A:A, Sheet1!C:F)</f>
        <v>9.4</v>
      </c>
      <c r="H538">
        <v>40.700000000000003</v>
      </c>
      <c r="I538">
        <v>10.3</v>
      </c>
      <c r="J538">
        <v>9.9</v>
      </c>
    </row>
    <row r="539" spans="1:10" x14ac:dyDescent="0.3">
      <c r="A539" t="str" cm="1">
        <f t="array" ref="A539">IF(ROW()&lt;=COUNTA(Sheet1!A:A), INDEX(Sheet1!A:A, ROW()),
INDEX(Sheet4!A:A, ROW()-COUNTA(Sheet1!A:A)))</f>
        <v>Al30.3Cr21.9Fe29.2Co8.2Ni10.5</v>
      </c>
      <c r="B539" s="10">
        <f>_xlfn.XLOOKUP(A539, Sheet4!A:A, Sheet4!C:C)</f>
        <v>0</v>
      </c>
      <c r="C539" s="10">
        <v>-1</v>
      </c>
      <c r="D539" s="10">
        <f>_xlfn.XLOOKUP(A539, Sheet2!A:A, Sheet2!B:B)</f>
        <v>6.3407</v>
      </c>
      <c r="E539" s="10">
        <f>_xlfn.XLOOKUP(A539, Sheet1!A:A, Sheet1!G:G)</f>
        <v>-1</v>
      </c>
      <c r="F539" s="10">
        <f t="shared" si="8"/>
        <v>-1</v>
      </c>
      <c r="G539" cm="1">
        <f t="array" ref="G539:J539">_xlfn.XLOOKUP(A539, Sheet1!A:A, Sheet1!C:F)</f>
        <v>9.3998000000000008</v>
      </c>
      <c r="H539">
        <v>40.691000000000003</v>
      </c>
      <c r="I539">
        <v>10.252000000000001</v>
      </c>
      <c r="J539">
        <v>9.8642000000000003</v>
      </c>
    </row>
    <row r="540" spans="1:10" x14ac:dyDescent="0.3">
      <c r="A540" t="str" cm="1">
        <f t="array" ref="A540">IF(ROW()&lt;=COUNTA(Sheet1!A:A), INDEX(Sheet1!A:A, ROW()),
INDEX(Sheet4!A:A, ROW()-COUNTA(Sheet1!A:A)))</f>
        <v>Al30.362Cr23.623Fe31.469Co6.3059Ni8.2406</v>
      </c>
      <c r="B540" s="10">
        <f>_xlfn.XLOOKUP(A540, Sheet4!A:A, Sheet4!C:C)</f>
        <v>0</v>
      </c>
      <c r="C540" s="10">
        <v>-1</v>
      </c>
      <c r="D540" s="10">
        <f>_xlfn.XLOOKUP(A540, Sheet2!A:A, Sheet2!B:B)</f>
        <v>6.2373000000000003</v>
      </c>
      <c r="E540" s="10">
        <f>_xlfn.XLOOKUP(A540, Sheet1!A:A, Sheet1!G:G)</f>
        <v>-1</v>
      </c>
      <c r="F540" s="10">
        <f t="shared" si="8"/>
        <v>-1</v>
      </c>
      <c r="G540" cm="1">
        <f t="array" ref="G540:J540">_xlfn.XLOOKUP(A540, Sheet1!A:A, Sheet1!C:F)</f>
        <v>17.2</v>
      </c>
      <c r="H540">
        <v>13.7</v>
      </c>
      <c r="I540">
        <v>17.7</v>
      </c>
      <c r="J540">
        <v>21.6</v>
      </c>
    </row>
    <row r="541" spans="1:10" x14ac:dyDescent="0.3">
      <c r="A541" t="str" cm="1">
        <f t="array" ref="A541">IF(ROW()&lt;=COUNTA(Sheet1!A:A), INDEX(Sheet1!A:A, ROW()),
INDEX(Sheet4!A:A, ROW()-COUNTA(Sheet1!A:A)))</f>
        <v>Al30.4Cr23.6Fe31.5Co6.3Ni8.2</v>
      </c>
      <c r="B541" s="10">
        <f>_xlfn.XLOOKUP(A541, Sheet4!A:A, Sheet4!C:C)</f>
        <v>0</v>
      </c>
      <c r="C541" s="10">
        <v>-1</v>
      </c>
      <c r="D541" s="10">
        <f>_xlfn.XLOOKUP(A541, Sheet2!A:A, Sheet2!B:B)</f>
        <v>6.2350000000000003</v>
      </c>
      <c r="E541" s="10">
        <f>_xlfn.XLOOKUP(A541, Sheet1!A:A, Sheet1!G:G)</f>
        <v>-1</v>
      </c>
      <c r="F541" s="10">
        <f t="shared" si="8"/>
        <v>-1</v>
      </c>
      <c r="G541" cm="1">
        <f t="array" ref="G541:J541">_xlfn.XLOOKUP(A541, Sheet1!A:A, Sheet1!C:F)</f>
        <v>17.190999999999999</v>
      </c>
      <c r="H541">
        <v>13.688000000000001</v>
      </c>
      <c r="I541">
        <v>17.734999999999999</v>
      </c>
      <c r="J541">
        <v>21.581</v>
      </c>
    </row>
    <row r="542" spans="1:10" x14ac:dyDescent="0.3">
      <c r="A542" t="str" cm="1">
        <f t="array" ref="A542">IF(ROW()&lt;=COUNTA(Sheet1!A:A), INDEX(Sheet1!A:A, ROW()),
INDEX(Sheet4!A:A, ROW()-COUNTA(Sheet1!A:A)))</f>
        <v>Al30.4Cr41.4Fe8.6Co9.5Ni10.1</v>
      </c>
      <c r="B542" s="10">
        <f>_xlfn.XLOOKUP(A542, Sheet4!A:A, Sheet4!C:C)</f>
        <v>0</v>
      </c>
      <c r="C542" s="10">
        <v>-1</v>
      </c>
      <c r="D542" s="10">
        <f>_xlfn.XLOOKUP(A542, Sheet2!A:A, Sheet2!B:B)</f>
        <v>5.9489999999999998</v>
      </c>
      <c r="E542" s="10">
        <f>_xlfn.XLOOKUP(A542, Sheet1!A:A, Sheet1!G:G)</f>
        <v>-1</v>
      </c>
      <c r="F542" s="10">
        <f t="shared" si="8"/>
        <v>-1</v>
      </c>
      <c r="G542" cm="1">
        <f t="array" ref="G542:J542">_xlfn.XLOOKUP(A542, Sheet1!A:A, Sheet1!C:F)</f>
        <v>17.543859650000002</v>
      </c>
      <c r="H542">
        <v>17.543859650000002</v>
      </c>
      <c r="I542">
        <v>17.543859650000002</v>
      </c>
      <c r="J542">
        <v>17.543859650000002</v>
      </c>
    </row>
    <row r="543" spans="1:10" x14ac:dyDescent="0.3">
      <c r="A543" t="str" cm="1">
        <f t="array" ref="A543">IF(ROW()&lt;=COUNTA(Sheet1!A:A), INDEX(Sheet1!A:A, ROW()),
INDEX(Sheet4!A:A, ROW()-COUNTA(Sheet1!A:A)))</f>
        <v>Al30.447Cr41.376Fe8.5738Co9.4987Ni10.105</v>
      </c>
      <c r="B543" s="10">
        <f>_xlfn.XLOOKUP(A543, Sheet4!A:A, Sheet4!C:C)</f>
        <v>0</v>
      </c>
      <c r="C543" s="10">
        <v>-1</v>
      </c>
      <c r="D543" s="10">
        <f>_xlfn.XLOOKUP(A543, Sheet2!A:A, Sheet2!B:B)</f>
        <v>5.9471999999999996</v>
      </c>
      <c r="E543" s="10">
        <f>_xlfn.XLOOKUP(A543, Sheet1!A:A, Sheet1!G:G)</f>
        <v>-1</v>
      </c>
      <c r="F543" s="10">
        <f t="shared" si="8"/>
        <v>-1</v>
      </c>
      <c r="G543" cm="1">
        <f t="array" ref="G543:J543">_xlfn.XLOOKUP(A543, Sheet1!A:A, Sheet1!C:F)</f>
        <v>18.2</v>
      </c>
      <c r="H543">
        <v>12.5</v>
      </c>
      <c r="I543">
        <v>16.2</v>
      </c>
      <c r="J543">
        <v>23.2</v>
      </c>
    </row>
    <row r="544" spans="1:10" x14ac:dyDescent="0.3">
      <c r="A544" t="str" cm="1">
        <f t="array" ref="A544">IF(ROW()&lt;=COUNTA(Sheet1!A:A), INDEX(Sheet1!A:A, ROW()),
INDEX(Sheet4!A:A, ROW()-COUNTA(Sheet1!A:A)))</f>
        <v>Al30.7Cr18.3Fe24.6Co11.4Ni14.9</v>
      </c>
      <c r="B544" s="10">
        <f>_xlfn.XLOOKUP(A544, Sheet4!A:A, Sheet4!C:C)</f>
        <v>0</v>
      </c>
      <c r="C544" s="10">
        <v>-1</v>
      </c>
      <c r="D544" s="10">
        <f>_xlfn.XLOOKUP(A544, Sheet2!A:A, Sheet2!B:B)</f>
        <v>6.5095000000000001</v>
      </c>
      <c r="E544" s="10">
        <f>_xlfn.XLOOKUP(A544, Sheet1!A:A, Sheet1!G:G)</f>
        <v>-1</v>
      </c>
      <c r="F544" s="10">
        <f t="shared" si="8"/>
        <v>-1</v>
      </c>
      <c r="G544" cm="1">
        <f t="array" ref="G544:J544">_xlfn.XLOOKUP(A544, Sheet1!A:A, Sheet1!C:F)</f>
        <v>6.6</v>
      </c>
      <c r="H544">
        <v>40.299999999999997</v>
      </c>
      <c r="I544">
        <v>16.2</v>
      </c>
      <c r="J544">
        <v>6.9</v>
      </c>
    </row>
    <row r="545" spans="1:10" x14ac:dyDescent="0.3">
      <c r="A545" t="str" cm="1">
        <f t="array" ref="A545">IF(ROW()&lt;=COUNTA(Sheet1!A:A), INDEX(Sheet1!A:A, ROW()),
INDEX(Sheet4!A:A, ROW()-COUNTA(Sheet1!A:A)))</f>
        <v>Al30.735Cr18.314Fe24.624Co11.44Ni14.887</v>
      </c>
      <c r="B545" s="10">
        <f>_xlfn.XLOOKUP(A545, Sheet4!A:A, Sheet4!C:C)</f>
        <v>0</v>
      </c>
      <c r="C545" s="10">
        <v>-1</v>
      </c>
      <c r="D545" s="10">
        <f>_xlfn.XLOOKUP(A545, Sheet2!A:A, Sheet2!B:B)</f>
        <v>6.5091000000000001</v>
      </c>
      <c r="E545" s="10">
        <f>_xlfn.XLOOKUP(A545, Sheet1!A:A, Sheet1!G:G)</f>
        <v>-1</v>
      </c>
      <c r="F545" s="10">
        <f t="shared" si="8"/>
        <v>-1</v>
      </c>
      <c r="G545" cm="1">
        <f t="array" ref="G545:J545">_xlfn.XLOOKUP(A545, Sheet1!A:A, Sheet1!C:F)</f>
        <v>6.5768000000000004</v>
      </c>
      <c r="H545">
        <v>40.323</v>
      </c>
      <c r="I545">
        <v>16.227</v>
      </c>
      <c r="J545">
        <v>6.8719999999999999</v>
      </c>
    </row>
    <row r="546" spans="1:10" x14ac:dyDescent="0.3">
      <c r="A546" t="str" cm="1">
        <f t="array" ref="A546">IF(ROW()&lt;=COUNTA(Sheet1!A:A), INDEX(Sheet1!A:A, ROW()),
INDEX(Sheet4!A:A, ROW()-COUNTA(Sheet1!A:A)))</f>
        <v>Al30.798Cr41.04Fe12.567Co7.6079Ni7.9876</v>
      </c>
      <c r="B546" s="10">
        <f>_xlfn.XLOOKUP(A546, Sheet4!A:A, Sheet4!C:C)</f>
        <v>0</v>
      </c>
      <c r="C546" s="10">
        <v>-1</v>
      </c>
      <c r="D546" s="10">
        <f>_xlfn.XLOOKUP(A546, Sheet2!A:A, Sheet2!B:B)</f>
        <v>5.8750999999999998</v>
      </c>
      <c r="E546" s="10">
        <f>_xlfn.XLOOKUP(A546, Sheet1!A:A, Sheet1!G:G)</f>
        <v>-1</v>
      </c>
      <c r="F546" s="10">
        <f t="shared" si="8"/>
        <v>-1</v>
      </c>
      <c r="G546" cm="1">
        <f t="array" ref="G546:J546">_xlfn.XLOOKUP(A546, Sheet1!A:A, Sheet1!C:F)</f>
        <v>18.152000000000001</v>
      </c>
      <c r="H546">
        <v>12.455</v>
      </c>
      <c r="I546">
        <v>16.170000000000002</v>
      </c>
      <c r="J546">
        <v>23.193000000000001</v>
      </c>
    </row>
    <row r="547" spans="1:10" x14ac:dyDescent="0.3">
      <c r="A547" t="str" cm="1">
        <f t="array" ref="A547">IF(ROW()&lt;=COUNTA(Sheet1!A:A), INDEX(Sheet1!A:A, ROW()),
INDEX(Sheet4!A:A, ROW()-COUNTA(Sheet1!A:A)))</f>
        <v>Al30.8Cr41Fe12.6Co7.6Ni8</v>
      </c>
      <c r="B547" s="10">
        <f>_xlfn.XLOOKUP(A547, Sheet4!A:A, Sheet4!C:C)</f>
        <v>0</v>
      </c>
      <c r="C547" s="10">
        <v>-1</v>
      </c>
      <c r="D547" s="10">
        <f>_xlfn.XLOOKUP(A547, Sheet2!A:A, Sheet2!B:B)</f>
        <v>5.8760000000000003</v>
      </c>
      <c r="E547" s="10">
        <f>_xlfn.XLOOKUP(A547, Sheet1!A:A, Sheet1!G:G)</f>
        <v>-1</v>
      </c>
      <c r="F547" s="10">
        <f t="shared" si="8"/>
        <v>-1</v>
      </c>
      <c r="G547" cm="1">
        <f t="array" ref="G547:J547">_xlfn.XLOOKUP(A547, Sheet1!A:A, Sheet1!C:F)</f>
        <v>8.1632999999999996</v>
      </c>
      <c r="H547">
        <v>21.934000000000001</v>
      </c>
      <c r="I547">
        <v>29.172000000000001</v>
      </c>
      <c r="J547">
        <v>10.465999999999999</v>
      </c>
    </row>
    <row r="548" spans="1:10" x14ac:dyDescent="0.3">
      <c r="A548" t="str" cm="1">
        <f t="array" ref="A548">IF(ROW()&lt;=COUNTA(Sheet1!A:A), INDEX(Sheet1!A:A, ROW()),
INDEX(Sheet4!A:A, ROW()-COUNTA(Sheet1!A:A)))</f>
        <v>Al1.8CoCrFeNi</v>
      </c>
      <c r="B548" s="10" t="str">
        <f>_xlfn.XLOOKUP(A548, Sheet4!A:A, Sheet4!C:C)</f>
        <v>BCC</v>
      </c>
      <c r="C548" s="10">
        <v>0</v>
      </c>
      <c r="D548" s="10">
        <f>_xlfn.XLOOKUP(A548, Sheet2!A:A, Sheet2!B:B)</f>
        <v>6.6207000000000003</v>
      </c>
      <c r="E548" s="10">
        <f>_xlfn.XLOOKUP(A548, Sheet1!A:A, Sheet1!G:G)</f>
        <v>-1</v>
      </c>
      <c r="F548" s="10">
        <f t="shared" si="8"/>
        <v>0</v>
      </c>
      <c r="G548" cm="1">
        <f t="array" ref="G548:J548">_xlfn.XLOOKUP(A548, Sheet1!A:A, Sheet1!C:F)</f>
        <v>8.1999999999999993</v>
      </c>
      <c r="H548">
        <v>21.9</v>
      </c>
      <c r="I548">
        <v>29.2</v>
      </c>
      <c r="J548">
        <v>10.5</v>
      </c>
    </row>
    <row r="549" spans="1:10" x14ac:dyDescent="0.3">
      <c r="A549" t="str" cm="1">
        <f t="array" ref="A549">IF(ROW()&lt;=COUNTA(Sheet1!A:A), INDEX(Sheet1!A:A, ROW()),
INDEX(Sheet4!A:A, ROW()-COUNTA(Sheet1!A:A)))</f>
        <v>Al31.1Cr42.1Fe10.8Co7.9Ni8.2</v>
      </c>
      <c r="B549" s="10">
        <f>_xlfn.XLOOKUP(A549, Sheet4!A:A, Sheet4!C:C)</f>
        <v>0</v>
      </c>
      <c r="C549" s="10">
        <v>-1</v>
      </c>
      <c r="D549" s="10">
        <f>_xlfn.XLOOKUP(A549, Sheet2!A:A, Sheet2!B:B)</f>
        <v>5.8482000000000003</v>
      </c>
      <c r="E549" s="10">
        <f>_xlfn.XLOOKUP(A549, Sheet1!A:A, Sheet1!G:G)</f>
        <v>-1</v>
      </c>
      <c r="F549" s="10">
        <f t="shared" si="8"/>
        <v>-1</v>
      </c>
      <c r="G549" cm="1">
        <f t="array" ref="G549:J549">_xlfn.XLOOKUP(A549, Sheet1!A:A, Sheet1!C:F)</f>
        <v>6.3059000000000003</v>
      </c>
      <c r="H549">
        <v>23.623000000000001</v>
      </c>
      <c r="I549">
        <v>31.469000000000001</v>
      </c>
      <c r="J549">
        <v>8.2406000000000006</v>
      </c>
    </row>
    <row r="550" spans="1:10" x14ac:dyDescent="0.3">
      <c r="A550" t="str" cm="1">
        <f t="array" ref="A550">IF(ROW()&lt;=COUNTA(Sheet1!A:A), INDEX(Sheet1!A:A, ROW()),
INDEX(Sheet4!A:A, ROW()-COUNTA(Sheet1!A:A)))</f>
        <v>Al31.083Cr42.125Fe10.758Co7.8808Ni8.1533</v>
      </c>
      <c r="B550" s="10">
        <f>_xlfn.XLOOKUP(A550, Sheet4!A:A, Sheet4!C:C)</f>
        <v>0</v>
      </c>
      <c r="C550" s="10">
        <v>-1</v>
      </c>
      <c r="D550" s="10">
        <f>_xlfn.XLOOKUP(A550, Sheet2!A:A, Sheet2!B:B)</f>
        <v>5.8452000000000002</v>
      </c>
      <c r="E550" s="10">
        <f>_xlfn.XLOOKUP(A550, Sheet1!A:A, Sheet1!G:G)</f>
        <v>-1</v>
      </c>
      <c r="F550" s="10">
        <f t="shared" si="8"/>
        <v>-1</v>
      </c>
      <c r="G550" cm="1">
        <f t="array" ref="G550:J550">_xlfn.XLOOKUP(A550, Sheet1!A:A, Sheet1!C:F)</f>
        <v>6.3</v>
      </c>
      <c r="H550">
        <v>23.6</v>
      </c>
      <c r="I550">
        <v>31.5</v>
      </c>
      <c r="J550">
        <v>8.1999999999999993</v>
      </c>
    </row>
    <row r="551" spans="1:10" x14ac:dyDescent="0.3">
      <c r="A551" t="str" cm="1">
        <f t="array" ref="A551">IF(ROW()&lt;=COUNTA(Sheet1!A:A), INDEX(Sheet1!A:A, ROW()),
INDEX(Sheet4!A:A, ROW()-COUNTA(Sheet1!A:A)))</f>
        <v>Al31.1Cr42.3Fe6.5Co9.9Ni10.2</v>
      </c>
      <c r="B551" s="10">
        <f>_xlfn.XLOOKUP(A551, Sheet4!A:A, Sheet4!C:C)</f>
        <v>0</v>
      </c>
      <c r="C551" s="10">
        <v>-1</v>
      </c>
      <c r="D551" s="10">
        <f>_xlfn.XLOOKUP(A551, Sheet2!A:A, Sheet2!B:B)</f>
        <v>5.9020000000000001</v>
      </c>
      <c r="E551" s="10">
        <f>_xlfn.XLOOKUP(A551, Sheet1!A:A, Sheet1!G:G)</f>
        <v>-1</v>
      </c>
      <c r="F551" s="10">
        <f t="shared" si="8"/>
        <v>-1</v>
      </c>
      <c r="G551" cm="1">
        <f t="array" ref="G551:J551">_xlfn.XLOOKUP(A551, Sheet1!A:A, Sheet1!C:F)</f>
        <v>9.5</v>
      </c>
      <c r="H551">
        <v>41.4</v>
      </c>
      <c r="I551">
        <v>8.6</v>
      </c>
      <c r="J551">
        <v>10.1</v>
      </c>
    </row>
    <row r="552" spans="1:10" x14ac:dyDescent="0.3">
      <c r="A552" t="str" cm="1">
        <f t="array" ref="A552">IF(ROW()&lt;=COUNTA(Sheet1!A:A), INDEX(Sheet1!A:A, ROW()),
INDEX(Sheet4!A:A, ROW()-COUNTA(Sheet1!A:A)))</f>
        <v>Al31.1Cr41.8Fe7.4Co9.7Ni9.9</v>
      </c>
      <c r="B552" s="10">
        <f>_xlfn.XLOOKUP(A552, Sheet4!A:A, Sheet4!C:C)</f>
        <v>0</v>
      </c>
      <c r="C552" s="10">
        <v>-1</v>
      </c>
      <c r="D552" s="10">
        <f>_xlfn.XLOOKUP(A552, Sheet2!A:A, Sheet2!B:B)</f>
        <v>5.9019000000000004</v>
      </c>
      <c r="E552" s="10">
        <f>_xlfn.XLOOKUP(A552, Sheet1!A:A, Sheet1!G:G)</f>
        <v>-1</v>
      </c>
      <c r="F552" s="10">
        <f t="shared" si="8"/>
        <v>-1</v>
      </c>
      <c r="G552" cm="1">
        <f t="array" ref="G552:J552">_xlfn.XLOOKUP(A552, Sheet1!A:A, Sheet1!C:F)</f>
        <v>9.4986999999999995</v>
      </c>
      <c r="H552">
        <v>41.375999999999998</v>
      </c>
      <c r="I552">
        <v>8.5738000000000003</v>
      </c>
      <c r="J552">
        <v>10.105</v>
      </c>
    </row>
    <row r="553" spans="1:10" x14ac:dyDescent="0.3">
      <c r="A553" t="str" cm="1">
        <f t="array" ref="A553">IF(ROW()&lt;=COUNTA(Sheet1!A:A), INDEX(Sheet1!A:A, ROW()),
INDEX(Sheet4!A:A, ROW()-COUNTA(Sheet1!A:A)))</f>
        <v>Al31.14Cr41.825Fe7.4277Co9.6609Ni9.9466</v>
      </c>
      <c r="B553" s="10">
        <f>_xlfn.XLOOKUP(A553, Sheet4!A:A, Sheet4!C:C)</f>
        <v>0</v>
      </c>
      <c r="C553" s="10">
        <v>-1</v>
      </c>
      <c r="D553" s="10">
        <f>_xlfn.XLOOKUP(A553, Sheet2!A:A, Sheet2!B:B)</f>
        <v>5.9020000000000001</v>
      </c>
      <c r="E553" s="10">
        <f>_xlfn.XLOOKUP(A553, Sheet1!A:A, Sheet1!G:G)</f>
        <v>-1</v>
      </c>
      <c r="F553" s="10">
        <f t="shared" si="8"/>
        <v>-1</v>
      </c>
      <c r="G553" cm="1">
        <f t="array" ref="G553:J553">_xlfn.XLOOKUP(A553, Sheet1!A:A, Sheet1!C:F)</f>
        <v>11.4</v>
      </c>
      <c r="H553">
        <v>18.3</v>
      </c>
      <c r="I553">
        <v>24.6</v>
      </c>
      <c r="J553">
        <v>14.9</v>
      </c>
    </row>
    <row r="554" spans="1:10" x14ac:dyDescent="0.3">
      <c r="A554" t="str" cm="1">
        <f t="array" ref="A554">IF(ROW()&lt;=COUNTA(Sheet1!A:A), INDEX(Sheet1!A:A, ROW()),
INDEX(Sheet4!A:A, ROW()-COUNTA(Sheet1!A:A)))</f>
        <v>Al31.147Cr42.259Fe6.4778Co9.9059Ni10.21</v>
      </c>
      <c r="B554" s="10">
        <f>_xlfn.XLOOKUP(A554, Sheet4!A:A, Sheet4!C:C)</f>
        <v>0</v>
      </c>
      <c r="C554" s="10">
        <v>-1</v>
      </c>
      <c r="D554" s="10">
        <f>_xlfn.XLOOKUP(A554, Sheet2!A:A, Sheet2!B:B)</f>
        <v>5.9006999999999996</v>
      </c>
      <c r="E554" s="10">
        <f>_xlfn.XLOOKUP(A554, Sheet1!A:A, Sheet1!G:G)</f>
        <v>-1</v>
      </c>
      <c r="F554" s="10">
        <f t="shared" si="8"/>
        <v>-1</v>
      </c>
      <c r="G554" cm="1">
        <f t="array" ref="G554:J554">_xlfn.XLOOKUP(A554, Sheet1!A:A, Sheet1!C:F)</f>
        <v>11.44</v>
      </c>
      <c r="H554">
        <v>18.314</v>
      </c>
      <c r="I554">
        <v>24.623999999999999</v>
      </c>
      <c r="J554">
        <v>14.887</v>
      </c>
    </row>
    <row r="555" spans="1:10" x14ac:dyDescent="0.3">
      <c r="A555" t="str" cm="1">
        <f t="array" ref="A555">IF(ROW()&lt;=COUNTA(Sheet1!A:A), INDEX(Sheet1!A:A, ROW()),
INDEX(Sheet4!A:A, ROW()-COUNTA(Sheet1!A:A)))</f>
        <v>Al31.186Cr43.271Fe9.1364Co7.9671Ni8.4395</v>
      </c>
      <c r="B555" s="10">
        <f>_xlfn.XLOOKUP(A555, Sheet4!A:A, Sheet4!C:C)</f>
        <v>0</v>
      </c>
      <c r="C555" s="10">
        <v>-1</v>
      </c>
      <c r="D555" s="10">
        <f>_xlfn.XLOOKUP(A555, Sheet2!A:A, Sheet2!B:B)</f>
        <v>5.8236999999999997</v>
      </c>
      <c r="E555" s="10">
        <f>_xlfn.XLOOKUP(A555, Sheet1!A:A, Sheet1!G:G)</f>
        <v>-1</v>
      </c>
      <c r="F555" s="10">
        <f t="shared" si="8"/>
        <v>-1</v>
      </c>
      <c r="G555" cm="1">
        <f t="array" ref="G555:J555">_xlfn.XLOOKUP(A555, Sheet1!A:A, Sheet1!C:F)</f>
        <v>7.6078999999999999</v>
      </c>
      <c r="H555">
        <v>41.04</v>
      </c>
      <c r="I555">
        <v>12.567</v>
      </c>
      <c r="J555">
        <v>7.9875999999999996</v>
      </c>
    </row>
    <row r="556" spans="1:10" x14ac:dyDescent="0.3">
      <c r="A556" t="str" cm="1">
        <f t="array" ref="A556">IF(ROW()&lt;=COUNTA(Sheet1!A:A), INDEX(Sheet1!A:A, ROW()),
INDEX(Sheet4!A:A, ROW()-COUNTA(Sheet1!A:A)))</f>
        <v>Al31.2Cr43.3Fe9.1Co8Ni8.4</v>
      </c>
      <c r="B556" s="10">
        <f>_xlfn.XLOOKUP(A556, Sheet4!A:A, Sheet4!C:C)</f>
        <v>0</v>
      </c>
      <c r="C556" s="10">
        <v>-1</v>
      </c>
      <c r="D556" s="10">
        <f>_xlfn.XLOOKUP(A556, Sheet2!A:A, Sheet2!B:B)</f>
        <v>5.8220000000000001</v>
      </c>
      <c r="E556" s="10">
        <f>_xlfn.XLOOKUP(A556, Sheet1!A:A, Sheet1!G:G)</f>
        <v>-1</v>
      </c>
      <c r="F556" s="10">
        <f t="shared" si="8"/>
        <v>-1</v>
      </c>
      <c r="G556" cm="1">
        <f t="array" ref="G556:J556">_xlfn.XLOOKUP(A556, Sheet1!A:A, Sheet1!C:F)</f>
        <v>7.6</v>
      </c>
      <c r="H556">
        <v>41</v>
      </c>
      <c r="I556">
        <v>12.6</v>
      </c>
      <c r="J556">
        <v>8</v>
      </c>
    </row>
    <row r="557" spans="1:10" x14ac:dyDescent="0.3">
      <c r="A557" t="str" cm="1">
        <f t="array" ref="A557">IF(ROW()&lt;=COUNTA(Sheet1!A:A), INDEX(Sheet1!A:A, ROW()),
INDEX(Sheet4!A:A, ROW()-COUNTA(Sheet1!A:A)))</f>
        <v>Al31.2Co17.2Cr17.2Fe17.2Ni17.2</v>
      </c>
      <c r="B557" s="10" t="str">
        <f>_xlfn.XLOOKUP(A557, Sheet4!A:A, Sheet4!C:C)</f>
        <v>IM</v>
      </c>
      <c r="C557" s="10">
        <v>-1</v>
      </c>
      <c r="D557" s="10">
        <f>_xlfn.XLOOKUP(A557, Sheet2!A:A, Sheet2!B:B)</f>
        <v>6.6120000000000001</v>
      </c>
      <c r="E557" s="10">
        <f>_xlfn.XLOOKUP(A557, Sheet1!A:A, Sheet1!G:G)</f>
        <v>-1</v>
      </c>
      <c r="F557" s="10">
        <f t="shared" si="8"/>
        <v>-1</v>
      </c>
      <c r="G557" cm="1">
        <f t="array" ref="G557:J557">_xlfn.XLOOKUP(A557, Sheet1!A:A, Sheet1!C:F)</f>
        <v>17.241379309999999</v>
      </c>
      <c r="H557">
        <v>17.241379309999999</v>
      </c>
      <c r="I557">
        <v>17.241379309999999</v>
      </c>
      <c r="J557">
        <v>17.241379309999999</v>
      </c>
    </row>
    <row r="558" spans="1:10" x14ac:dyDescent="0.3">
      <c r="A558" t="str" cm="1">
        <f t="array" ref="A558">IF(ROW()&lt;=COUNTA(Sheet1!A:A), INDEX(Sheet1!A:A, ROW()),
INDEX(Sheet4!A:A, ROW()-COUNTA(Sheet1!A:A)))</f>
        <v>Al31.209Cr41.82Fe13.608Co6.5422Ni6.8205</v>
      </c>
      <c r="B558" s="10">
        <f>_xlfn.XLOOKUP(A558, Sheet4!A:A, Sheet4!C:C)</f>
        <v>0</v>
      </c>
      <c r="C558" s="10">
        <v>-1</v>
      </c>
      <c r="D558" s="10">
        <f>_xlfn.XLOOKUP(A558, Sheet2!A:A, Sheet2!B:B)</f>
        <v>5.8049999999999997</v>
      </c>
      <c r="E558" s="10">
        <f>_xlfn.XLOOKUP(A558, Sheet1!A:A, Sheet1!G:G)</f>
        <v>-1</v>
      </c>
      <c r="F558" s="10">
        <f t="shared" si="8"/>
        <v>-1</v>
      </c>
      <c r="G558" cm="1">
        <f t="array" ref="G558:J558">_xlfn.XLOOKUP(A558, Sheet1!A:A, Sheet1!C:F)</f>
        <v>7.9</v>
      </c>
      <c r="H558">
        <v>42.1</v>
      </c>
      <c r="I558">
        <v>10.8</v>
      </c>
      <c r="J558">
        <v>8.1999999999999993</v>
      </c>
    </row>
    <row r="559" spans="1:10" x14ac:dyDescent="0.3">
      <c r="A559" t="str" cm="1">
        <f t="array" ref="A559">IF(ROW()&lt;=COUNTA(Sheet1!A:A), INDEX(Sheet1!A:A, ROW()),
INDEX(Sheet4!A:A, ROW()-COUNTA(Sheet1!A:A)))</f>
        <v>Al31.2Cr41.8Fe13.6Co6.5Ni6.8</v>
      </c>
      <c r="B559" s="10">
        <f>_xlfn.XLOOKUP(A559, Sheet4!A:A, Sheet4!C:C)</f>
        <v>0</v>
      </c>
      <c r="C559" s="10">
        <v>-1</v>
      </c>
      <c r="D559" s="10">
        <f>_xlfn.XLOOKUP(A559, Sheet2!A:A, Sheet2!B:B)</f>
        <v>5.8028000000000004</v>
      </c>
      <c r="E559" s="10">
        <f>_xlfn.XLOOKUP(A559, Sheet1!A:A, Sheet1!G:G)</f>
        <v>-1</v>
      </c>
      <c r="F559" s="10">
        <f t="shared" si="8"/>
        <v>-1</v>
      </c>
      <c r="G559" cm="1">
        <f t="array" ref="G559:J559">_xlfn.XLOOKUP(A559, Sheet1!A:A, Sheet1!C:F)</f>
        <v>7.8807999999999998</v>
      </c>
      <c r="H559">
        <v>42.125</v>
      </c>
      <c r="I559">
        <v>10.757999999999999</v>
      </c>
      <c r="J559">
        <v>8.1532999999999998</v>
      </c>
    </row>
    <row r="560" spans="1:10" x14ac:dyDescent="0.3">
      <c r="A560" t="str" cm="1">
        <f t="array" ref="A560">IF(ROW()&lt;=COUNTA(Sheet1!A:A), INDEX(Sheet1!A:A, ROW()),
INDEX(Sheet4!A:A, ROW()-COUNTA(Sheet1!A:A)))</f>
        <v>Al31.3Cr17.1Fe22.6Co12.8Ni16.1</v>
      </c>
      <c r="B560" s="10">
        <f>_xlfn.XLOOKUP(A560, Sheet4!A:A, Sheet4!C:C)</f>
        <v>0</v>
      </c>
      <c r="C560" s="10">
        <v>-1</v>
      </c>
      <c r="D560" s="10">
        <f>_xlfn.XLOOKUP(A560, Sheet2!A:A, Sheet2!B:B)</f>
        <v>6.5415000000000001</v>
      </c>
      <c r="E560" s="10">
        <f>_xlfn.XLOOKUP(A560, Sheet1!A:A, Sheet1!G:G)</f>
        <v>-1</v>
      </c>
      <c r="F560" s="10">
        <f t="shared" si="8"/>
        <v>-1</v>
      </c>
      <c r="G560" cm="1">
        <f t="array" ref="G560:J560">_xlfn.XLOOKUP(A560, Sheet1!A:A, Sheet1!C:F)</f>
        <v>9.9</v>
      </c>
      <c r="H560">
        <v>42.3</v>
      </c>
      <c r="I560">
        <v>6.5</v>
      </c>
      <c r="J560">
        <v>10.199999999999999</v>
      </c>
    </row>
    <row r="561" spans="1:10" x14ac:dyDescent="0.3">
      <c r="A561" t="str" cm="1">
        <f t="array" ref="A561">IF(ROW()&lt;=COUNTA(Sheet1!A:A), INDEX(Sheet1!A:A, ROW()),
INDEX(Sheet4!A:A, ROW()-COUNTA(Sheet1!A:A)))</f>
        <v>Al31.347Cr17.113Fe22.609Co12.826Ni16.106</v>
      </c>
      <c r="B561" s="10">
        <f>_xlfn.XLOOKUP(A561, Sheet4!A:A, Sheet4!C:C)</f>
        <v>0</v>
      </c>
      <c r="C561" s="10">
        <v>-1</v>
      </c>
      <c r="D561" s="10">
        <f>_xlfn.XLOOKUP(A561, Sheet2!A:A, Sheet2!B:B)</f>
        <v>6.5407999999999999</v>
      </c>
      <c r="E561" s="10">
        <f>_xlfn.XLOOKUP(A561, Sheet1!A:A, Sheet1!G:G)</f>
        <v>-1</v>
      </c>
      <c r="F561" s="10">
        <f t="shared" si="8"/>
        <v>-1</v>
      </c>
      <c r="G561" cm="1">
        <f t="array" ref="G561:J561">_xlfn.XLOOKUP(A561, Sheet1!A:A, Sheet1!C:F)</f>
        <v>9.6999999999999993</v>
      </c>
      <c r="H561">
        <v>41.8</v>
      </c>
      <c r="I561">
        <v>7.4</v>
      </c>
      <c r="J561">
        <v>9.9</v>
      </c>
    </row>
    <row r="562" spans="1:10" x14ac:dyDescent="0.3">
      <c r="A562" t="str" cm="1">
        <f t="array" ref="A562">IF(ROW()&lt;=COUNTA(Sheet1!A:A), INDEX(Sheet1!A:A, ROW()),
INDEX(Sheet4!A:A, ROW()-COUNTA(Sheet1!A:A)))</f>
        <v>Al31.8Cr44Fe7.8Co8.1Ni8.3</v>
      </c>
      <c r="B562" s="10">
        <f>_xlfn.XLOOKUP(A562, Sheet4!A:A, Sheet4!C:C)</f>
        <v>0</v>
      </c>
      <c r="C562" s="10">
        <v>-1</v>
      </c>
      <c r="D562" s="10">
        <f>_xlfn.XLOOKUP(A562, Sheet2!A:A, Sheet2!B:B)</f>
        <v>5.7770000000000001</v>
      </c>
      <c r="E562" s="10">
        <f>_xlfn.XLOOKUP(A562, Sheet1!A:A, Sheet1!G:G)</f>
        <v>-1</v>
      </c>
      <c r="F562" s="10">
        <f t="shared" si="8"/>
        <v>-1</v>
      </c>
      <c r="G562" cm="1">
        <f t="array" ref="G562:J562">_xlfn.XLOOKUP(A562, Sheet1!A:A, Sheet1!C:F)</f>
        <v>9.6608999999999998</v>
      </c>
      <c r="H562">
        <v>41.825000000000003</v>
      </c>
      <c r="I562">
        <v>7.4276999999999997</v>
      </c>
      <c r="J562">
        <v>9.9466000000000001</v>
      </c>
    </row>
    <row r="563" spans="1:10" x14ac:dyDescent="0.3">
      <c r="A563" t="str" cm="1">
        <f t="array" ref="A563">IF(ROW()&lt;=COUNTA(Sheet1!A:A), INDEX(Sheet1!A:A, ROW()),
INDEX(Sheet4!A:A, ROW()-COUNTA(Sheet1!A:A)))</f>
        <v>Al31.801Cr44.031Fe7.812Co8.0922Ni8.2641</v>
      </c>
      <c r="B563" s="10">
        <f>_xlfn.XLOOKUP(A563, Sheet4!A:A, Sheet4!C:C)</f>
        <v>0</v>
      </c>
      <c r="C563" s="10">
        <v>-1</v>
      </c>
      <c r="D563" s="10">
        <f>_xlfn.XLOOKUP(A563, Sheet2!A:A, Sheet2!B:B)</f>
        <v>5.7755000000000001</v>
      </c>
      <c r="E563" s="10">
        <f>_xlfn.XLOOKUP(A563, Sheet1!A:A, Sheet1!G:G)</f>
        <v>-1</v>
      </c>
      <c r="F563" s="10">
        <f t="shared" si="8"/>
        <v>-1</v>
      </c>
      <c r="G563" cm="1">
        <f t="array" ref="G563:J563">_xlfn.XLOOKUP(A563, Sheet1!A:A, Sheet1!C:F)</f>
        <v>9.9059000000000008</v>
      </c>
      <c r="H563">
        <v>42.259</v>
      </c>
      <c r="I563">
        <v>6.4778000000000002</v>
      </c>
      <c r="J563">
        <v>10.210000000000001</v>
      </c>
    </row>
    <row r="564" spans="1:10" x14ac:dyDescent="0.3">
      <c r="A564" t="str" cm="1">
        <f t="array" ref="A564">IF(ROW()&lt;=COUNTA(Sheet1!A:A), INDEX(Sheet1!A:A, ROW()),
INDEX(Sheet4!A:A, ROW()-COUNTA(Sheet1!A:A)))</f>
        <v>Al31.887Cr20.649Fe27.12Co8.7757Ni11.569</v>
      </c>
      <c r="B564" s="10">
        <f>_xlfn.XLOOKUP(A564, Sheet4!A:A, Sheet4!C:C)</f>
        <v>0</v>
      </c>
      <c r="C564" s="10">
        <v>-1</v>
      </c>
      <c r="D564" s="10">
        <f>_xlfn.XLOOKUP(A564, Sheet2!A:A, Sheet2!B:B)</f>
        <v>6.3117999999999999</v>
      </c>
      <c r="E564" s="10">
        <f>_xlfn.XLOOKUP(A564, Sheet1!A:A, Sheet1!G:G)</f>
        <v>-1</v>
      </c>
      <c r="F564" s="10">
        <f t="shared" si="8"/>
        <v>-1</v>
      </c>
      <c r="G564" cm="1">
        <f t="array" ref="G564:J564">_xlfn.XLOOKUP(A564, Sheet1!A:A, Sheet1!C:F)</f>
        <v>7.9671000000000003</v>
      </c>
      <c r="H564">
        <v>43.271000000000001</v>
      </c>
      <c r="I564">
        <v>9.1364000000000001</v>
      </c>
      <c r="J564">
        <v>8.4395000000000007</v>
      </c>
    </row>
    <row r="565" spans="1:10" x14ac:dyDescent="0.3">
      <c r="A565" t="str" cm="1">
        <f t="array" ref="A565">IF(ROW()&lt;=COUNTA(Sheet1!A:A), INDEX(Sheet1!A:A, ROW()),
INDEX(Sheet4!A:A, ROW()-COUNTA(Sheet1!A:A)))</f>
        <v>Al31.9Cr20.6Fe27.1Co8.8Ni11.6</v>
      </c>
      <c r="B565" s="10">
        <f>_xlfn.XLOOKUP(A565, Sheet4!A:A, Sheet4!C:C)</f>
        <v>0</v>
      </c>
      <c r="C565" s="10">
        <v>-1</v>
      </c>
      <c r="D565" s="10">
        <f>_xlfn.XLOOKUP(A565, Sheet2!A:A, Sheet2!B:B)</f>
        <v>6.3129999999999997</v>
      </c>
      <c r="E565" s="10">
        <f>_xlfn.XLOOKUP(A565, Sheet1!A:A, Sheet1!G:G)</f>
        <v>-1</v>
      </c>
      <c r="F565" s="10">
        <f t="shared" si="8"/>
        <v>-1</v>
      </c>
      <c r="G565" cm="1">
        <f t="array" ref="G565:J565">_xlfn.XLOOKUP(A565, Sheet1!A:A, Sheet1!C:F)</f>
        <v>8</v>
      </c>
      <c r="H565">
        <v>43.3</v>
      </c>
      <c r="I565">
        <v>9.1</v>
      </c>
      <c r="J565">
        <v>8.4</v>
      </c>
    </row>
    <row r="566" spans="1:10" x14ac:dyDescent="0.3">
      <c r="A566" t="str" cm="1">
        <f t="array" ref="A566">IF(ROW()&lt;=COUNTA(Sheet1!A:A), INDEX(Sheet1!A:A, ROW()),
INDEX(Sheet4!A:A, ROW()-COUNTA(Sheet1!A:A)))</f>
        <v>Al32Cr43.1Fe11.3Co6.6Ni6.9</v>
      </c>
      <c r="B566" s="10">
        <f>_xlfn.XLOOKUP(A566, Sheet4!A:A, Sheet4!C:C)</f>
        <v>0</v>
      </c>
      <c r="C566" s="10">
        <v>-1</v>
      </c>
      <c r="D566" s="10">
        <f>_xlfn.XLOOKUP(A566, Sheet2!A:A, Sheet2!B:B)</f>
        <v>5.7397</v>
      </c>
      <c r="E566" s="10">
        <f>_xlfn.XLOOKUP(A566, Sheet1!A:A, Sheet1!G:G)</f>
        <v>-1</v>
      </c>
      <c r="F566" s="10">
        <f t="shared" si="8"/>
        <v>-1</v>
      </c>
      <c r="G566" cm="1">
        <f t="array" ref="G566:J566">_xlfn.XLOOKUP(A566, Sheet1!A:A, Sheet1!C:F)</f>
        <v>17.2</v>
      </c>
      <c r="H566">
        <v>17.2</v>
      </c>
      <c r="I566">
        <v>17.2</v>
      </c>
      <c r="J566">
        <v>17.2</v>
      </c>
    </row>
    <row r="567" spans="1:10" x14ac:dyDescent="0.3">
      <c r="A567" t="str" cm="1">
        <f t="array" ref="A567">IF(ROW()&lt;=COUNTA(Sheet1!A:A), INDEX(Sheet1!A:A, ROW()),
INDEX(Sheet4!A:A, ROW()-COUNTA(Sheet1!A:A)))</f>
        <v>Al32.045Cr43.139Fe11.318Co6.5506Ni6.9476</v>
      </c>
      <c r="B567" s="10">
        <f>_xlfn.XLOOKUP(A567, Sheet4!A:A, Sheet4!C:C)</f>
        <v>0</v>
      </c>
      <c r="C567" s="10">
        <v>-1</v>
      </c>
      <c r="D567" s="10">
        <f>_xlfn.XLOOKUP(A567, Sheet2!A:A, Sheet2!B:B)</f>
        <v>5.7393999999999998</v>
      </c>
      <c r="E567" s="10">
        <f>_xlfn.XLOOKUP(A567, Sheet1!A:A, Sheet1!G:G)</f>
        <v>-1</v>
      </c>
      <c r="F567" s="10">
        <f t="shared" si="8"/>
        <v>-1</v>
      </c>
      <c r="G567" cm="1">
        <f t="array" ref="G567:J567">_xlfn.XLOOKUP(A567, Sheet1!A:A, Sheet1!C:F)</f>
        <v>6.5422000000000002</v>
      </c>
      <c r="H567">
        <v>41.82</v>
      </c>
      <c r="I567">
        <v>13.608000000000001</v>
      </c>
      <c r="J567">
        <v>6.8205</v>
      </c>
    </row>
    <row r="568" spans="1:10" x14ac:dyDescent="0.3">
      <c r="A568" t="str" cm="1">
        <f t="array" ref="A568">IF(ROW()&lt;=COUNTA(Sheet1!A:A), INDEX(Sheet1!A:A, ROW()),
INDEX(Sheet4!A:A, ROW()-COUNTA(Sheet1!A:A)))</f>
        <v>Al1.9CoCrFeNi</v>
      </c>
      <c r="B568" s="10">
        <f>_xlfn.XLOOKUP(A568, Sheet4!A:A, Sheet4!C:C)</f>
        <v>0</v>
      </c>
      <c r="C568" s="10">
        <v>-1</v>
      </c>
      <c r="D568" s="10">
        <f>_xlfn.XLOOKUP(A568, Sheet2!A:A, Sheet2!B:B)</f>
        <v>6.5593000000000004</v>
      </c>
      <c r="E568" s="10">
        <f>_xlfn.XLOOKUP(A568, Sheet1!A:A, Sheet1!G:G)</f>
        <v>-1</v>
      </c>
      <c r="F568" s="10">
        <f t="shared" si="8"/>
        <v>-1</v>
      </c>
      <c r="G568" cm="1">
        <f t="array" ref="G568:J568">_xlfn.XLOOKUP(A568, Sheet1!A:A, Sheet1!C:F)</f>
        <v>6.5</v>
      </c>
      <c r="H568">
        <v>41.8</v>
      </c>
      <c r="I568">
        <v>13.6</v>
      </c>
      <c r="J568">
        <v>6.8</v>
      </c>
    </row>
    <row r="569" spans="1:10" x14ac:dyDescent="0.3">
      <c r="A569" t="str" cm="1">
        <f t="array" ref="A569">IF(ROW()&lt;=COUNTA(Sheet1!A:A), INDEX(Sheet1!A:A, ROW()),
INDEX(Sheet4!A:A, ROW()-COUNTA(Sheet1!A:A)))</f>
        <v>Al32.251Cr44.373Fe6.7543Co8.1489Ni8.4723</v>
      </c>
      <c r="B569" s="10">
        <f>_xlfn.XLOOKUP(A569, Sheet4!A:A, Sheet4!C:C)</f>
        <v>0</v>
      </c>
      <c r="C569" s="10">
        <v>-1</v>
      </c>
      <c r="D569" s="10">
        <f>_xlfn.XLOOKUP(A569, Sheet2!A:A, Sheet2!B:B)</f>
        <v>5.7508999999999997</v>
      </c>
      <c r="E569" s="10">
        <f>_xlfn.XLOOKUP(A569, Sheet1!A:A, Sheet1!G:G)</f>
        <v>-1</v>
      </c>
      <c r="F569" s="10">
        <f t="shared" si="8"/>
        <v>-1</v>
      </c>
      <c r="G569" cm="1">
        <f t="array" ref="G569:J569">_xlfn.XLOOKUP(A569, Sheet1!A:A, Sheet1!C:F)</f>
        <v>12.8</v>
      </c>
      <c r="H569">
        <v>17.100000000000001</v>
      </c>
      <c r="I569">
        <v>22.6</v>
      </c>
      <c r="J569">
        <v>16.100000000000001</v>
      </c>
    </row>
    <row r="570" spans="1:10" x14ac:dyDescent="0.3">
      <c r="A570" t="str" cm="1">
        <f t="array" ref="A570">IF(ROW()&lt;=COUNTA(Sheet1!A:A), INDEX(Sheet1!A:A, ROW()),
INDEX(Sheet4!A:A, ROW()-COUNTA(Sheet1!A:A)))</f>
        <v>Al32.3Cr44.5Fe9.7Co6.7Ni6.9</v>
      </c>
      <c r="B570" s="10">
        <f>_xlfn.XLOOKUP(A570, Sheet4!A:A, Sheet4!C:C)</f>
        <v>0</v>
      </c>
      <c r="C570" s="10">
        <v>-1</v>
      </c>
      <c r="D570" s="10">
        <f>_xlfn.XLOOKUP(A570, Sheet2!A:A, Sheet2!B:B)</f>
        <v>5.7023000000000001</v>
      </c>
      <c r="E570" s="10">
        <f>_xlfn.XLOOKUP(A570, Sheet1!A:A, Sheet1!G:G)</f>
        <v>-1</v>
      </c>
      <c r="F570" s="10">
        <f t="shared" si="8"/>
        <v>-1</v>
      </c>
      <c r="G570" cm="1">
        <f t="array" ref="G570:J570">_xlfn.XLOOKUP(A570, Sheet1!A:A, Sheet1!C:F)</f>
        <v>12.826000000000001</v>
      </c>
      <c r="H570">
        <v>17.113</v>
      </c>
      <c r="I570">
        <v>22.609000000000002</v>
      </c>
      <c r="J570">
        <v>16.106000000000002</v>
      </c>
    </row>
    <row r="571" spans="1:10" x14ac:dyDescent="0.3">
      <c r="A571" t="str" cm="1">
        <f t="array" ref="A571">IF(ROW()&lt;=COUNTA(Sheet1!A:A), INDEX(Sheet1!A:A, ROW()),
INDEX(Sheet4!A:A, ROW()-COUNTA(Sheet1!A:A)))</f>
        <v>Al32.3Cr44.4Fe6.8Co8.1Ni8.5</v>
      </c>
      <c r="B571" s="10">
        <f>_xlfn.XLOOKUP(A571, Sheet4!A:A, Sheet4!C:C)</f>
        <v>0</v>
      </c>
      <c r="C571" s="10">
        <v>-1</v>
      </c>
      <c r="D571" s="10">
        <f>_xlfn.XLOOKUP(A571, Sheet2!A:A, Sheet2!B:B)</f>
        <v>5.7502000000000004</v>
      </c>
      <c r="E571" s="10">
        <f>_xlfn.XLOOKUP(A571, Sheet1!A:A, Sheet1!G:G)</f>
        <v>-1</v>
      </c>
      <c r="F571" s="10">
        <f t="shared" si="8"/>
        <v>-1</v>
      </c>
      <c r="G571" cm="1">
        <f t="array" ref="G571:J571">_xlfn.XLOOKUP(A571, Sheet1!A:A, Sheet1!C:F)</f>
        <v>8.1</v>
      </c>
      <c r="H571">
        <v>44</v>
      </c>
      <c r="I571">
        <v>7.8</v>
      </c>
      <c r="J571">
        <v>8.3000000000000007</v>
      </c>
    </row>
    <row r="572" spans="1:10" x14ac:dyDescent="0.3">
      <c r="A572" t="str" cm="1">
        <f t="array" ref="A572">IF(ROW()&lt;=COUNTA(Sheet1!A:A), INDEX(Sheet1!A:A, ROW()),
INDEX(Sheet4!A:A, ROW()-COUNTA(Sheet1!A:A)))</f>
        <v>Al32.281Cr44.461Fe9.6899Co6.6659Ni6.9017</v>
      </c>
      <c r="B572" s="10">
        <f>_xlfn.XLOOKUP(A572, Sheet4!A:A, Sheet4!C:C)</f>
        <v>0</v>
      </c>
      <c r="C572" s="10">
        <v>-1</v>
      </c>
      <c r="D572" s="10">
        <f>_xlfn.XLOOKUP(A572, Sheet2!A:A, Sheet2!B:B)</f>
        <v>5.7013999999999996</v>
      </c>
      <c r="E572" s="10">
        <f>_xlfn.XLOOKUP(A572, Sheet1!A:A, Sheet1!G:G)</f>
        <v>-1</v>
      </c>
      <c r="F572" s="10">
        <f t="shared" si="8"/>
        <v>-1</v>
      </c>
      <c r="G572" cm="1">
        <f t="array" ref="G572:J572">_xlfn.XLOOKUP(A572, Sheet1!A:A, Sheet1!C:F)</f>
        <v>8.0922000000000001</v>
      </c>
      <c r="H572">
        <v>44.030999999999999</v>
      </c>
      <c r="I572">
        <v>7.8120000000000003</v>
      </c>
      <c r="J572">
        <v>8.2640999999999991</v>
      </c>
    </row>
    <row r="573" spans="1:10" x14ac:dyDescent="0.3">
      <c r="A573" t="str" cm="1">
        <f t="array" ref="A573">IF(ROW()&lt;=COUNTA(Sheet1!A:A), INDEX(Sheet1!A:A, ROW()),
INDEX(Sheet4!A:A, ROW()-COUNTA(Sheet1!A:A)))</f>
        <v>Al32.4Cr45.5Fe8.3Co6.8Ni6.9</v>
      </c>
      <c r="B573" s="10">
        <f>_xlfn.XLOOKUP(A573, Sheet4!A:A, Sheet4!C:C)</f>
        <v>0</v>
      </c>
      <c r="C573" s="10">
        <v>-1</v>
      </c>
      <c r="D573" s="10">
        <f>_xlfn.XLOOKUP(A573, Sheet2!A:A, Sheet2!B:B)</f>
        <v>5.6737000000000002</v>
      </c>
      <c r="E573" s="10">
        <f>_xlfn.XLOOKUP(A573, Sheet1!A:A, Sheet1!G:G)</f>
        <v>-1</v>
      </c>
      <c r="F573" s="10">
        <f t="shared" si="8"/>
        <v>-1</v>
      </c>
      <c r="G573" cm="1">
        <f t="array" ref="G573:J573">_xlfn.XLOOKUP(A573, Sheet1!A:A, Sheet1!C:F)</f>
        <v>8.7757000000000005</v>
      </c>
      <c r="H573">
        <v>20.649000000000001</v>
      </c>
      <c r="I573">
        <v>27.12</v>
      </c>
      <c r="J573">
        <v>11.569000000000001</v>
      </c>
    </row>
    <row r="574" spans="1:10" x14ac:dyDescent="0.3">
      <c r="A574" t="str" cm="1">
        <f t="array" ref="A574">IF(ROW()&lt;=COUNTA(Sheet1!A:A), INDEX(Sheet1!A:A, ROW()),
INDEX(Sheet4!A:A, ROW()-COUNTA(Sheet1!A:A)))</f>
        <v>Al32.446Cr45.521Fe8.2513Co6.8334Ni6.9486</v>
      </c>
      <c r="B574" s="10">
        <f>_xlfn.XLOOKUP(A574, Sheet4!A:A, Sheet4!C:C)</f>
        <v>0</v>
      </c>
      <c r="C574" s="10">
        <v>-1</v>
      </c>
      <c r="D574" s="10">
        <f>_xlfn.XLOOKUP(A574, Sheet2!A:A, Sheet2!B:B)</f>
        <v>5.6745999999999999</v>
      </c>
      <c r="E574" s="10">
        <f>_xlfn.XLOOKUP(A574, Sheet1!A:A, Sheet1!G:G)</f>
        <v>-1</v>
      </c>
      <c r="F574" s="10">
        <f t="shared" si="8"/>
        <v>-1</v>
      </c>
      <c r="G574" cm="1">
        <f t="array" ref="G574:J574">_xlfn.XLOOKUP(A574, Sheet1!A:A, Sheet1!C:F)</f>
        <v>8.8000000000000007</v>
      </c>
      <c r="H574">
        <v>20.6</v>
      </c>
      <c r="I574">
        <v>27.1</v>
      </c>
      <c r="J574">
        <v>11.6</v>
      </c>
    </row>
    <row r="575" spans="1:10" x14ac:dyDescent="0.3">
      <c r="A575" t="str" cm="1">
        <f t="array" ref="A575">IF(ROW()&lt;=COUNTA(Sheet1!A:A), INDEX(Sheet1!A:A, ROW()),
INDEX(Sheet4!A:A, ROW()-COUNTA(Sheet1!A:A)))</f>
        <v>Al32.7Cr15.6Fe20.7Co13.6Ni17.5</v>
      </c>
      <c r="B575" s="10">
        <f>_xlfn.XLOOKUP(A575, Sheet4!A:A, Sheet4!C:C)</f>
        <v>0</v>
      </c>
      <c r="C575" s="10">
        <v>-1</v>
      </c>
      <c r="D575" s="10">
        <f>_xlfn.XLOOKUP(A575, Sheet2!A:A, Sheet2!B:B)</f>
        <v>6.5404999999999998</v>
      </c>
      <c r="E575" s="10">
        <f>_xlfn.XLOOKUP(A575, Sheet1!A:A, Sheet1!G:G)</f>
        <v>-1</v>
      </c>
      <c r="F575" s="10">
        <f t="shared" si="8"/>
        <v>-1</v>
      </c>
      <c r="G575" cm="1">
        <f t="array" ref="G575:J575">_xlfn.XLOOKUP(A575, Sheet1!A:A, Sheet1!C:F)</f>
        <v>6.6</v>
      </c>
      <c r="H575">
        <v>43.1</v>
      </c>
      <c r="I575">
        <v>11.3</v>
      </c>
      <c r="J575">
        <v>6.9</v>
      </c>
    </row>
    <row r="576" spans="1:10" x14ac:dyDescent="0.3">
      <c r="A576" t="str" cm="1">
        <f t="array" ref="A576">IF(ROW()&lt;=COUNTA(Sheet1!A:A), INDEX(Sheet1!A:A, ROW()),
INDEX(Sheet4!A:A, ROW()-COUNTA(Sheet1!A:A)))</f>
        <v>Al32.677Cr15.59Fe20.675Co13.561Ni17.498</v>
      </c>
      <c r="B576" s="10">
        <f>_xlfn.XLOOKUP(A576, Sheet4!A:A, Sheet4!C:C)</f>
        <v>0</v>
      </c>
      <c r="C576" s="10">
        <v>-1</v>
      </c>
      <c r="D576" s="10">
        <f>_xlfn.XLOOKUP(A576, Sheet2!A:A, Sheet2!B:B)</f>
        <v>6.5399000000000003</v>
      </c>
      <c r="E576" s="10">
        <f>_xlfn.XLOOKUP(A576, Sheet1!A:A, Sheet1!G:G)</f>
        <v>-1</v>
      </c>
      <c r="F576" s="10">
        <f t="shared" si="8"/>
        <v>-1</v>
      </c>
      <c r="G576" cm="1">
        <f t="array" ref="G576:J576">_xlfn.XLOOKUP(A576, Sheet1!A:A, Sheet1!C:F)</f>
        <v>6.5506000000000002</v>
      </c>
      <c r="H576">
        <v>43.139000000000003</v>
      </c>
      <c r="I576">
        <v>11.318</v>
      </c>
      <c r="J576">
        <v>6.9476000000000004</v>
      </c>
    </row>
    <row r="577" spans="1:10" x14ac:dyDescent="0.3">
      <c r="A577" t="str" cm="1">
        <f t="array" ref="A577">IF(ROW()&lt;=COUNTA(Sheet1!A:A), INDEX(Sheet1!A:A, ROW()),
INDEX(Sheet4!A:A, ROW()-COUNTA(Sheet1!A:A)))</f>
        <v>Al32.9Cr21.8Fe29.2Co7Ni9</v>
      </c>
      <c r="B577" s="10">
        <f>_xlfn.XLOOKUP(A577, Sheet4!A:A, Sheet4!C:C)</f>
        <v>0</v>
      </c>
      <c r="C577" s="10">
        <v>-1</v>
      </c>
      <c r="D577" s="10">
        <f>_xlfn.XLOOKUP(A577, Sheet2!A:A, Sheet2!B:B)</f>
        <v>6.1672000000000002</v>
      </c>
      <c r="E577" s="10">
        <f>_xlfn.XLOOKUP(A577, Sheet1!A:A, Sheet1!G:G)</f>
        <v>-1</v>
      </c>
      <c r="F577" s="10">
        <f t="shared" si="8"/>
        <v>-1</v>
      </c>
      <c r="G577" cm="1">
        <f t="array" ref="G577:J577">_xlfn.XLOOKUP(A577, Sheet1!A:A, Sheet1!C:F)</f>
        <v>16.94915254</v>
      </c>
      <c r="H577">
        <v>16.94915254</v>
      </c>
      <c r="I577">
        <v>16.94915254</v>
      </c>
      <c r="J577">
        <v>16.94915254</v>
      </c>
    </row>
    <row r="578" spans="1:10" x14ac:dyDescent="0.3">
      <c r="A578" t="str" cm="1">
        <f t="array" ref="A578">IF(ROW()&lt;=COUNTA(Sheet1!A:A), INDEX(Sheet1!A:A, ROW()),
INDEX(Sheet4!A:A, ROW()-COUNTA(Sheet1!A:A)))</f>
        <v>Al32.933Cr21.844Fe29.206Co7.0154Ni9.0006</v>
      </c>
      <c r="B578" s="10">
        <f>_xlfn.XLOOKUP(A578, Sheet4!A:A, Sheet4!C:C)</f>
        <v>0</v>
      </c>
      <c r="C578" s="10">
        <v>-1</v>
      </c>
      <c r="D578" s="10">
        <f>_xlfn.XLOOKUP(A578, Sheet2!A:A, Sheet2!B:B)</f>
        <v>6.1665999999999999</v>
      </c>
      <c r="E578" s="10">
        <f>_xlfn.XLOOKUP(A578, Sheet1!A:A, Sheet1!G:G)</f>
        <v>-1</v>
      </c>
      <c r="F578" s="10">
        <f t="shared" si="8"/>
        <v>-1</v>
      </c>
      <c r="G578" cm="1">
        <f t="array" ref="G578:J578">_xlfn.XLOOKUP(A578, Sheet1!A:A, Sheet1!C:F)</f>
        <v>8.1488999999999994</v>
      </c>
      <c r="H578">
        <v>44.372999999999998</v>
      </c>
      <c r="I578">
        <v>6.7542999999999997</v>
      </c>
      <c r="J578">
        <v>8.4723000000000006</v>
      </c>
    </row>
    <row r="579" spans="1:10" x14ac:dyDescent="0.3">
      <c r="A579" t="str" cm="1">
        <f t="array" ref="A579">IF(ROW()&lt;=COUNTA(Sheet1!A:A), INDEX(Sheet1!A:A, ROW()),
INDEX(Sheet4!A:A, ROW()-COUNTA(Sheet1!A:A)))</f>
        <v>Al33.2Co16.7Cr16.7Fe16.7Ni16.7</v>
      </c>
      <c r="B579" s="10" t="str">
        <f>_xlfn.XLOOKUP(A579, Sheet4!A:A, Sheet4!C:C)</f>
        <v>IM</v>
      </c>
      <c r="C579" s="10">
        <v>-1</v>
      </c>
      <c r="D579" s="10">
        <f>_xlfn.XLOOKUP(A579, Sheet2!A:A, Sheet2!B:B)</f>
        <v>6.5069999999999997</v>
      </c>
      <c r="E579" s="10">
        <f>_xlfn.XLOOKUP(A579, Sheet1!A:A, Sheet1!G:G)</f>
        <v>-1</v>
      </c>
      <c r="F579" s="10">
        <f t="shared" ref="F579:F642" si="9">IF(OR(C579=1, E579=1), 1,
   IF(OR(C579=0, E579=0), 0,
      -1))</f>
        <v>-1</v>
      </c>
      <c r="G579" cm="1">
        <f t="array" ref="G579:J579">_xlfn.XLOOKUP(A579, Sheet1!A:A, Sheet1!C:F)</f>
        <v>6.7</v>
      </c>
      <c r="H579">
        <v>44.5</v>
      </c>
      <c r="I579">
        <v>9.6999999999999993</v>
      </c>
      <c r="J579">
        <v>6.9</v>
      </c>
    </row>
    <row r="580" spans="1:10" x14ac:dyDescent="0.3">
      <c r="A580" t="str" cm="1">
        <f t="array" ref="A580">IF(ROW()&lt;=COUNTA(Sheet1!A:A), INDEX(Sheet1!A:A, ROW()),
INDEX(Sheet4!A:A, ROW()-COUNTA(Sheet1!A:A)))</f>
        <v>Al2CoCrFeNi</v>
      </c>
      <c r="B580" s="10" t="str">
        <f>_xlfn.XLOOKUP(A580, Sheet4!A:A, Sheet4!C:C)</f>
        <v>BCC1+B2(ordered BCC)</v>
      </c>
      <c r="C580" s="10">
        <v>1</v>
      </c>
      <c r="D580" s="10">
        <f>_xlfn.XLOOKUP(A580, Sheet2!A:A, Sheet2!B:B)</f>
        <v>6.5</v>
      </c>
      <c r="E580" s="10">
        <f>_xlfn.XLOOKUP(A580, Sheet1!A:A, Sheet1!G:G)</f>
        <v>-1</v>
      </c>
      <c r="F580" s="10">
        <f t="shared" si="9"/>
        <v>1</v>
      </c>
      <c r="G580" cm="1">
        <f t="array" ref="G580:J580">_xlfn.XLOOKUP(A580, Sheet1!A:A, Sheet1!C:F)</f>
        <v>8.1</v>
      </c>
      <c r="H580">
        <v>44.4</v>
      </c>
      <c r="I580">
        <v>6.8</v>
      </c>
      <c r="J580">
        <v>8.5</v>
      </c>
    </row>
    <row r="581" spans="1:10" x14ac:dyDescent="0.3">
      <c r="A581" t="str" cm="1">
        <f t="array" ref="A581">IF(ROW()&lt;=COUNTA(Sheet1!A:A), INDEX(Sheet1!A:A, ROW()),
INDEX(Sheet4!A:A, ROW()-COUNTA(Sheet1!A:A)))</f>
        <v>Al33.395Cr19.124Fe25.028Co9.8316Ni12.623</v>
      </c>
      <c r="B581" s="10">
        <f>_xlfn.XLOOKUP(A581, Sheet4!A:A, Sheet4!C:C)</f>
        <v>0</v>
      </c>
      <c r="C581" s="10">
        <v>-1</v>
      </c>
      <c r="D581" s="10">
        <f>_xlfn.XLOOKUP(A581, Sheet2!A:A, Sheet2!B:B)</f>
        <v>6.2986000000000004</v>
      </c>
      <c r="E581" s="10">
        <f>_xlfn.XLOOKUP(A581, Sheet1!A:A, Sheet1!G:G)</f>
        <v>-1</v>
      </c>
      <c r="F581" s="10">
        <f t="shared" si="9"/>
        <v>-1</v>
      </c>
      <c r="G581" cm="1">
        <f t="array" ref="G581:J581">_xlfn.XLOOKUP(A581, Sheet1!A:A, Sheet1!C:F)</f>
        <v>6.6658999999999997</v>
      </c>
      <c r="H581">
        <v>44.460999999999999</v>
      </c>
      <c r="I581">
        <v>9.6898999999999997</v>
      </c>
      <c r="J581">
        <v>6.9016999999999999</v>
      </c>
    </row>
    <row r="582" spans="1:10" x14ac:dyDescent="0.3">
      <c r="A582" t="str" cm="1">
        <f t="array" ref="A582">IF(ROW()&lt;=COUNTA(Sheet1!A:A), INDEX(Sheet1!A:A, ROW()),
INDEX(Sheet4!A:A, ROW()-COUNTA(Sheet1!A:A)))</f>
        <v>Al33.4Cr14.4Fe18.8Co14.5Ni18.9</v>
      </c>
      <c r="B582" s="10">
        <f>_xlfn.XLOOKUP(A582, Sheet4!A:A, Sheet4!C:C)</f>
        <v>0</v>
      </c>
      <c r="C582" s="10">
        <v>-1</v>
      </c>
      <c r="D582" s="10">
        <f>_xlfn.XLOOKUP(A582, Sheet2!A:A, Sheet2!B:B)</f>
        <v>6.5650000000000004</v>
      </c>
      <c r="E582" s="10">
        <f>_xlfn.XLOOKUP(A582, Sheet1!A:A, Sheet1!G:G)</f>
        <v>-1</v>
      </c>
      <c r="F582" s="10">
        <f t="shared" si="9"/>
        <v>-1</v>
      </c>
      <c r="G582" cm="1">
        <f t="array" ref="G582:J582">_xlfn.XLOOKUP(A582, Sheet1!A:A, Sheet1!C:F)</f>
        <v>6.8</v>
      </c>
      <c r="H582">
        <v>45.5</v>
      </c>
      <c r="I582">
        <v>8.3000000000000007</v>
      </c>
      <c r="J582">
        <v>6.9</v>
      </c>
    </row>
    <row r="583" spans="1:10" x14ac:dyDescent="0.3">
      <c r="A583" t="str" cm="1">
        <f t="array" ref="A583">IF(ROW()&lt;=COUNTA(Sheet1!A:A), INDEX(Sheet1!A:A, ROW()),
INDEX(Sheet4!A:A, ROW()-COUNTA(Sheet1!A:A)))</f>
        <v>Al33.4Cr19.1Fe25Co9.8Ni12.6</v>
      </c>
      <c r="B583" s="10">
        <f>_xlfn.XLOOKUP(A583, Sheet4!A:A, Sheet4!C:C)</f>
        <v>0</v>
      </c>
      <c r="C583" s="10">
        <v>-1</v>
      </c>
      <c r="D583" s="10">
        <f>_xlfn.XLOOKUP(A583, Sheet2!A:A, Sheet2!B:B)</f>
        <v>6.2962999999999996</v>
      </c>
      <c r="E583" s="10">
        <f>_xlfn.XLOOKUP(A583, Sheet1!A:A, Sheet1!G:G)</f>
        <v>-1</v>
      </c>
      <c r="F583" s="10">
        <f t="shared" si="9"/>
        <v>-1</v>
      </c>
      <c r="G583" cm="1">
        <f t="array" ref="G583:J583">_xlfn.XLOOKUP(A583, Sheet1!A:A, Sheet1!C:F)</f>
        <v>6.8334000000000001</v>
      </c>
      <c r="H583">
        <v>45.521000000000001</v>
      </c>
      <c r="I583">
        <v>8.2513000000000005</v>
      </c>
      <c r="J583">
        <v>6.9485999999999999</v>
      </c>
    </row>
    <row r="584" spans="1:10" x14ac:dyDescent="0.3">
      <c r="A584" t="str" cm="1">
        <f t="array" ref="A584">IF(ROW()&lt;=COUNTA(Sheet1!A:A), INDEX(Sheet1!A:A, ROW()),
INDEX(Sheet4!A:A, ROW()-COUNTA(Sheet1!A:A)))</f>
        <v>Al33.438Cr14.417Fe18.759Co14.536Ni18.85</v>
      </c>
      <c r="B584" s="10">
        <f>_xlfn.XLOOKUP(A584, Sheet4!A:A, Sheet4!C:C)</f>
        <v>0</v>
      </c>
      <c r="C584" s="10">
        <v>-1</v>
      </c>
      <c r="D584" s="10">
        <f>_xlfn.XLOOKUP(A584, Sheet2!A:A, Sheet2!B:B)</f>
        <v>6.5621</v>
      </c>
      <c r="E584" s="10">
        <f>_xlfn.XLOOKUP(A584, Sheet1!A:A, Sheet1!G:G)</f>
        <v>-1</v>
      </c>
      <c r="F584" s="10">
        <f t="shared" si="9"/>
        <v>-1</v>
      </c>
      <c r="G584" cm="1">
        <f t="array" ref="G584:J584">_xlfn.XLOOKUP(A584, Sheet1!A:A, Sheet1!C:F)</f>
        <v>13.6</v>
      </c>
      <c r="H584">
        <v>15.6</v>
      </c>
      <c r="I584">
        <v>20.7</v>
      </c>
      <c r="J584">
        <v>17.5</v>
      </c>
    </row>
    <row r="585" spans="1:10" x14ac:dyDescent="0.3">
      <c r="A585" t="str" cm="1">
        <f t="array" ref="A585">IF(ROW()&lt;=COUNTA(Sheet1!A:A), INDEX(Sheet1!A:A, ROW()),
INDEX(Sheet4!A:A, ROW()-COUNTA(Sheet1!A:A)))</f>
        <v>Al34Cr12Fe15.5Co16.9Ni21.6</v>
      </c>
      <c r="B585" s="10">
        <f>_xlfn.XLOOKUP(A585, Sheet4!A:A, Sheet4!C:C)</f>
        <v>0</v>
      </c>
      <c r="C585" s="10">
        <v>-1</v>
      </c>
      <c r="D585" s="10">
        <f>_xlfn.XLOOKUP(A585, Sheet2!A:A, Sheet2!B:B)</f>
        <v>6.6609999999999996</v>
      </c>
      <c r="E585" s="10">
        <f>_xlfn.XLOOKUP(A585, Sheet1!A:A, Sheet1!G:G)</f>
        <v>-1</v>
      </c>
      <c r="F585" s="10">
        <f t="shared" si="9"/>
        <v>-1</v>
      </c>
      <c r="G585" cm="1">
        <f t="array" ref="G585:J585">_xlfn.XLOOKUP(A585, Sheet1!A:A, Sheet1!C:F)</f>
        <v>13.561</v>
      </c>
      <c r="H585">
        <v>15.59</v>
      </c>
      <c r="I585">
        <v>20.675000000000001</v>
      </c>
      <c r="J585">
        <v>17.498000000000001</v>
      </c>
    </row>
    <row r="586" spans="1:10" x14ac:dyDescent="0.3">
      <c r="A586" t="str" cm="1">
        <f t="array" ref="A586">IF(ROW()&lt;=COUNTA(Sheet1!A:A), INDEX(Sheet1!A:A, ROW()),
INDEX(Sheet4!A:A, ROW()-COUNTA(Sheet1!A:A)))</f>
        <v>Al34.002Cr12.016Fe15.523Co16.898Ni21.562</v>
      </c>
      <c r="B586" s="10">
        <f>_xlfn.XLOOKUP(A586, Sheet4!A:A, Sheet4!C:C)</f>
        <v>0</v>
      </c>
      <c r="C586" s="10">
        <v>-1</v>
      </c>
      <c r="D586" s="10">
        <f>_xlfn.XLOOKUP(A586, Sheet2!A:A, Sheet2!B:B)</f>
        <v>6.6597999999999997</v>
      </c>
      <c r="E586" s="10">
        <f>_xlfn.XLOOKUP(A586, Sheet1!A:A, Sheet1!G:G)</f>
        <v>-1</v>
      </c>
      <c r="F586" s="10">
        <f t="shared" si="9"/>
        <v>-1</v>
      </c>
      <c r="G586" cm="1">
        <f t="array" ref="G586:J586">_xlfn.XLOOKUP(A586, Sheet1!A:A, Sheet1!C:F)</f>
        <v>7</v>
      </c>
      <c r="H586">
        <v>21.8</v>
      </c>
      <c r="I586">
        <v>29.2</v>
      </c>
      <c r="J586">
        <v>9</v>
      </c>
    </row>
    <row r="587" spans="1:10" x14ac:dyDescent="0.3">
      <c r="A587" t="str" cm="1">
        <f t="array" ref="A587">IF(ROW()&lt;=COUNTA(Sheet1!A:A), INDEX(Sheet1!A:A, ROW()),
INDEX(Sheet4!A:A, ROW()-COUNTA(Sheet1!A:A)))</f>
        <v>Al2.08CoCrFeNi</v>
      </c>
      <c r="B587" s="10" t="str">
        <f>_xlfn.XLOOKUP(A587, Sheet4!A:A, Sheet4!C:C)</f>
        <v>BCC</v>
      </c>
      <c r="C587" s="10">
        <v>0</v>
      </c>
      <c r="D587" s="10">
        <f>_xlfn.XLOOKUP(A587, Sheet2!A:A, Sheet2!B:B)</f>
        <v>6.4539</v>
      </c>
      <c r="E587" s="10">
        <f>_xlfn.XLOOKUP(A587, Sheet1!A:A, Sheet1!G:G)</f>
        <v>-1</v>
      </c>
      <c r="F587" s="10">
        <f t="shared" si="9"/>
        <v>0</v>
      </c>
      <c r="G587" cm="1">
        <f t="array" ref="G587:J587">_xlfn.XLOOKUP(A587, Sheet1!A:A, Sheet1!C:F)</f>
        <v>7.0153999999999996</v>
      </c>
      <c r="H587">
        <v>21.844000000000001</v>
      </c>
      <c r="I587">
        <v>29.206</v>
      </c>
      <c r="J587">
        <v>9.0006000000000004</v>
      </c>
    </row>
    <row r="588" spans="1:10" x14ac:dyDescent="0.3">
      <c r="A588" t="str" cm="1">
        <f t="array" ref="A588">IF(ROW()&lt;=COUNTA(Sheet1!A:A), INDEX(Sheet1!A:A, ROW()),
INDEX(Sheet4!A:A, ROW()-COUNTA(Sheet1!A:A)))</f>
        <v>Al2.1CoCrFeNi</v>
      </c>
      <c r="B588" s="10">
        <f>_xlfn.XLOOKUP(A588, Sheet4!A:A, Sheet4!C:C)</f>
        <v>0</v>
      </c>
      <c r="C588" s="10">
        <v>-1</v>
      </c>
      <c r="D588" s="10">
        <f>_xlfn.XLOOKUP(A588, Sheet2!A:A, Sheet2!B:B)</f>
        <v>6.4425999999999997</v>
      </c>
      <c r="E588" s="10">
        <f>_xlfn.XLOOKUP(A588, Sheet1!A:A, Sheet1!G:G)</f>
        <v>-1</v>
      </c>
      <c r="F588" s="10">
        <f t="shared" si="9"/>
        <v>-1</v>
      </c>
      <c r="G588" cm="1">
        <f t="array" ref="G588:J588">_xlfn.XLOOKUP(A588, Sheet1!A:A, Sheet1!C:F)</f>
        <v>16.7</v>
      </c>
      <c r="H588">
        <v>16.7</v>
      </c>
      <c r="I588">
        <v>16.7</v>
      </c>
      <c r="J588">
        <v>16.7</v>
      </c>
    </row>
    <row r="589" spans="1:10" x14ac:dyDescent="0.3">
      <c r="A589" t="str" cm="1">
        <f t="array" ref="A589">IF(ROW()&lt;=COUNTA(Sheet1!A:A), INDEX(Sheet1!A:A, ROW()),
INDEX(Sheet4!A:A, ROW()-COUNTA(Sheet1!A:A)))</f>
        <v>Al34.6Cr13Fe17.1Co15.7Ni19.7</v>
      </c>
      <c r="B589" s="10">
        <f>_xlfn.XLOOKUP(A589, Sheet4!A:A, Sheet4!C:C)</f>
        <v>0</v>
      </c>
      <c r="C589" s="10">
        <v>-1</v>
      </c>
      <c r="D589" s="10">
        <f>_xlfn.XLOOKUP(A589, Sheet2!A:A, Sheet2!B:B)</f>
        <v>6.5624000000000002</v>
      </c>
      <c r="E589" s="10">
        <f>_xlfn.XLOOKUP(A589, Sheet1!A:A, Sheet1!G:G)</f>
        <v>-1</v>
      </c>
      <c r="F589" s="10">
        <f t="shared" si="9"/>
        <v>-1</v>
      </c>
      <c r="G589" cm="1">
        <f t="array" ref="G589:J589">_xlfn.XLOOKUP(A589, Sheet1!A:A, Sheet1!C:F)</f>
        <v>16.7</v>
      </c>
      <c r="H589">
        <v>16.7</v>
      </c>
      <c r="I589">
        <v>16.7</v>
      </c>
      <c r="J589">
        <v>16.7</v>
      </c>
    </row>
    <row r="590" spans="1:10" x14ac:dyDescent="0.3">
      <c r="A590" t="str" cm="1">
        <f t="array" ref="A590">IF(ROW()&lt;=COUNTA(Sheet1!A:A), INDEX(Sheet1!A:A, ROW()),
INDEX(Sheet4!A:A, ROW()-COUNTA(Sheet1!A:A)))</f>
        <v>Al34.571Cr12.968Fe17.11Co15.662Ni19.689</v>
      </c>
      <c r="B590" s="10">
        <f>_xlfn.XLOOKUP(A590, Sheet4!A:A, Sheet4!C:C)</f>
        <v>0</v>
      </c>
      <c r="C590" s="10">
        <v>-1</v>
      </c>
      <c r="D590" s="10">
        <f>_xlfn.XLOOKUP(A590, Sheet2!A:A, Sheet2!B:B)</f>
        <v>6.5625</v>
      </c>
      <c r="E590" s="10">
        <f>_xlfn.XLOOKUP(A590, Sheet1!A:A, Sheet1!G:G)</f>
        <v>-1</v>
      </c>
      <c r="F590" s="10">
        <f t="shared" si="9"/>
        <v>-1</v>
      </c>
      <c r="G590" cm="1">
        <f t="array" ref="G590:J590">_xlfn.XLOOKUP(A590, Sheet1!A:A, Sheet1!C:F)</f>
        <v>16.666666670000001</v>
      </c>
      <c r="H590">
        <v>16.666666670000001</v>
      </c>
      <c r="I590">
        <v>16.666666670000001</v>
      </c>
      <c r="J590">
        <v>16.666666670000001</v>
      </c>
    </row>
    <row r="591" spans="1:10" x14ac:dyDescent="0.3">
      <c r="A591" t="str" cm="1">
        <f t="array" ref="A591">IF(ROW()&lt;=COUNTA(Sheet1!A:A), INDEX(Sheet1!A:A, ROW()),
INDEX(Sheet4!A:A, ROW()-COUNTA(Sheet1!A:A)))</f>
        <v>Al34.6Cr17.6Fe23.3Co10.6Ni13.9</v>
      </c>
      <c r="B591" s="10">
        <f>_xlfn.XLOOKUP(A591, Sheet4!A:A, Sheet4!C:C)</f>
        <v>0</v>
      </c>
      <c r="C591" s="10">
        <v>-1</v>
      </c>
      <c r="D591" s="10">
        <f>_xlfn.XLOOKUP(A591, Sheet2!A:A, Sheet2!B:B)</f>
        <v>6.3019999999999996</v>
      </c>
      <c r="E591" s="10">
        <f>_xlfn.XLOOKUP(A591, Sheet1!A:A, Sheet1!G:G)</f>
        <v>-1</v>
      </c>
      <c r="F591" s="10">
        <f t="shared" si="9"/>
        <v>-1</v>
      </c>
      <c r="G591" cm="1">
        <f t="array" ref="G591:J591">_xlfn.XLOOKUP(A591, Sheet1!A:A, Sheet1!C:F)</f>
        <v>9.8315999999999999</v>
      </c>
      <c r="H591">
        <v>19.123999999999999</v>
      </c>
      <c r="I591">
        <v>25.027999999999999</v>
      </c>
      <c r="J591">
        <v>12.622999999999999</v>
      </c>
    </row>
    <row r="592" spans="1:10" x14ac:dyDescent="0.3">
      <c r="A592" t="str" cm="1">
        <f t="array" ref="A592">IF(ROW()&lt;=COUNTA(Sheet1!A:A), INDEX(Sheet1!A:A, ROW()),
INDEX(Sheet4!A:A, ROW()-COUNTA(Sheet1!A:A)))</f>
        <v>Al34.64Cr17.618Fe23.272Co10.597Ni13.874</v>
      </c>
      <c r="B592" s="10">
        <f>_xlfn.XLOOKUP(A592, Sheet4!A:A, Sheet4!C:C)</f>
        <v>0</v>
      </c>
      <c r="C592" s="10">
        <v>-1</v>
      </c>
      <c r="D592" s="10">
        <f>_xlfn.XLOOKUP(A592, Sheet2!A:A, Sheet2!B:B)</f>
        <v>6.2991000000000001</v>
      </c>
      <c r="E592" s="10">
        <f>_xlfn.XLOOKUP(A592, Sheet1!A:A, Sheet1!G:G)</f>
        <v>-1</v>
      </c>
      <c r="F592" s="10">
        <f t="shared" si="9"/>
        <v>-1</v>
      </c>
      <c r="G592" cm="1">
        <f t="array" ref="G592:J592">_xlfn.XLOOKUP(A592, Sheet1!A:A, Sheet1!C:F)</f>
        <v>14.5</v>
      </c>
      <c r="H592">
        <v>14.4</v>
      </c>
      <c r="I592">
        <v>18.8</v>
      </c>
      <c r="J592">
        <v>18.899999999999999</v>
      </c>
    </row>
    <row r="593" spans="1:10" x14ac:dyDescent="0.3">
      <c r="A593" t="str" cm="1">
        <f t="array" ref="A593">IF(ROW()&lt;=COUNTA(Sheet1!A:A), INDEX(Sheet1!A:A, ROW()),
INDEX(Sheet4!A:A, ROW()-COUNTA(Sheet1!A:A)))</f>
        <v>Al34.7Cr20.8Fe27.2Co7.6Ni9.8</v>
      </c>
      <c r="B593" s="10">
        <f>_xlfn.XLOOKUP(A593, Sheet4!A:A, Sheet4!C:C)</f>
        <v>0</v>
      </c>
      <c r="C593" s="10">
        <v>-1</v>
      </c>
      <c r="D593" s="10">
        <f>_xlfn.XLOOKUP(A593, Sheet2!A:A, Sheet2!B:B)</f>
        <v>6.1228999999999996</v>
      </c>
      <c r="E593" s="10">
        <f>_xlfn.XLOOKUP(A593, Sheet1!A:A, Sheet1!G:G)</f>
        <v>-1</v>
      </c>
      <c r="F593" s="10">
        <f t="shared" si="9"/>
        <v>-1</v>
      </c>
      <c r="G593" cm="1">
        <f t="array" ref="G593:J593">_xlfn.XLOOKUP(A593, Sheet1!A:A, Sheet1!C:F)</f>
        <v>9.8000000000000007</v>
      </c>
      <c r="H593">
        <v>19.100000000000001</v>
      </c>
      <c r="I593">
        <v>25</v>
      </c>
      <c r="J593">
        <v>12.6</v>
      </c>
    </row>
    <row r="594" spans="1:10" x14ac:dyDescent="0.3">
      <c r="A594" t="str" cm="1">
        <f t="array" ref="A594">IF(ROW()&lt;=COUNTA(Sheet1!A:A), INDEX(Sheet1!A:A, ROW()),
INDEX(Sheet4!A:A, ROW()-COUNTA(Sheet1!A:A)))</f>
        <v>Al34.677Cr20.781Fe27.178Co7.5601Ni9.8042</v>
      </c>
      <c r="B594" s="10">
        <f>_xlfn.XLOOKUP(A594, Sheet4!A:A, Sheet4!C:C)</f>
        <v>0</v>
      </c>
      <c r="C594" s="10">
        <v>-1</v>
      </c>
      <c r="D594" s="10">
        <f>_xlfn.XLOOKUP(A594, Sheet2!A:A, Sheet2!B:B)</f>
        <v>6.1222000000000003</v>
      </c>
      <c r="E594" s="10">
        <f>_xlfn.XLOOKUP(A594, Sheet1!A:A, Sheet1!G:G)</f>
        <v>-1</v>
      </c>
      <c r="F594" s="10">
        <f t="shared" si="9"/>
        <v>-1</v>
      </c>
      <c r="G594" cm="1">
        <f t="array" ref="G594:J594">_xlfn.XLOOKUP(A594, Sheet1!A:A, Sheet1!C:F)</f>
        <v>14.536</v>
      </c>
      <c r="H594">
        <v>14.417</v>
      </c>
      <c r="I594">
        <v>18.759</v>
      </c>
      <c r="J594">
        <v>18.850000000000001</v>
      </c>
    </row>
    <row r="595" spans="1:10" x14ac:dyDescent="0.3">
      <c r="A595" t="str" cm="1">
        <f t="array" ref="A595">IF(ROW()&lt;=COUNTA(Sheet1!A:A), INDEX(Sheet1!A:A, ROW()),
INDEX(Sheet4!A:A, ROW()-COUNTA(Sheet1!A:A)))</f>
        <v>Al35.2Cr22Fe29.2Co6Ni7.7</v>
      </c>
      <c r="B595" s="10">
        <f>_xlfn.XLOOKUP(A595, Sheet4!A:A, Sheet4!C:C)</f>
        <v>0</v>
      </c>
      <c r="C595" s="10">
        <v>-1</v>
      </c>
      <c r="D595" s="10">
        <f>_xlfn.XLOOKUP(A595, Sheet2!A:A, Sheet2!B:B)</f>
        <v>6.016</v>
      </c>
      <c r="E595" s="10">
        <f>_xlfn.XLOOKUP(A595, Sheet1!A:A, Sheet1!G:G)</f>
        <v>-1</v>
      </c>
      <c r="F595" s="10">
        <f t="shared" si="9"/>
        <v>-1</v>
      </c>
      <c r="G595" cm="1">
        <f t="array" ref="G595:J595">_xlfn.XLOOKUP(A595, Sheet1!A:A, Sheet1!C:F)</f>
        <v>16.899999999999999</v>
      </c>
      <c r="H595">
        <v>12</v>
      </c>
      <c r="I595">
        <v>15.5</v>
      </c>
      <c r="J595">
        <v>21.6</v>
      </c>
    </row>
    <row r="596" spans="1:10" x14ac:dyDescent="0.3">
      <c r="A596" t="str" cm="1">
        <f t="array" ref="A596">IF(ROW()&lt;=COUNTA(Sheet1!A:A), INDEX(Sheet1!A:A, ROW()),
INDEX(Sheet4!A:A, ROW()-COUNTA(Sheet1!A:A)))</f>
        <v>Al35.202Cr21.959Fe29.154Co5.9951Ni7.6893</v>
      </c>
      <c r="B596" s="10">
        <f>_xlfn.XLOOKUP(A596, Sheet4!A:A, Sheet4!C:C)</f>
        <v>0</v>
      </c>
      <c r="C596" s="10">
        <v>-1</v>
      </c>
      <c r="D596" s="10">
        <f>_xlfn.XLOOKUP(A596, Sheet2!A:A, Sheet2!B:B)</f>
        <v>6.0144000000000002</v>
      </c>
      <c r="E596" s="10">
        <f>_xlfn.XLOOKUP(A596, Sheet1!A:A, Sheet1!G:G)</f>
        <v>-1</v>
      </c>
      <c r="F596" s="10">
        <f t="shared" si="9"/>
        <v>-1</v>
      </c>
      <c r="G596" cm="1">
        <f t="array" ref="G596:J596">_xlfn.XLOOKUP(A596, Sheet1!A:A, Sheet1!C:F)</f>
        <v>16.898</v>
      </c>
      <c r="H596">
        <v>12.016</v>
      </c>
      <c r="I596">
        <v>15.523</v>
      </c>
      <c r="J596">
        <v>21.562000000000001</v>
      </c>
    </row>
    <row r="597" spans="1:10" x14ac:dyDescent="0.3">
      <c r="A597" t="str" cm="1">
        <f t="array" ref="A597">IF(ROW()&lt;=COUNTA(Sheet1!A:A), INDEX(Sheet1!A:A, ROW()),
INDEX(Sheet4!A:A, ROW()-COUNTA(Sheet1!A:A)))</f>
        <v>Al2.2CoCrFeNi</v>
      </c>
      <c r="B597" s="10">
        <f>_xlfn.XLOOKUP(A597, Sheet4!A:A, Sheet4!C:C)</f>
        <v>0</v>
      </c>
      <c r="C597" s="10">
        <v>-1</v>
      </c>
      <c r="D597" s="10">
        <f>_xlfn.XLOOKUP(A597, Sheet2!A:A, Sheet2!B:B)</f>
        <v>6.3871000000000002</v>
      </c>
      <c r="E597" s="10">
        <f>_xlfn.XLOOKUP(A597, Sheet1!A:A, Sheet1!G:G)</f>
        <v>-1</v>
      </c>
      <c r="F597" s="10">
        <f t="shared" si="9"/>
        <v>-1</v>
      </c>
      <c r="G597" cm="1">
        <f t="array" ref="G597:J597">_xlfn.XLOOKUP(A597, Sheet1!A:A, Sheet1!C:F)</f>
        <v>16.44736842</v>
      </c>
      <c r="H597">
        <v>16.44736842</v>
      </c>
      <c r="I597">
        <v>16.44736842</v>
      </c>
      <c r="J597">
        <v>16.44736842</v>
      </c>
    </row>
    <row r="598" spans="1:10" x14ac:dyDescent="0.3">
      <c r="A598" t="str" cm="1">
        <f t="array" ref="A598">IF(ROW()&lt;=COUNTA(Sheet1!A:A), INDEX(Sheet1!A:A, ROW()),
INDEX(Sheet4!A:A, ROW()-COUNTA(Sheet1!A:A)))</f>
        <v>Al35.554Cr16.308Fe21.464Co11.7Ni14.974</v>
      </c>
      <c r="B598" s="10">
        <f>_xlfn.XLOOKUP(A598, Sheet4!A:A, Sheet4!C:C)</f>
        <v>0</v>
      </c>
      <c r="C598" s="10">
        <v>-1</v>
      </c>
      <c r="D598" s="10">
        <f>_xlfn.XLOOKUP(A598, Sheet2!A:A, Sheet2!B:B)</f>
        <v>6.3125999999999998</v>
      </c>
      <c r="E598" s="10">
        <f>_xlfn.XLOOKUP(A598, Sheet1!A:A, Sheet1!G:G)</f>
        <v>-1</v>
      </c>
      <c r="F598" s="10">
        <f t="shared" si="9"/>
        <v>-1</v>
      </c>
      <c r="G598" cm="1">
        <f t="array" ref="G598:J598">_xlfn.XLOOKUP(A598, Sheet1!A:A, Sheet1!C:F)</f>
        <v>16.393442619999998</v>
      </c>
      <c r="H598">
        <v>16.393442619999998</v>
      </c>
      <c r="I598">
        <v>16.393442619999998</v>
      </c>
      <c r="J598">
        <v>16.393442619999998</v>
      </c>
    </row>
    <row r="599" spans="1:10" x14ac:dyDescent="0.3">
      <c r="A599" t="str" cm="1">
        <f t="array" ref="A599">IF(ROW()&lt;=COUNTA(Sheet1!A:A), INDEX(Sheet1!A:A, ROW()),
INDEX(Sheet4!A:A, ROW()-COUNTA(Sheet1!A:A)))</f>
        <v>Al35.6Cr16.3Fe21.5Co11.7Ni15</v>
      </c>
      <c r="B599" s="10">
        <f>_xlfn.XLOOKUP(A599, Sheet4!A:A, Sheet4!C:C)</f>
        <v>0</v>
      </c>
      <c r="C599" s="10">
        <v>-1</v>
      </c>
      <c r="D599" s="10">
        <f>_xlfn.XLOOKUP(A599, Sheet2!A:A, Sheet2!B:B)</f>
        <v>6.3127000000000004</v>
      </c>
      <c r="E599" s="10">
        <f>_xlfn.XLOOKUP(A599, Sheet1!A:A, Sheet1!G:G)</f>
        <v>-1</v>
      </c>
      <c r="F599" s="10">
        <f t="shared" si="9"/>
        <v>-1</v>
      </c>
      <c r="G599" cm="1">
        <f t="array" ref="G599:J599">_xlfn.XLOOKUP(A599, Sheet1!A:A, Sheet1!C:F)</f>
        <v>15.7</v>
      </c>
      <c r="H599">
        <v>13</v>
      </c>
      <c r="I599">
        <v>17.100000000000001</v>
      </c>
      <c r="J599">
        <v>19.7</v>
      </c>
    </row>
    <row r="600" spans="1:10" x14ac:dyDescent="0.3">
      <c r="A600" t="str" cm="1">
        <f t="array" ref="A600">IF(ROW()&lt;=COUNTA(Sheet1!A:A), INDEX(Sheet1!A:A, ROW()),
INDEX(Sheet4!A:A, ROW()-COUNTA(Sheet1!A:A)))</f>
        <v>Al36.3Cr15Fe19.7Co12.6Ni16.4</v>
      </c>
      <c r="B600" s="10">
        <f>_xlfn.XLOOKUP(A600, Sheet4!A:A, Sheet4!C:C)</f>
        <v>0</v>
      </c>
      <c r="C600" s="10">
        <v>-1</v>
      </c>
      <c r="D600" s="10">
        <f>_xlfn.XLOOKUP(A600, Sheet2!A:A, Sheet2!B:B)</f>
        <v>6.3390000000000004</v>
      </c>
      <c r="E600" s="10">
        <f>_xlfn.XLOOKUP(A600, Sheet1!A:A, Sheet1!G:G)</f>
        <v>-1</v>
      </c>
      <c r="F600" s="10">
        <f t="shared" si="9"/>
        <v>-1</v>
      </c>
      <c r="G600" cm="1">
        <f t="array" ref="G600:J600">_xlfn.XLOOKUP(A600, Sheet1!A:A, Sheet1!C:F)</f>
        <v>15.662000000000001</v>
      </c>
      <c r="H600">
        <v>12.968</v>
      </c>
      <c r="I600">
        <v>17.11</v>
      </c>
      <c r="J600">
        <v>19.689</v>
      </c>
    </row>
    <row r="601" spans="1:10" x14ac:dyDescent="0.3">
      <c r="A601" t="str" cm="1">
        <f t="array" ref="A601">IF(ROW()&lt;=COUNTA(Sheet1!A:A), INDEX(Sheet1!A:A, ROW()),
INDEX(Sheet4!A:A, ROW()-COUNTA(Sheet1!A:A)))</f>
        <v>Al36.335Cr15.001Fe19.681Co12.591Ni16.392</v>
      </c>
      <c r="B601" s="10">
        <f>_xlfn.XLOOKUP(A601, Sheet4!A:A, Sheet4!C:C)</f>
        <v>0</v>
      </c>
      <c r="C601" s="10">
        <v>-1</v>
      </c>
      <c r="D601" s="10">
        <f>_xlfn.XLOOKUP(A601, Sheet2!A:A, Sheet2!B:B)</f>
        <v>6.3369999999999997</v>
      </c>
      <c r="E601" s="10">
        <f>_xlfn.XLOOKUP(A601, Sheet1!A:A, Sheet1!G:G)</f>
        <v>-1</v>
      </c>
      <c r="F601" s="10">
        <f t="shared" si="9"/>
        <v>-1</v>
      </c>
      <c r="G601" cm="1">
        <f t="array" ref="G601:J601">_xlfn.XLOOKUP(A601, Sheet1!A:A, Sheet1!C:F)</f>
        <v>10.6</v>
      </c>
      <c r="H601">
        <v>17.600000000000001</v>
      </c>
      <c r="I601">
        <v>23.3</v>
      </c>
      <c r="J601">
        <v>13.9</v>
      </c>
    </row>
    <row r="602" spans="1:10" x14ac:dyDescent="0.3">
      <c r="A602" t="str" cm="1">
        <f t="array" ref="A602">IF(ROW()&lt;=COUNTA(Sheet1!A:A), INDEX(Sheet1!A:A, ROW()),
INDEX(Sheet4!A:A, ROW()-COUNTA(Sheet1!A:A)))</f>
        <v>Al36.5Cr18.9Fe25.6Co8.3Ni10.7</v>
      </c>
      <c r="B602" s="10">
        <f>_xlfn.XLOOKUP(A602, Sheet4!A:A, Sheet4!C:C)</f>
        <v>0</v>
      </c>
      <c r="C602" s="10">
        <v>-1</v>
      </c>
      <c r="D602" s="10">
        <f>_xlfn.XLOOKUP(A602, Sheet2!A:A, Sheet2!B:B)</f>
        <v>6.0940000000000003</v>
      </c>
      <c r="E602" s="10">
        <f>_xlfn.XLOOKUP(A602, Sheet1!A:A, Sheet1!G:G)</f>
        <v>-1</v>
      </c>
      <c r="F602" s="10">
        <f t="shared" si="9"/>
        <v>-1</v>
      </c>
      <c r="G602" cm="1">
        <f t="array" ref="G602:J602">_xlfn.XLOOKUP(A602, Sheet1!A:A, Sheet1!C:F)</f>
        <v>10.597</v>
      </c>
      <c r="H602">
        <v>17.617999999999999</v>
      </c>
      <c r="I602">
        <v>23.271999999999998</v>
      </c>
      <c r="J602">
        <v>13.874000000000001</v>
      </c>
    </row>
    <row r="603" spans="1:10" x14ac:dyDescent="0.3">
      <c r="A603" t="str" cm="1">
        <f t="array" ref="A603">IF(ROW()&lt;=COUNTA(Sheet1!A:A), INDEX(Sheet1!A:A, ROW()),
INDEX(Sheet4!A:A, ROW()-COUNTA(Sheet1!A:A)))</f>
        <v>Al2.3CoCrFeNi</v>
      </c>
      <c r="B603" s="10">
        <f>_xlfn.XLOOKUP(A603, Sheet4!A:A, Sheet4!C:C)</f>
        <v>0</v>
      </c>
      <c r="C603" s="10">
        <v>-1</v>
      </c>
      <c r="D603" s="10">
        <f>_xlfn.XLOOKUP(A603, Sheet2!A:A, Sheet2!B:B)</f>
        <v>6.3333000000000004</v>
      </c>
      <c r="E603" s="10">
        <f>_xlfn.XLOOKUP(A603, Sheet1!A:A, Sheet1!G:G)</f>
        <v>-1</v>
      </c>
      <c r="F603" s="10">
        <f t="shared" si="9"/>
        <v>-1</v>
      </c>
      <c r="G603" cm="1">
        <f t="array" ref="G603:J603">_xlfn.XLOOKUP(A603, Sheet1!A:A, Sheet1!C:F)</f>
        <v>7.6</v>
      </c>
      <c r="H603">
        <v>20.8</v>
      </c>
      <c r="I603">
        <v>27.2</v>
      </c>
      <c r="J603">
        <v>9.8000000000000007</v>
      </c>
    </row>
    <row r="604" spans="1:10" x14ac:dyDescent="0.3">
      <c r="A604" t="str" cm="1">
        <f t="array" ref="A604">IF(ROW()&lt;=COUNTA(Sheet1!A:A), INDEX(Sheet1!A:A, ROW()),
INDEX(Sheet4!A:A, ROW()-COUNTA(Sheet1!A:A)))</f>
        <v>Al36.536Cr18.88Fe25.6Co8.2715Ni10.713</v>
      </c>
      <c r="B604" s="10">
        <f>_xlfn.XLOOKUP(A604, Sheet4!A:A, Sheet4!C:C)</f>
        <v>0</v>
      </c>
      <c r="C604" s="10">
        <v>-1</v>
      </c>
      <c r="D604" s="10">
        <f>_xlfn.XLOOKUP(A604, Sheet2!A:A, Sheet2!B:B)</f>
        <v>6.0926</v>
      </c>
      <c r="E604" s="10">
        <f>_xlfn.XLOOKUP(A604, Sheet1!A:A, Sheet1!G:G)</f>
        <v>-1</v>
      </c>
      <c r="F604" s="10">
        <f t="shared" si="9"/>
        <v>-1</v>
      </c>
      <c r="G604" cm="1">
        <f t="array" ref="G604:J604">_xlfn.XLOOKUP(A604, Sheet1!A:A, Sheet1!C:F)</f>
        <v>7.5601000000000003</v>
      </c>
      <c r="H604">
        <v>20.780999999999999</v>
      </c>
      <c r="I604">
        <v>27.178000000000001</v>
      </c>
      <c r="J604">
        <v>9.8041999999999998</v>
      </c>
    </row>
    <row r="605" spans="1:10" x14ac:dyDescent="0.3">
      <c r="A605" t="str" cm="1">
        <f t="array" ref="A605">IF(ROW()&lt;=COUNTA(Sheet1!A:A), INDEX(Sheet1!A:A, ROW()),
INDEX(Sheet4!A:A, ROW()-COUNTA(Sheet1!A:A)))</f>
        <v>Al2.4CoCrFeNi</v>
      </c>
      <c r="B605" s="10">
        <f>_xlfn.XLOOKUP(A605, Sheet4!A:A, Sheet4!C:C)</f>
        <v>0</v>
      </c>
      <c r="C605" s="10">
        <v>-1</v>
      </c>
      <c r="D605" s="10">
        <f>_xlfn.XLOOKUP(A605, Sheet2!A:A, Sheet2!B:B)</f>
        <v>6.2812000000000001</v>
      </c>
      <c r="E605" s="10">
        <f>_xlfn.XLOOKUP(A605, Sheet1!A:A, Sheet1!G:G)</f>
        <v>-1</v>
      </c>
      <c r="F605" s="10">
        <f t="shared" si="9"/>
        <v>-1</v>
      </c>
      <c r="G605" cm="1">
        <f t="array" ref="G605:J605">_xlfn.XLOOKUP(A605, Sheet1!A:A, Sheet1!C:F)</f>
        <v>6</v>
      </c>
      <c r="H605">
        <v>22</v>
      </c>
      <c r="I605">
        <v>29.2</v>
      </c>
      <c r="J605">
        <v>7.7</v>
      </c>
    </row>
    <row r="606" spans="1:10" x14ac:dyDescent="0.3">
      <c r="A606" t="str" cm="1">
        <f t="array" ref="A606">IF(ROW()&lt;=COUNTA(Sheet1!A:A), INDEX(Sheet1!A:A, ROW()),
INDEX(Sheet4!A:A, ROW()-COUNTA(Sheet1!A:A)))</f>
        <v>Al37.6Cr20.3Fe27.2Co6.5Ni8.4</v>
      </c>
      <c r="B606" s="10">
        <f>_xlfn.XLOOKUP(A606, Sheet4!A:A, Sheet4!C:C)</f>
        <v>0</v>
      </c>
      <c r="C606" s="10">
        <v>-1</v>
      </c>
      <c r="D606" s="10">
        <f>_xlfn.XLOOKUP(A606, Sheet2!A:A, Sheet2!B:B)</f>
        <v>5.9470000000000001</v>
      </c>
      <c r="E606" s="10">
        <f>_xlfn.XLOOKUP(A606, Sheet1!A:A, Sheet1!G:G)</f>
        <v>-1</v>
      </c>
      <c r="F606" s="10">
        <f t="shared" si="9"/>
        <v>-1</v>
      </c>
      <c r="G606" cm="1">
        <f t="array" ref="G606:J606">_xlfn.XLOOKUP(A606, Sheet1!A:A, Sheet1!C:F)</f>
        <v>5.9950999999999999</v>
      </c>
      <c r="H606">
        <v>21.959</v>
      </c>
      <c r="I606">
        <v>29.154</v>
      </c>
      <c r="J606">
        <v>7.6893000000000002</v>
      </c>
    </row>
    <row r="607" spans="1:10" x14ac:dyDescent="0.3">
      <c r="A607" t="str" cm="1">
        <f t="array" ref="A607">IF(ROW()&lt;=COUNTA(Sheet1!A:A), INDEX(Sheet1!A:A, ROW()),
INDEX(Sheet4!A:A, ROW()-COUNTA(Sheet1!A:A)))</f>
        <v>Al37.625Cr20.34Fe27.197Co6.4656Ni8.3725</v>
      </c>
      <c r="B607" s="10">
        <f>_xlfn.XLOOKUP(A607, Sheet4!A:A, Sheet4!C:C)</f>
        <v>0</v>
      </c>
      <c r="C607" s="10">
        <v>-1</v>
      </c>
      <c r="D607" s="10">
        <f>_xlfn.XLOOKUP(A607, Sheet2!A:A, Sheet2!B:B)</f>
        <v>5.9440999999999997</v>
      </c>
      <c r="E607" s="10">
        <f>_xlfn.XLOOKUP(A607, Sheet1!A:A, Sheet1!G:G)</f>
        <v>-1</v>
      </c>
      <c r="F607" s="10">
        <f t="shared" si="9"/>
        <v>-1</v>
      </c>
      <c r="G607" cm="1">
        <f t="array" ref="G607:J607">_xlfn.XLOOKUP(A607, Sheet1!A:A, Sheet1!C:F)</f>
        <v>16.129032259999999</v>
      </c>
      <c r="H607">
        <v>16.129032259999999</v>
      </c>
      <c r="I607">
        <v>16.129032259999999</v>
      </c>
      <c r="J607">
        <v>16.129032259999999</v>
      </c>
    </row>
    <row r="608" spans="1:10" x14ac:dyDescent="0.3">
      <c r="A608" t="str" cm="1">
        <f t="array" ref="A608">IF(ROW()&lt;=COUNTA(Sheet1!A:A), INDEX(Sheet1!A:A, ROW()),
INDEX(Sheet4!A:A, ROW()-COUNTA(Sheet1!A:A)))</f>
        <v>Al37.76Cr13.572Fe17.807Co13.486Ni17.374</v>
      </c>
      <c r="B608" s="10">
        <f>_xlfn.XLOOKUP(A608, Sheet4!A:A, Sheet4!C:C)</f>
        <v>0</v>
      </c>
      <c r="C608" s="10">
        <v>-1</v>
      </c>
      <c r="D608" s="10">
        <f>_xlfn.XLOOKUP(A608, Sheet2!A:A, Sheet2!B:B)</f>
        <v>6.3228999999999997</v>
      </c>
      <c r="E608" s="10">
        <f>_xlfn.XLOOKUP(A608, Sheet1!A:A, Sheet1!G:G)</f>
        <v>-1</v>
      </c>
      <c r="F608" s="10">
        <f t="shared" si="9"/>
        <v>-1</v>
      </c>
      <c r="G608" cm="1">
        <f t="array" ref="G608:J608">_xlfn.XLOOKUP(A608, Sheet1!A:A, Sheet1!C:F)</f>
        <v>11.7</v>
      </c>
      <c r="H608">
        <v>16.308</v>
      </c>
      <c r="I608">
        <v>21.463999999999999</v>
      </c>
      <c r="J608">
        <v>14.974</v>
      </c>
    </row>
    <row r="609" spans="1:10" x14ac:dyDescent="0.3">
      <c r="A609" t="str" cm="1">
        <f t="array" ref="A609">IF(ROW()&lt;=COUNTA(Sheet1!A:A), INDEX(Sheet1!A:A, ROW()),
INDEX(Sheet4!A:A, ROW()-COUNTA(Sheet1!A:A)))</f>
        <v>Al37.8Cr13.6Fe17.8Co13.5Ni17.4</v>
      </c>
      <c r="B609" s="10">
        <f>_xlfn.XLOOKUP(A609, Sheet4!A:A, Sheet4!C:C)</f>
        <v>0</v>
      </c>
      <c r="C609" s="10">
        <v>-1</v>
      </c>
      <c r="D609" s="10">
        <f>_xlfn.XLOOKUP(A609, Sheet2!A:A, Sheet2!B:B)</f>
        <v>6.3227000000000002</v>
      </c>
      <c r="E609" s="10">
        <f>_xlfn.XLOOKUP(A609, Sheet1!A:A, Sheet1!G:G)</f>
        <v>-1</v>
      </c>
      <c r="F609" s="10">
        <f t="shared" si="9"/>
        <v>-1</v>
      </c>
      <c r="G609" cm="1">
        <f t="array" ref="G609:J609">_xlfn.XLOOKUP(A609, Sheet1!A:A, Sheet1!C:F)</f>
        <v>11.7</v>
      </c>
      <c r="H609">
        <v>16.3</v>
      </c>
      <c r="I609">
        <v>21.5</v>
      </c>
      <c r="J609">
        <v>15</v>
      </c>
    </row>
    <row r="610" spans="1:10" x14ac:dyDescent="0.3">
      <c r="A610" t="str" cm="1">
        <f t="array" ref="A610">IF(ROW()&lt;=COUNTA(Sheet1!A:A), INDEX(Sheet1!A:A, ROW()),
INDEX(Sheet4!A:A, ROW()-COUNTA(Sheet1!A:A)))</f>
        <v>Al38.386Cr11.51Fe14.824Co15.499Ni19.781</v>
      </c>
      <c r="B610" s="10">
        <f>_xlfn.XLOOKUP(A610, Sheet4!A:A, Sheet4!C:C)</f>
        <v>0</v>
      </c>
      <c r="C610" s="10">
        <v>-1</v>
      </c>
      <c r="D610" s="10">
        <f>_xlfn.XLOOKUP(A610, Sheet2!A:A, Sheet2!B:B)</f>
        <v>6.4010999999999996</v>
      </c>
      <c r="E610" s="10">
        <f>_xlfn.XLOOKUP(A610, Sheet1!A:A, Sheet1!G:G)</f>
        <v>-1</v>
      </c>
      <c r="F610" s="10">
        <f t="shared" si="9"/>
        <v>-1</v>
      </c>
      <c r="G610" cm="1">
        <f t="array" ref="G610:J610">_xlfn.XLOOKUP(A610, Sheet1!A:A, Sheet1!C:F)</f>
        <v>12.6</v>
      </c>
      <c r="H610">
        <v>15</v>
      </c>
      <c r="I610">
        <v>19.7</v>
      </c>
      <c r="J610">
        <v>16.399999999999999</v>
      </c>
    </row>
    <row r="611" spans="1:10" x14ac:dyDescent="0.3">
      <c r="A611" t="str" cm="1">
        <f t="array" ref="A611">IF(ROW()&lt;=COUNTA(Sheet1!A:A), INDEX(Sheet1!A:A, ROW()),
INDEX(Sheet4!A:A, ROW()-COUNTA(Sheet1!A:A)))</f>
        <v>Al38.4Cr11.5Fe14.8Co15.5Ni19.8</v>
      </c>
      <c r="B611" s="10">
        <f>_xlfn.XLOOKUP(A611, Sheet4!A:A, Sheet4!C:C)</f>
        <v>0</v>
      </c>
      <c r="C611" s="10">
        <v>-1</v>
      </c>
      <c r="D611" s="10">
        <f>_xlfn.XLOOKUP(A611, Sheet2!A:A, Sheet2!B:B)</f>
        <v>6.4009999999999998</v>
      </c>
      <c r="E611" s="10">
        <f>_xlfn.XLOOKUP(A611, Sheet1!A:A, Sheet1!G:G)</f>
        <v>-1</v>
      </c>
      <c r="F611" s="10">
        <f t="shared" si="9"/>
        <v>-1</v>
      </c>
      <c r="G611" cm="1">
        <f t="array" ref="G611:J611">_xlfn.XLOOKUP(A611, Sheet1!A:A, Sheet1!C:F)</f>
        <v>12.590999999999999</v>
      </c>
      <c r="H611">
        <v>15.000999999999999</v>
      </c>
      <c r="I611">
        <v>19.681000000000001</v>
      </c>
      <c r="J611">
        <v>16.391999999999999</v>
      </c>
    </row>
    <row r="612" spans="1:10" x14ac:dyDescent="0.3">
      <c r="A612" t="str" cm="1">
        <f t="array" ref="A612">IF(ROW()&lt;=COUNTA(Sheet1!A:A), INDEX(Sheet1!A:A, ROW()),
INDEX(Sheet4!A:A, ROW()-COUNTA(Sheet1!A:A)))</f>
        <v>Al38.452Cr17.672Fe23.461Co8.9051Ni11.51</v>
      </c>
      <c r="B612" s="10">
        <f>_xlfn.XLOOKUP(A612, Sheet4!A:A, Sheet4!C:C)</f>
        <v>0</v>
      </c>
      <c r="C612" s="10">
        <v>-1</v>
      </c>
      <c r="D612" s="10">
        <f>_xlfn.XLOOKUP(A612, Sheet2!A:A, Sheet2!B:B)</f>
        <v>6.0431999999999997</v>
      </c>
      <c r="E612" s="10">
        <f>_xlfn.XLOOKUP(A612, Sheet1!A:A, Sheet1!G:G)</f>
        <v>-1</v>
      </c>
      <c r="F612" s="10">
        <f t="shared" si="9"/>
        <v>-1</v>
      </c>
      <c r="G612" cm="1">
        <f t="array" ref="G612:J612">_xlfn.XLOOKUP(A612, Sheet1!A:A, Sheet1!C:F)</f>
        <v>8.3000000000000007</v>
      </c>
      <c r="H612">
        <v>18.899999999999999</v>
      </c>
      <c r="I612">
        <v>25.6</v>
      </c>
      <c r="J612">
        <v>10.7</v>
      </c>
    </row>
    <row r="613" spans="1:10" x14ac:dyDescent="0.3">
      <c r="A613" t="str" cm="1">
        <f t="array" ref="A613">IF(ROW()&lt;=COUNTA(Sheet1!A:A), INDEX(Sheet1!A:A, ROW()),
INDEX(Sheet4!A:A, ROW()-COUNTA(Sheet1!A:A)))</f>
        <v>Al38.5Cr17.7Fe23.5Co8.9Ni11.5</v>
      </c>
      <c r="B613" s="10">
        <f>_xlfn.XLOOKUP(A613, Sheet4!A:A, Sheet4!C:C)</f>
        <v>0</v>
      </c>
      <c r="C613" s="10">
        <v>-1</v>
      </c>
      <c r="D613" s="10">
        <f>_xlfn.XLOOKUP(A613, Sheet2!A:A, Sheet2!B:B)</f>
        <v>6.0419999999999998</v>
      </c>
      <c r="E613" s="10">
        <f>_xlfn.XLOOKUP(A613, Sheet1!A:A, Sheet1!G:G)</f>
        <v>-1</v>
      </c>
      <c r="F613" s="10">
        <f t="shared" si="9"/>
        <v>-1</v>
      </c>
      <c r="G613" cm="1">
        <f t="array" ref="G613:J613">_xlfn.XLOOKUP(A613, Sheet1!A:A, Sheet1!C:F)</f>
        <v>15.87301587</v>
      </c>
      <c r="H613">
        <v>15.87301587</v>
      </c>
      <c r="I613">
        <v>15.87301587</v>
      </c>
      <c r="J613">
        <v>15.87301587</v>
      </c>
    </row>
    <row r="614" spans="1:10" x14ac:dyDescent="0.3">
      <c r="A614" t="str" cm="1">
        <f t="array" ref="A614">IF(ROW()&lt;=COUNTA(Sheet1!A:A), INDEX(Sheet1!A:A, ROW()),
INDEX(Sheet4!A:A, ROW()-COUNTA(Sheet1!A:A)))</f>
        <v>Al2.5CoCrFeNi</v>
      </c>
      <c r="B614" s="10" t="str">
        <f>_xlfn.XLOOKUP(A614, Sheet4!A:A, Sheet4!C:C)</f>
        <v>BCC</v>
      </c>
      <c r="C614" s="10">
        <v>0</v>
      </c>
      <c r="D614" s="10">
        <f>_xlfn.XLOOKUP(A614, Sheet2!A:A, Sheet2!B:B)</f>
        <v>6.2308000000000003</v>
      </c>
      <c r="E614" s="10">
        <f>_xlfn.XLOOKUP(A614, Sheet1!A:A, Sheet1!G:G)</f>
        <v>-1</v>
      </c>
      <c r="F614" s="10">
        <f t="shared" si="9"/>
        <v>0</v>
      </c>
      <c r="G614" cm="1">
        <f t="array" ref="G614:J614">_xlfn.XLOOKUP(A614, Sheet1!A:A, Sheet1!C:F)</f>
        <v>8.2714999999999996</v>
      </c>
      <c r="H614">
        <v>18.88</v>
      </c>
      <c r="I614">
        <v>25.6</v>
      </c>
      <c r="J614">
        <v>10.712999999999999</v>
      </c>
    </row>
    <row r="615" spans="1:10" x14ac:dyDescent="0.3">
      <c r="A615" t="str" cm="1">
        <f t="array" ref="A615">IF(ROW()&lt;=COUNTA(Sheet1!A:A), INDEX(Sheet1!A:A, ROW()),
INDEX(Sheet4!A:A, ROW()-COUNTA(Sheet1!A:A)))</f>
        <v>Al38.8Cr19.3Fe25.5Co7.1Ni9.3</v>
      </c>
      <c r="B615" s="10">
        <f>_xlfn.XLOOKUP(A615, Sheet4!A:A, Sheet4!C:C)</f>
        <v>0</v>
      </c>
      <c r="C615" s="10">
        <v>-1</v>
      </c>
      <c r="D615" s="10">
        <f>_xlfn.XLOOKUP(A615, Sheet2!A:A, Sheet2!B:B)</f>
        <v>5.931</v>
      </c>
      <c r="E615" s="10">
        <f>_xlfn.XLOOKUP(A615, Sheet1!A:A, Sheet1!G:G)</f>
        <v>-1</v>
      </c>
      <c r="F615" s="10">
        <f t="shared" si="9"/>
        <v>-1</v>
      </c>
      <c r="G615" cm="1">
        <f t="array" ref="G615:J615">_xlfn.XLOOKUP(A615, Sheet1!A:A, Sheet1!C:F)</f>
        <v>15.625</v>
      </c>
      <c r="H615">
        <v>15.625</v>
      </c>
      <c r="I615">
        <v>15.625</v>
      </c>
      <c r="J615">
        <v>15.625</v>
      </c>
    </row>
    <row r="616" spans="1:10" x14ac:dyDescent="0.3">
      <c r="A616" t="str" cm="1">
        <f t="array" ref="A616">IF(ROW()&lt;=COUNTA(Sheet1!A:A), INDEX(Sheet1!A:A, ROW()),
INDEX(Sheet4!A:A, ROW()-COUNTA(Sheet1!A:A)))</f>
        <v>Al38.817Cr19.338Fe25.495Co7.0669Ni9.2826</v>
      </c>
      <c r="B616" s="10">
        <f>_xlfn.XLOOKUP(A616, Sheet4!A:A, Sheet4!C:C)</f>
        <v>0</v>
      </c>
      <c r="C616" s="10">
        <v>-1</v>
      </c>
      <c r="D616" s="10">
        <f>_xlfn.XLOOKUP(A616, Sheet2!A:A, Sheet2!B:B)</f>
        <v>5.9287000000000001</v>
      </c>
      <c r="E616" s="10">
        <f>_xlfn.XLOOKUP(A616, Sheet1!A:A, Sheet1!G:G)</f>
        <v>-1</v>
      </c>
      <c r="F616" s="10">
        <f t="shared" si="9"/>
        <v>-1</v>
      </c>
      <c r="G616" cm="1">
        <f t="array" ref="G616:J616">_xlfn.XLOOKUP(A616, Sheet1!A:A, Sheet1!C:F)</f>
        <v>6.5</v>
      </c>
      <c r="H616">
        <v>20.3</v>
      </c>
      <c r="I616">
        <v>27.2</v>
      </c>
      <c r="J616">
        <v>8.4</v>
      </c>
    </row>
    <row r="617" spans="1:10" x14ac:dyDescent="0.3">
      <c r="A617" t="str" cm="1">
        <f t="array" ref="A617">IF(ROW()&lt;=COUNTA(Sheet1!A:A), INDEX(Sheet1!A:A, ROW()),
INDEX(Sheet4!A:A, ROW()-COUNTA(Sheet1!A:A)))</f>
        <v>Al38.894Cr12.522Fe16.16Co14.203Ni18.221</v>
      </c>
      <c r="B617" s="10">
        <f>_xlfn.XLOOKUP(A617, Sheet4!A:A, Sheet4!C:C)</f>
        <v>0</v>
      </c>
      <c r="C617" s="10">
        <v>-1</v>
      </c>
      <c r="D617" s="10">
        <f>_xlfn.XLOOKUP(A617, Sheet2!A:A, Sheet2!B:B)</f>
        <v>6.3113000000000001</v>
      </c>
      <c r="E617" s="10">
        <f>_xlfn.XLOOKUP(A617, Sheet1!A:A, Sheet1!G:G)</f>
        <v>-1</v>
      </c>
      <c r="F617" s="10">
        <f t="shared" si="9"/>
        <v>-1</v>
      </c>
      <c r="G617" cm="1">
        <f t="array" ref="G617:J617">_xlfn.XLOOKUP(A617, Sheet1!A:A, Sheet1!C:F)</f>
        <v>6.4656000000000002</v>
      </c>
      <c r="H617">
        <v>20.34</v>
      </c>
      <c r="I617">
        <v>27.196999999999999</v>
      </c>
      <c r="J617">
        <v>8.3725000000000005</v>
      </c>
    </row>
    <row r="618" spans="1:10" x14ac:dyDescent="0.3">
      <c r="A618" t="str" cm="1">
        <f t="array" ref="A618">IF(ROW()&lt;=COUNTA(Sheet1!A:A), INDEX(Sheet1!A:A, ROW()),
INDEX(Sheet4!A:A, ROW()-COUNTA(Sheet1!A:A)))</f>
        <v>Al38.9Cr12.5Fe16.2Co14.2Ni18.2</v>
      </c>
      <c r="B618" s="10">
        <f>_xlfn.XLOOKUP(A618, Sheet4!A:A, Sheet4!C:C)</f>
        <v>0</v>
      </c>
      <c r="C618" s="10">
        <v>-1</v>
      </c>
      <c r="D618" s="10">
        <f>_xlfn.XLOOKUP(A618, Sheet2!A:A, Sheet2!B:B)</f>
        <v>6.3109999999999999</v>
      </c>
      <c r="E618" s="10">
        <f>_xlfn.XLOOKUP(A618, Sheet1!A:A, Sheet1!G:G)</f>
        <v>-1</v>
      </c>
      <c r="F618" s="10">
        <f t="shared" si="9"/>
        <v>-1</v>
      </c>
      <c r="G618" cm="1">
        <f t="array" ref="G618:J618">_xlfn.XLOOKUP(A618, Sheet1!A:A, Sheet1!C:F)</f>
        <v>13.486000000000001</v>
      </c>
      <c r="H618">
        <v>13.571999999999999</v>
      </c>
      <c r="I618">
        <v>17.806999999999999</v>
      </c>
      <c r="J618">
        <v>17.373999999999999</v>
      </c>
    </row>
    <row r="619" spans="1:10" x14ac:dyDescent="0.3">
      <c r="A619" t="str" cm="1">
        <f t="array" ref="A619">IF(ROW()&lt;=COUNTA(Sheet1!A:A), INDEX(Sheet1!A:A, ROW()),
INDEX(Sheet4!A:A, ROW()-COUNTA(Sheet1!A:A)))</f>
        <v>Al39.297Cr16.432Fe21.932Co9.7305Ni12.609</v>
      </c>
      <c r="B619" s="10">
        <f>_xlfn.XLOOKUP(A619, Sheet4!A:A, Sheet4!C:C)</f>
        <v>0</v>
      </c>
      <c r="C619" s="10">
        <v>-1</v>
      </c>
      <c r="D619" s="10">
        <f>_xlfn.XLOOKUP(A619, Sheet2!A:A, Sheet2!B:B)</f>
        <v>6.056</v>
      </c>
      <c r="E619" s="10">
        <f>_xlfn.XLOOKUP(A619, Sheet1!A:A, Sheet1!G:G)</f>
        <v>-1</v>
      </c>
      <c r="F619" s="10">
        <f t="shared" si="9"/>
        <v>-1</v>
      </c>
      <c r="G619" cm="1">
        <f t="array" ref="G619:J619">_xlfn.XLOOKUP(A619, Sheet1!A:A, Sheet1!C:F)</f>
        <v>13.5</v>
      </c>
      <c r="H619">
        <v>13.6</v>
      </c>
      <c r="I619">
        <v>17.8</v>
      </c>
      <c r="J619">
        <v>17.399999999999999</v>
      </c>
    </row>
    <row r="620" spans="1:10" x14ac:dyDescent="0.3">
      <c r="A620" t="str" cm="1">
        <f t="array" ref="A620">IF(ROW()&lt;=COUNTA(Sheet1!A:A), INDEX(Sheet1!A:A, ROW()),
INDEX(Sheet4!A:A, ROW()-COUNTA(Sheet1!A:A)))</f>
        <v>Al39.3Cr16.4Fe21.9Co9.7Ni12.6</v>
      </c>
      <c r="B620" s="10">
        <f>_xlfn.XLOOKUP(A620, Sheet4!A:A, Sheet4!C:C)</f>
        <v>0</v>
      </c>
      <c r="C620" s="10">
        <v>-1</v>
      </c>
      <c r="D620" s="10">
        <f>_xlfn.XLOOKUP(A620, Sheet2!A:A, Sheet2!B:B)</f>
        <v>6.0541</v>
      </c>
      <c r="E620" s="10">
        <f>_xlfn.XLOOKUP(A620, Sheet1!A:A, Sheet1!G:G)</f>
        <v>-1</v>
      </c>
      <c r="F620" s="10">
        <f t="shared" si="9"/>
        <v>-1</v>
      </c>
      <c r="G620" cm="1">
        <f t="array" ref="G620:J620">_xlfn.XLOOKUP(A620, Sheet1!A:A, Sheet1!C:F)</f>
        <v>15.499000000000001</v>
      </c>
      <c r="H620">
        <v>11.51</v>
      </c>
      <c r="I620">
        <v>14.824</v>
      </c>
      <c r="J620">
        <v>19.780999999999999</v>
      </c>
    </row>
    <row r="621" spans="1:10" x14ac:dyDescent="0.3">
      <c r="A621" t="str" cm="1">
        <f t="array" ref="A621">IF(ROW()&lt;=COUNTA(Sheet1!A:A), INDEX(Sheet1!A:A, ROW()),
INDEX(Sheet4!A:A, ROW()-COUNTA(Sheet1!A:A)))</f>
        <v>Al2.6CoCrFeNi</v>
      </c>
      <c r="B621" s="10">
        <f>_xlfn.XLOOKUP(A621, Sheet4!A:A, Sheet4!C:C)</f>
        <v>0</v>
      </c>
      <c r="C621" s="10">
        <v>-1</v>
      </c>
      <c r="D621" s="10">
        <f>_xlfn.XLOOKUP(A621, Sheet2!A:A, Sheet2!B:B)</f>
        <v>6.1818</v>
      </c>
      <c r="E621" s="10">
        <f>_xlfn.XLOOKUP(A621, Sheet1!A:A, Sheet1!G:G)</f>
        <v>-1</v>
      </c>
      <c r="F621" s="10">
        <f t="shared" si="9"/>
        <v>-1</v>
      </c>
      <c r="G621" cm="1">
        <f t="array" ref="G621:J621">_xlfn.XLOOKUP(A621, Sheet1!A:A, Sheet1!C:F)</f>
        <v>15.5</v>
      </c>
      <c r="H621">
        <v>11.5</v>
      </c>
      <c r="I621">
        <v>14.8</v>
      </c>
      <c r="J621">
        <v>19.8</v>
      </c>
    </row>
    <row r="622" spans="1:10" x14ac:dyDescent="0.3">
      <c r="A622" t="str" cm="1">
        <f t="array" ref="A622">IF(ROW()&lt;=COUNTA(Sheet1!A:A), INDEX(Sheet1!A:A, ROW()),
INDEX(Sheet4!A:A, ROW()-COUNTA(Sheet1!A:A)))</f>
        <v>Al39.855Cr15.34Fe20.103Co10.834Ni13.868</v>
      </c>
      <c r="B622" s="10">
        <f>_xlfn.XLOOKUP(A622, Sheet4!A:A, Sheet4!C:C)</f>
        <v>0</v>
      </c>
      <c r="C622" s="10">
        <v>-1</v>
      </c>
      <c r="D622" s="10">
        <f>_xlfn.XLOOKUP(A622, Sheet2!A:A, Sheet2!B:B)</f>
        <v>6.0861000000000001</v>
      </c>
      <c r="E622" s="10">
        <f>_xlfn.XLOOKUP(A622, Sheet1!A:A, Sheet1!G:G)</f>
        <v>-1</v>
      </c>
      <c r="F622" s="10">
        <f t="shared" si="9"/>
        <v>-1</v>
      </c>
      <c r="G622" cm="1">
        <f t="array" ref="G622:J622">_xlfn.XLOOKUP(A622, Sheet1!A:A, Sheet1!C:F)</f>
        <v>8.9050999999999991</v>
      </c>
      <c r="H622">
        <v>17.672000000000001</v>
      </c>
      <c r="I622">
        <v>23.460999999999999</v>
      </c>
      <c r="J622">
        <v>11.51</v>
      </c>
    </row>
    <row r="623" spans="1:10" x14ac:dyDescent="0.3">
      <c r="A623" t="str" cm="1">
        <f t="array" ref="A623">IF(ROW()&lt;=COUNTA(Sheet1!A:A), INDEX(Sheet1!A:A, ROW()),
INDEX(Sheet4!A:A, ROW()-COUNTA(Sheet1!A:A)))</f>
        <v>Al39.9Cr15.3Fe20.1Co10.8Ni13.9</v>
      </c>
      <c r="B623" s="10">
        <f>_xlfn.XLOOKUP(A623, Sheet4!A:A, Sheet4!C:C)</f>
        <v>0</v>
      </c>
      <c r="C623" s="10">
        <v>-1</v>
      </c>
      <c r="D623" s="10">
        <f>_xlfn.XLOOKUP(A623, Sheet2!A:A, Sheet2!B:B)</f>
        <v>6.085</v>
      </c>
      <c r="E623" s="10">
        <f>_xlfn.XLOOKUP(A623, Sheet1!A:A, Sheet1!G:G)</f>
        <v>-1</v>
      </c>
      <c r="F623" s="10">
        <f t="shared" si="9"/>
        <v>-1</v>
      </c>
      <c r="G623" cm="1">
        <f t="array" ref="G623:J623">_xlfn.XLOOKUP(A623, Sheet1!A:A, Sheet1!C:F)</f>
        <v>8.9</v>
      </c>
      <c r="H623">
        <v>17.7</v>
      </c>
      <c r="I623">
        <v>23.5</v>
      </c>
      <c r="J623">
        <v>11.5</v>
      </c>
    </row>
    <row r="624" spans="1:10" x14ac:dyDescent="0.3">
      <c r="A624" t="str" cm="1">
        <f t="array" ref="A624">IF(ROW()&lt;=COUNTA(Sheet1!A:A), INDEX(Sheet1!A:A, ROW()),
INDEX(Sheet4!A:A, ROW()-COUNTA(Sheet1!A:A)))</f>
        <v>Al40.2Cr18Fe23.9Co7.8Ni10.1</v>
      </c>
      <c r="B624" s="10">
        <f>_xlfn.XLOOKUP(A624, Sheet4!A:A, Sheet4!C:C)</f>
        <v>0</v>
      </c>
      <c r="C624" s="10">
        <v>-1</v>
      </c>
      <c r="D624" s="10">
        <f>_xlfn.XLOOKUP(A624, Sheet2!A:A, Sheet2!B:B)</f>
        <v>5.91</v>
      </c>
      <c r="E624" s="10">
        <f>_xlfn.XLOOKUP(A624, Sheet1!A:A, Sheet1!G:G)</f>
        <v>-1</v>
      </c>
      <c r="F624" s="10">
        <f t="shared" si="9"/>
        <v>-1</v>
      </c>
      <c r="G624" cm="1">
        <f t="array" ref="G624:J624">_xlfn.XLOOKUP(A624, Sheet1!A:A, Sheet1!C:F)</f>
        <v>15.38461538</v>
      </c>
      <c r="H624">
        <v>15.38461538</v>
      </c>
      <c r="I624">
        <v>15.38461538</v>
      </c>
      <c r="J624">
        <v>15.38461538</v>
      </c>
    </row>
    <row r="625" spans="1:10" x14ac:dyDescent="0.3">
      <c r="A625" t="str" cm="1">
        <f t="array" ref="A625">IF(ROW()&lt;=COUNTA(Sheet1!A:A), INDEX(Sheet1!A:A, ROW()),
INDEX(Sheet4!A:A, ROW()-COUNTA(Sheet1!A:A)))</f>
        <v>Al40.241Cr17.971Fe23.928Co7.7624Ni10.097</v>
      </c>
      <c r="B625" s="10">
        <f>_xlfn.XLOOKUP(A625, Sheet4!A:A, Sheet4!C:C)</f>
        <v>0</v>
      </c>
      <c r="C625" s="10">
        <v>-1</v>
      </c>
      <c r="D625" s="10">
        <f>_xlfn.XLOOKUP(A625, Sheet2!A:A, Sheet2!B:B)</f>
        <v>5.9081000000000001</v>
      </c>
      <c r="E625" s="10">
        <f>_xlfn.XLOOKUP(A625, Sheet1!A:A, Sheet1!G:G)</f>
        <v>-1</v>
      </c>
      <c r="F625" s="10">
        <f t="shared" si="9"/>
        <v>-1</v>
      </c>
      <c r="G625" cm="1">
        <f t="array" ref="G625:J625">_xlfn.XLOOKUP(A625, Sheet1!A:A, Sheet1!C:F)</f>
        <v>15.38461538</v>
      </c>
      <c r="H625">
        <v>15.38461538</v>
      </c>
      <c r="I625">
        <v>15.38461538</v>
      </c>
      <c r="J625">
        <v>15.38461538</v>
      </c>
    </row>
    <row r="626" spans="1:10" x14ac:dyDescent="0.3">
      <c r="A626" t="str" cm="1">
        <f t="array" ref="A626">IF(ROW()&lt;=COUNTA(Sheet1!A:A), INDEX(Sheet1!A:A, ROW()),
INDEX(Sheet4!A:A, ROW()-COUNTA(Sheet1!A:A)))</f>
        <v>Al2.7CoCrFeNi</v>
      </c>
      <c r="B626" s="10">
        <f>_xlfn.XLOOKUP(A626, Sheet4!A:A, Sheet4!C:C)</f>
        <v>0</v>
      </c>
      <c r="C626" s="10">
        <v>-1</v>
      </c>
      <c r="D626" s="10">
        <f>_xlfn.XLOOKUP(A626, Sheet2!A:A, Sheet2!B:B)</f>
        <v>6.1342999999999996</v>
      </c>
      <c r="E626" s="10">
        <f>_xlfn.XLOOKUP(A626, Sheet1!A:A, Sheet1!G:G)</f>
        <v>-1</v>
      </c>
      <c r="F626" s="10">
        <f t="shared" si="9"/>
        <v>-1</v>
      </c>
      <c r="G626" cm="1">
        <f t="array" ref="G626:J626">_xlfn.XLOOKUP(A626, Sheet1!A:A, Sheet1!C:F)</f>
        <v>7.1</v>
      </c>
      <c r="H626">
        <v>19.3</v>
      </c>
      <c r="I626">
        <v>25.5</v>
      </c>
      <c r="J626">
        <v>9.3000000000000007</v>
      </c>
    </row>
    <row r="627" spans="1:10" x14ac:dyDescent="0.3">
      <c r="A627" t="str" cm="1">
        <f t="array" ref="A627">IF(ROW()&lt;=COUNTA(Sheet1!A:A), INDEX(Sheet1!A:A, ROW()),
INDEX(Sheet4!A:A, ROW()-COUNTA(Sheet1!A:A)))</f>
        <v>Al40.6Cr14.2Fe18.4Co11.8Ni15</v>
      </c>
      <c r="B627" s="10">
        <f>_xlfn.XLOOKUP(A627, Sheet4!A:A, Sheet4!C:C)</f>
        <v>0</v>
      </c>
      <c r="C627" s="10">
        <v>-1</v>
      </c>
      <c r="D627" s="10">
        <f>_xlfn.XLOOKUP(A627, Sheet2!A:A, Sheet2!B:B)</f>
        <v>6.1040000000000001</v>
      </c>
      <c r="E627" s="10">
        <f>_xlfn.XLOOKUP(A627, Sheet1!A:A, Sheet1!G:G)</f>
        <v>-1</v>
      </c>
      <c r="F627" s="10">
        <f t="shared" si="9"/>
        <v>-1</v>
      </c>
      <c r="G627" cm="1">
        <f t="array" ref="G627:J627">_xlfn.XLOOKUP(A627, Sheet1!A:A, Sheet1!C:F)</f>
        <v>7.0669000000000004</v>
      </c>
      <c r="H627">
        <v>19.338000000000001</v>
      </c>
      <c r="I627">
        <v>25.495000000000001</v>
      </c>
      <c r="J627">
        <v>9.2826000000000004</v>
      </c>
    </row>
    <row r="628" spans="1:10" x14ac:dyDescent="0.3">
      <c r="A628" t="str" cm="1">
        <f t="array" ref="A628">IF(ROW()&lt;=COUNTA(Sheet1!A:A), INDEX(Sheet1!A:A, ROW()),
INDEX(Sheet4!A:A, ROW()-COUNTA(Sheet1!A:A)))</f>
        <v>Al40.615Cr14.19Fe18.416Co11.784Ni14.995</v>
      </c>
      <c r="B628" s="10">
        <f>_xlfn.XLOOKUP(A628, Sheet4!A:A, Sheet4!C:C)</f>
        <v>0</v>
      </c>
      <c r="C628" s="10">
        <v>-1</v>
      </c>
      <c r="D628" s="10">
        <f>_xlfn.XLOOKUP(A628, Sheet2!A:A, Sheet2!B:B)</f>
        <v>6.1032000000000002</v>
      </c>
      <c r="E628" s="10">
        <f>_xlfn.XLOOKUP(A628, Sheet1!A:A, Sheet1!G:G)</f>
        <v>-1</v>
      </c>
      <c r="F628" s="10">
        <f t="shared" si="9"/>
        <v>-1</v>
      </c>
      <c r="G628" cm="1">
        <f t="array" ref="G628:J628">_xlfn.XLOOKUP(A628, Sheet1!A:A, Sheet1!C:F)</f>
        <v>14.202999999999999</v>
      </c>
      <c r="H628">
        <v>12.522</v>
      </c>
      <c r="I628">
        <v>16.16</v>
      </c>
      <c r="J628">
        <v>18.221</v>
      </c>
    </row>
    <row r="629" spans="1:10" x14ac:dyDescent="0.3">
      <c r="A629" t="str" cm="1">
        <f t="array" ref="A629">IF(ROW()&lt;=COUNTA(Sheet1!A:A), INDEX(Sheet1!A:A, ROW()),
INDEX(Sheet4!A:A, ROW()-COUNTA(Sheet1!A:A)))</f>
        <v>Al2.75CoCrFeNi</v>
      </c>
      <c r="B629" s="10">
        <f>_xlfn.XLOOKUP(A629, Sheet4!A:A, Sheet4!C:C)</f>
        <v>0</v>
      </c>
      <c r="C629" s="10">
        <v>-1</v>
      </c>
      <c r="D629" s="10">
        <f>_xlfn.XLOOKUP(A629, Sheet2!A:A, Sheet2!B:B)</f>
        <v>6.1111000000000004</v>
      </c>
      <c r="E629" s="10">
        <f>_xlfn.XLOOKUP(A629, Sheet1!A:A, Sheet1!G:G)</f>
        <v>-1</v>
      </c>
      <c r="F629" s="10">
        <f t="shared" si="9"/>
        <v>-1</v>
      </c>
      <c r="G629" cm="1">
        <f t="array" ref="G629:J629">_xlfn.XLOOKUP(A629, Sheet1!A:A, Sheet1!C:F)</f>
        <v>14.2</v>
      </c>
      <c r="H629">
        <v>12.5</v>
      </c>
      <c r="I629">
        <v>16.2</v>
      </c>
      <c r="J629">
        <v>18.2</v>
      </c>
    </row>
    <row r="630" spans="1:10" x14ac:dyDescent="0.3">
      <c r="A630" t="str" cm="1">
        <f t="array" ref="A630">IF(ROW()&lt;=COUNTA(Sheet1!A:A), INDEX(Sheet1!A:A, ROW()),
INDEX(Sheet4!A:A, ROW()-COUNTA(Sheet1!A:A)))</f>
        <v>Al2.8CoCrFeNi</v>
      </c>
      <c r="B630" s="10">
        <f>_xlfn.XLOOKUP(A630, Sheet4!A:A, Sheet4!C:C)</f>
        <v>0</v>
      </c>
      <c r="C630" s="10">
        <v>-1</v>
      </c>
      <c r="D630" s="10">
        <f>_xlfn.XLOOKUP(A630, Sheet2!A:A, Sheet2!B:B)</f>
        <v>6.0881999999999996</v>
      </c>
      <c r="E630" s="10">
        <f>_xlfn.XLOOKUP(A630, Sheet1!A:A, Sheet1!G:G)</f>
        <v>-1</v>
      </c>
      <c r="F630" s="10">
        <f t="shared" si="9"/>
        <v>-1</v>
      </c>
      <c r="G630" cm="1">
        <f t="array" ref="G630:J630">_xlfn.XLOOKUP(A630, Sheet1!A:A, Sheet1!C:F)</f>
        <v>9.7304999999999993</v>
      </c>
      <c r="H630">
        <v>16.431999999999999</v>
      </c>
      <c r="I630">
        <v>21.931999999999999</v>
      </c>
      <c r="J630">
        <v>12.609</v>
      </c>
    </row>
    <row r="631" spans="1:10" x14ac:dyDescent="0.3">
      <c r="A631" t="str" cm="1">
        <f t="array" ref="A631">IF(ROW()&lt;=COUNTA(Sheet1!A:A), INDEX(Sheet1!A:A, ROW()),
INDEX(Sheet4!A:A, ROW()-COUNTA(Sheet1!A:A)))</f>
        <v>Al2.9CoCrFeNi</v>
      </c>
      <c r="B631" s="10">
        <f>_xlfn.XLOOKUP(A631, Sheet4!A:A, Sheet4!C:C)</f>
        <v>0</v>
      </c>
      <c r="C631" s="10">
        <v>-1</v>
      </c>
      <c r="D631" s="10">
        <f>_xlfn.XLOOKUP(A631, Sheet2!A:A, Sheet2!B:B)</f>
        <v>6.0434999999999999</v>
      </c>
      <c r="E631" s="10">
        <f>_xlfn.XLOOKUP(A631, Sheet1!A:A, Sheet1!G:G)</f>
        <v>-1</v>
      </c>
      <c r="F631" s="10">
        <f t="shared" si="9"/>
        <v>-1</v>
      </c>
      <c r="G631" cm="1">
        <f t="array" ref="G631:J631">_xlfn.XLOOKUP(A631, Sheet1!A:A, Sheet1!C:F)</f>
        <v>9.6999999999999993</v>
      </c>
      <c r="H631">
        <v>16.399999999999999</v>
      </c>
      <c r="I631">
        <v>21.9</v>
      </c>
      <c r="J631">
        <v>12.6</v>
      </c>
    </row>
    <row r="632" spans="1:10" x14ac:dyDescent="0.3">
      <c r="A632" t="str" cm="1">
        <f t="array" ref="A632">IF(ROW()&lt;=COUNTA(Sheet1!A:A), INDEX(Sheet1!A:A, ROW()),
INDEX(Sheet4!A:A, ROW()-COUNTA(Sheet1!A:A)))</f>
        <v>Al42.4Cr12.9Fe16.8Co12.2Ni15.7</v>
      </c>
      <c r="B632" s="10">
        <f>_xlfn.XLOOKUP(A632, Sheet4!A:A, Sheet4!C:C)</f>
        <v>0</v>
      </c>
      <c r="C632" s="10">
        <v>-1</v>
      </c>
      <c r="D632" s="10">
        <f>_xlfn.XLOOKUP(A632, Sheet2!A:A, Sheet2!B:B)</f>
        <v>6.0579999999999998</v>
      </c>
      <c r="E632" s="10">
        <f>_xlfn.XLOOKUP(A632, Sheet1!A:A, Sheet1!G:G)</f>
        <v>-1</v>
      </c>
      <c r="F632" s="10">
        <f t="shared" si="9"/>
        <v>-1</v>
      </c>
      <c r="G632" cm="1">
        <f t="array" ref="G632:J632">_xlfn.XLOOKUP(A632, Sheet1!A:A, Sheet1!C:F)</f>
        <v>15.15151515</v>
      </c>
      <c r="H632">
        <v>15.15151515</v>
      </c>
      <c r="I632">
        <v>15.15151515</v>
      </c>
      <c r="J632">
        <v>15.15151515</v>
      </c>
    </row>
    <row r="633" spans="1:10" x14ac:dyDescent="0.3">
      <c r="A633" t="str" cm="1">
        <f t="array" ref="A633">IF(ROW()&lt;=COUNTA(Sheet1!A:A), INDEX(Sheet1!A:A, ROW()),
INDEX(Sheet4!A:A, ROW()-COUNTA(Sheet1!A:A)))</f>
        <v>Al42.42Cr12.929Fe16.761Co12.235Ni15.656</v>
      </c>
      <c r="B633" s="10">
        <f>_xlfn.XLOOKUP(A633, Sheet4!A:A, Sheet4!C:C)</f>
        <v>0</v>
      </c>
      <c r="C633" s="10">
        <v>-1</v>
      </c>
      <c r="D633" s="10">
        <f>_xlfn.XLOOKUP(A633, Sheet2!A:A, Sheet2!B:B)</f>
        <v>6.0559000000000003</v>
      </c>
      <c r="E633" s="10">
        <f>_xlfn.XLOOKUP(A633, Sheet1!A:A, Sheet1!G:G)</f>
        <v>-1</v>
      </c>
      <c r="F633" s="10">
        <f t="shared" si="9"/>
        <v>-1</v>
      </c>
      <c r="G633" cm="1">
        <f t="array" ref="G633:J633">_xlfn.XLOOKUP(A633, Sheet1!A:A, Sheet1!C:F)</f>
        <v>10.834</v>
      </c>
      <c r="H633">
        <v>15.34</v>
      </c>
      <c r="I633">
        <v>20.103000000000002</v>
      </c>
      <c r="J633">
        <v>13.868</v>
      </c>
    </row>
    <row r="634" spans="1:10" x14ac:dyDescent="0.3">
      <c r="A634" t="str" cm="1">
        <f t="array" ref="A634">IF(ROW()&lt;=COUNTA(Sheet1!A:A), INDEX(Sheet1!A:A, ROW()),
INDEX(Sheet4!A:A, ROW()-COUNTA(Sheet1!A:A)))</f>
        <v>Al3CoCrFeNi</v>
      </c>
      <c r="B634" s="10" t="str">
        <f>_xlfn.XLOOKUP(A634, Sheet4!A:A, Sheet4!C:C)</f>
        <v>BCC</v>
      </c>
      <c r="C634" s="10">
        <v>0</v>
      </c>
      <c r="D634" s="10">
        <f>_xlfn.XLOOKUP(A634, Sheet2!A:A, Sheet2!B:B)</f>
        <v>6</v>
      </c>
      <c r="E634" s="10">
        <f>_xlfn.XLOOKUP(A634, Sheet1!A:A, Sheet1!G:G)</f>
        <v>-1</v>
      </c>
      <c r="F634" s="10">
        <f t="shared" si="9"/>
        <v>0</v>
      </c>
      <c r="G634" cm="1">
        <f t="array" ref="G634:J634">_xlfn.XLOOKUP(A634, Sheet1!A:A, Sheet1!C:F)</f>
        <v>10.8</v>
      </c>
      <c r="H634">
        <v>15.3</v>
      </c>
      <c r="I634">
        <v>20.100000000000001</v>
      </c>
      <c r="J634">
        <v>13.9</v>
      </c>
    </row>
    <row r="635" spans="1:10" x14ac:dyDescent="0.3">
      <c r="A635" t="str" cm="1">
        <f t="array" ref="A635">IF(ROW()&lt;=COUNTA(Sheet1!A:A), INDEX(Sheet1!A:A, ROW()),
INDEX(Sheet4!A:A, ROW()-COUNTA(Sheet1!A:A)))</f>
        <v>Al43.1Cr16.4Fe21.7Co8.3Ni10.6</v>
      </c>
      <c r="B635" s="10">
        <f>_xlfn.XLOOKUP(A635, Sheet4!A:A, Sheet4!C:C)</f>
        <v>0</v>
      </c>
      <c r="C635" s="10">
        <v>-1</v>
      </c>
      <c r="D635" s="10">
        <f>_xlfn.XLOOKUP(A635, Sheet2!A:A, Sheet2!B:B)</f>
        <v>5.8141999999999996</v>
      </c>
      <c r="E635" s="10">
        <f>_xlfn.XLOOKUP(A635, Sheet1!A:A, Sheet1!G:G)</f>
        <v>-1</v>
      </c>
      <c r="F635" s="10">
        <f t="shared" si="9"/>
        <v>-1</v>
      </c>
      <c r="G635" cm="1">
        <f t="array" ref="G635:J635">_xlfn.XLOOKUP(A635, Sheet1!A:A, Sheet1!C:F)</f>
        <v>7.8</v>
      </c>
      <c r="H635">
        <v>18</v>
      </c>
      <c r="I635">
        <v>23.9</v>
      </c>
      <c r="J635">
        <v>10.1</v>
      </c>
    </row>
    <row r="636" spans="1:10" x14ac:dyDescent="0.3">
      <c r="A636" t="str" cm="1">
        <f t="array" ref="A636">IF(ROW()&lt;=COUNTA(Sheet1!A:A), INDEX(Sheet1!A:A, ROW()),
INDEX(Sheet4!A:A, ROW()-COUNTA(Sheet1!A:A)))</f>
        <v>Al43.1Cr18Fe23.9Co6.5Ni8.5</v>
      </c>
      <c r="B636" s="10">
        <f>_xlfn.XLOOKUP(A636, Sheet4!A:A, Sheet4!C:C)</f>
        <v>0</v>
      </c>
      <c r="C636" s="10">
        <v>-1</v>
      </c>
      <c r="D636" s="10">
        <f>_xlfn.XLOOKUP(A636, Sheet2!A:A, Sheet2!B:B)</f>
        <v>5.72</v>
      </c>
      <c r="E636" s="10">
        <f>_xlfn.XLOOKUP(A636, Sheet1!A:A, Sheet1!G:G)</f>
        <v>-1</v>
      </c>
      <c r="F636" s="10">
        <f t="shared" si="9"/>
        <v>-1</v>
      </c>
      <c r="G636" cm="1">
        <f t="array" ref="G636:J636">_xlfn.XLOOKUP(A636, Sheet1!A:A, Sheet1!C:F)</f>
        <v>7.7624000000000004</v>
      </c>
      <c r="H636">
        <v>17.971</v>
      </c>
      <c r="I636">
        <v>23.928000000000001</v>
      </c>
      <c r="J636">
        <v>10.097</v>
      </c>
    </row>
    <row r="637" spans="1:10" x14ac:dyDescent="0.3">
      <c r="A637" t="str" cm="1">
        <f t="array" ref="A637">IF(ROW()&lt;=COUNTA(Sheet1!A:A), INDEX(Sheet1!A:A, ROW()),
INDEX(Sheet4!A:A, ROW()-COUNTA(Sheet1!A:A)))</f>
        <v>Al43.114Cr17.979Fe23.908Co6.5409Ni8.4581</v>
      </c>
      <c r="B637" s="10">
        <f>_xlfn.XLOOKUP(A637, Sheet4!A:A, Sheet4!C:C)</f>
        <v>0</v>
      </c>
      <c r="C637" s="10">
        <v>-1</v>
      </c>
      <c r="D637" s="10">
        <f>_xlfn.XLOOKUP(A637, Sheet2!A:A, Sheet2!B:B)</f>
        <v>5.7192999999999996</v>
      </c>
      <c r="E637" s="10">
        <f>_xlfn.XLOOKUP(A637, Sheet1!A:A, Sheet1!G:G)</f>
        <v>-1</v>
      </c>
      <c r="F637" s="10">
        <f t="shared" si="9"/>
        <v>-1</v>
      </c>
      <c r="G637" cm="1">
        <f t="array" ref="G637:J637">_xlfn.XLOOKUP(A637, Sheet1!A:A, Sheet1!C:F)</f>
        <v>14.925373130000001</v>
      </c>
      <c r="H637">
        <v>14.925373130000001</v>
      </c>
      <c r="I637">
        <v>14.925373130000001</v>
      </c>
      <c r="J637">
        <v>14.925373130000001</v>
      </c>
    </row>
    <row r="638" spans="1:10" x14ac:dyDescent="0.3">
      <c r="A638" t="str" cm="1">
        <f t="array" ref="A638">IF(ROW()&lt;=COUNTA(Sheet1!A:A), INDEX(Sheet1!A:A, ROW()),
INDEX(Sheet4!A:A, ROW()-COUNTA(Sheet1!A:A)))</f>
        <v>Al43.117Cr11.749Fe15.35Co13.044Ni16.74</v>
      </c>
      <c r="B638" s="10">
        <f>_xlfn.XLOOKUP(A638, Sheet4!A:A, Sheet4!C:C)</f>
        <v>0</v>
      </c>
      <c r="C638" s="10">
        <v>-1</v>
      </c>
      <c r="D638" s="10">
        <f>_xlfn.XLOOKUP(A638, Sheet2!A:A, Sheet2!B:B)</f>
        <v>6.0743999999999998</v>
      </c>
      <c r="E638" s="10">
        <f>_xlfn.XLOOKUP(A638, Sheet1!A:A, Sheet1!G:G)</f>
        <v>-1</v>
      </c>
      <c r="F638" s="10">
        <f t="shared" si="9"/>
        <v>-1</v>
      </c>
      <c r="G638" cm="1">
        <f t="array" ref="G638:J638">_xlfn.XLOOKUP(A638, Sheet1!A:A, Sheet1!C:F)</f>
        <v>11.8</v>
      </c>
      <c r="H638">
        <v>14.2</v>
      </c>
      <c r="I638">
        <v>18.399999999999999</v>
      </c>
      <c r="J638">
        <v>15</v>
      </c>
    </row>
    <row r="639" spans="1:10" x14ac:dyDescent="0.3">
      <c r="A639" t="str" cm="1">
        <f t="array" ref="A639">IF(ROW()&lt;=COUNTA(Sheet1!A:A), INDEX(Sheet1!A:A, ROW()),
INDEX(Sheet4!A:A, ROW()-COUNTA(Sheet1!A:A)))</f>
        <v>Al43.142Cr16.354Fe21.653Co8.2877Ni10.563</v>
      </c>
      <c r="B639" s="10">
        <f>_xlfn.XLOOKUP(A639, Sheet4!A:A, Sheet4!C:C)</f>
        <v>0</v>
      </c>
      <c r="C639" s="10">
        <v>-1</v>
      </c>
      <c r="D639" s="10">
        <f>_xlfn.XLOOKUP(A639, Sheet2!A:A, Sheet2!B:B)</f>
        <v>5.81</v>
      </c>
      <c r="E639" s="10">
        <f>_xlfn.XLOOKUP(A639, Sheet1!A:A, Sheet1!G:G)</f>
        <v>-1</v>
      </c>
      <c r="F639" s="10">
        <f t="shared" si="9"/>
        <v>-1</v>
      </c>
      <c r="G639" cm="1">
        <f t="array" ref="G639:J639">_xlfn.XLOOKUP(A639, Sheet1!A:A, Sheet1!C:F)</f>
        <v>11.784000000000001</v>
      </c>
      <c r="H639">
        <v>14.19</v>
      </c>
      <c r="I639">
        <v>18.416</v>
      </c>
      <c r="J639">
        <v>14.994999999999999</v>
      </c>
    </row>
    <row r="640" spans="1:10" x14ac:dyDescent="0.3">
      <c r="A640" t="str" cm="1">
        <f t="array" ref="A640">IF(ROW()&lt;=COUNTA(Sheet1!A:A), INDEX(Sheet1!A:A, ROW()),
INDEX(Sheet4!A:A, ROW()-COUNTA(Sheet1!A:A)))</f>
        <v>Al43.1Cr11.7Fe15.4Co13Ni16.7</v>
      </c>
      <c r="B640" s="10">
        <f>_xlfn.XLOOKUP(A640, Sheet4!A:A, Sheet4!C:C)</f>
        <v>0</v>
      </c>
      <c r="C640" s="10">
        <v>-1</v>
      </c>
      <c r="D640" s="10">
        <f>_xlfn.XLOOKUP(A640, Sheet2!A:A, Sheet2!B:B)</f>
        <v>6.0731000000000002</v>
      </c>
      <c r="E640" s="10">
        <f>_xlfn.XLOOKUP(A640, Sheet1!A:A, Sheet1!G:G)</f>
        <v>-1</v>
      </c>
      <c r="F640" s="10">
        <f t="shared" si="9"/>
        <v>-1</v>
      </c>
      <c r="G640" cm="1">
        <f t="array" ref="G640:J640">_xlfn.XLOOKUP(A640, Sheet1!A:A, Sheet1!C:F)</f>
        <v>14.81481481</v>
      </c>
      <c r="H640">
        <v>14.81481481</v>
      </c>
      <c r="I640">
        <v>14.81481481</v>
      </c>
      <c r="J640">
        <v>14.81481481</v>
      </c>
    </row>
    <row r="641" spans="1:10" x14ac:dyDescent="0.3">
      <c r="A641" t="str" cm="1">
        <f t="array" ref="A641">IF(ROW()&lt;=COUNTA(Sheet1!A:A), INDEX(Sheet1!A:A, ROW()),
INDEX(Sheet4!A:A, ROW()-COUNTA(Sheet1!A:A)))</f>
        <v>Al44.1Cr14.5Fe18.6Co10.1Ni12.8</v>
      </c>
      <c r="B641" s="10">
        <f>_xlfn.XLOOKUP(A641, Sheet4!A:A, Sheet4!C:C)</f>
        <v>0</v>
      </c>
      <c r="C641" s="10">
        <v>-1</v>
      </c>
      <c r="D641" s="10">
        <f>_xlfn.XLOOKUP(A641, Sheet2!A:A, Sheet2!B:B)</f>
        <v>5.8640999999999996</v>
      </c>
      <c r="E641" s="10">
        <f>_xlfn.XLOOKUP(A641, Sheet1!A:A, Sheet1!G:G)</f>
        <v>-1</v>
      </c>
      <c r="F641" s="10">
        <f t="shared" si="9"/>
        <v>-1</v>
      </c>
      <c r="G641" cm="1">
        <f t="array" ref="G641:J641">_xlfn.XLOOKUP(A641, Sheet1!A:A, Sheet1!C:F)</f>
        <v>14.70588235</v>
      </c>
      <c r="H641">
        <v>14.70588235</v>
      </c>
      <c r="I641">
        <v>14.70588235</v>
      </c>
      <c r="J641">
        <v>14.70588235</v>
      </c>
    </row>
    <row r="642" spans="1:10" x14ac:dyDescent="0.3">
      <c r="A642" t="str" cm="1">
        <f t="array" ref="A642">IF(ROW()&lt;=COUNTA(Sheet1!A:A), INDEX(Sheet1!A:A, ROW()),
INDEX(Sheet4!A:A, ROW()-COUNTA(Sheet1!A:A)))</f>
        <v>Al44.062Cr14.475Fe18.64Co10.066Ni12.757</v>
      </c>
      <c r="B642" s="10">
        <f>_xlfn.XLOOKUP(A642, Sheet4!A:A, Sheet4!C:C)</f>
        <v>0</v>
      </c>
      <c r="C642" s="10">
        <v>-1</v>
      </c>
      <c r="D642" s="10">
        <f>_xlfn.XLOOKUP(A642, Sheet2!A:A, Sheet2!B:B)</f>
        <v>5.8632</v>
      </c>
      <c r="E642" s="10">
        <f>_xlfn.XLOOKUP(A642, Sheet1!A:A, Sheet1!G:G)</f>
        <v>-1</v>
      </c>
      <c r="F642" s="10">
        <f t="shared" si="9"/>
        <v>-1</v>
      </c>
      <c r="G642" cm="1">
        <f t="array" ref="G642:J642">_xlfn.XLOOKUP(A642, Sheet1!A:A, Sheet1!C:F)</f>
        <v>14.49275362</v>
      </c>
      <c r="H642">
        <v>14.49275362</v>
      </c>
      <c r="I642">
        <v>14.49275362</v>
      </c>
      <c r="J642">
        <v>14.49275362</v>
      </c>
    </row>
    <row r="643" spans="1:10" x14ac:dyDescent="0.3">
      <c r="A643" t="str" cm="1">
        <f t="array" ref="A643">IF(ROW()&lt;=COUNTA(Sheet1!A:A), INDEX(Sheet1!A:A, ROW()),
INDEX(Sheet4!A:A, ROW()-COUNTA(Sheet1!A:A)))</f>
        <v>Al44.2Cr15.3Fe20.2Co8.9Ni11.5</v>
      </c>
      <c r="B643" s="10">
        <f>_xlfn.XLOOKUP(A643, Sheet4!A:A, Sheet4!C:C)</f>
        <v>0</v>
      </c>
      <c r="C643" s="10">
        <v>-1</v>
      </c>
      <c r="D643" s="10">
        <f>_xlfn.XLOOKUP(A643, Sheet2!A:A, Sheet2!B:B)</f>
        <v>5.8052000000000001</v>
      </c>
      <c r="E643" s="10">
        <f>_xlfn.XLOOKUP(A643, Sheet1!A:A, Sheet1!G:G)</f>
        <v>-1</v>
      </c>
      <c r="F643" s="10">
        <f t="shared" ref="F643:F706" si="10">IF(OR(C643=1, E643=1), 1,
   IF(OR(C643=0, E643=0), 0,
      -1))</f>
        <v>-1</v>
      </c>
      <c r="G643" cm="1">
        <f t="array" ref="G643:J643">_xlfn.XLOOKUP(A643, Sheet1!A:A, Sheet1!C:F)</f>
        <v>12.2</v>
      </c>
      <c r="H643">
        <v>12.9</v>
      </c>
      <c r="I643">
        <v>16.8</v>
      </c>
      <c r="J643">
        <v>15.7</v>
      </c>
    </row>
    <row r="644" spans="1:10" x14ac:dyDescent="0.3">
      <c r="A644" t="str" cm="1">
        <f t="array" ref="A644">IF(ROW()&lt;=COUNTA(Sheet1!A:A), INDEX(Sheet1!A:A, ROW()),
INDEX(Sheet4!A:A, ROW()-COUNTA(Sheet1!A:A)))</f>
        <v>Al44.177Cr15.275Fe20.197Co8.89Ni11.462</v>
      </c>
      <c r="B644" s="10">
        <f>_xlfn.XLOOKUP(A644, Sheet4!A:A, Sheet4!C:C)</f>
        <v>0</v>
      </c>
      <c r="C644" s="10">
        <v>-1</v>
      </c>
      <c r="D644" s="10">
        <f>_xlfn.XLOOKUP(A644, Sheet2!A:A, Sheet2!B:B)</f>
        <v>5.8037999999999998</v>
      </c>
      <c r="E644" s="10">
        <f>_xlfn.XLOOKUP(A644, Sheet1!A:A, Sheet1!G:G)</f>
        <v>-1</v>
      </c>
      <c r="F644" s="10">
        <f t="shared" si="10"/>
        <v>-1</v>
      </c>
      <c r="G644" cm="1">
        <f t="array" ref="G644:J644">_xlfn.XLOOKUP(A644, Sheet1!A:A, Sheet1!C:F)</f>
        <v>12.234999999999999</v>
      </c>
      <c r="H644">
        <v>12.929</v>
      </c>
      <c r="I644">
        <v>16.760999999999999</v>
      </c>
      <c r="J644">
        <v>15.656000000000001</v>
      </c>
    </row>
    <row r="645" spans="1:10" x14ac:dyDescent="0.3">
      <c r="A645" t="str" cm="1">
        <f t="array" ref="A645">IF(ROW()&lt;=COUNTA(Sheet1!A:A), INDEX(Sheet1!A:A, ROW()),
INDEX(Sheet4!A:A, ROW()-COUNTA(Sheet1!A:A)))</f>
        <v>Al44.8Cr16.7Fe21.9Co7.3Ni9.3</v>
      </c>
      <c r="B645" s="10">
        <f>_xlfn.XLOOKUP(A645, Sheet4!A:A, Sheet4!C:C)</f>
        <v>0</v>
      </c>
      <c r="C645" s="10">
        <v>-1</v>
      </c>
      <c r="D645" s="10">
        <f>_xlfn.XLOOKUP(A645, Sheet2!A:A, Sheet2!B:B)</f>
        <v>5.6849999999999996</v>
      </c>
      <c r="E645" s="10">
        <f>_xlfn.XLOOKUP(A645, Sheet1!A:A, Sheet1!G:G)</f>
        <v>-1</v>
      </c>
      <c r="F645" s="10">
        <f t="shared" si="10"/>
        <v>-1</v>
      </c>
      <c r="G645" cm="1">
        <f t="array" ref="G645:J645">_xlfn.XLOOKUP(A645, Sheet1!A:A, Sheet1!C:F)</f>
        <v>14.28571429</v>
      </c>
      <c r="H645">
        <v>14.28571429</v>
      </c>
      <c r="I645">
        <v>14.28571429</v>
      </c>
      <c r="J645">
        <v>14.28571429</v>
      </c>
    </row>
    <row r="646" spans="1:10" x14ac:dyDescent="0.3">
      <c r="A646" t="str" cm="1">
        <f t="array" ref="A646">IF(ROW()&lt;=COUNTA(Sheet1!A:A), INDEX(Sheet1!A:A, ROW()),
INDEX(Sheet4!A:A, ROW()-COUNTA(Sheet1!A:A)))</f>
        <v>Al44.821Cr16.684Fe21.855Co7.3438Ni9.2967</v>
      </c>
      <c r="B646" s="10">
        <f>_xlfn.XLOOKUP(A646, Sheet4!A:A, Sheet4!C:C)</f>
        <v>0</v>
      </c>
      <c r="C646" s="10">
        <v>-1</v>
      </c>
      <c r="D646" s="10">
        <f>_xlfn.XLOOKUP(A646, Sheet2!A:A, Sheet2!B:B)</f>
        <v>5.6847000000000003</v>
      </c>
      <c r="E646" s="10">
        <f>_xlfn.XLOOKUP(A646, Sheet1!A:A, Sheet1!G:G)</f>
        <v>-1</v>
      </c>
      <c r="F646" s="10">
        <f t="shared" si="10"/>
        <v>-1</v>
      </c>
      <c r="G646" cm="1">
        <f t="array" ref="G646:J646">_xlfn.XLOOKUP(A646, Sheet1!A:A, Sheet1!C:F)</f>
        <v>8.3000000000000007</v>
      </c>
      <c r="H646">
        <v>16.399999999999999</v>
      </c>
      <c r="I646">
        <v>21.7</v>
      </c>
      <c r="J646">
        <v>10.6</v>
      </c>
    </row>
    <row r="647" spans="1:10" x14ac:dyDescent="0.3">
      <c r="A647" t="str" cm="1">
        <f t="array" ref="A647">IF(ROW()&lt;=COUNTA(Sheet1!A:A), INDEX(Sheet1!A:A, ROW()),
INDEX(Sheet4!A:A, ROW()-COUNTA(Sheet1!A:A)))</f>
        <v>Al45.3Cr13.3Fe17.3Co10.6Ni13.5</v>
      </c>
      <c r="B647" s="10">
        <f>_xlfn.XLOOKUP(A647, Sheet4!A:A, Sheet4!C:C)</f>
        <v>0</v>
      </c>
      <c r="C647" s="10">
        <v>-1</v>
      </c>
      <c r="D647" s="10">
        <f>_xlfn.XLOOKUP(A647, Sheet2!A:A, Sheet2!B:B)</f>
        <v>5.8449999999999998</v>
      </c>
      <c r="E647" s="10">
        <f>_xlfn.XLOOKUP(A647, Sheet1!A:A, Sheet1!G:G)</f>
        <v>-1</v>
      </c>
      <c r="F647" s="10">
        <f t="shared" si="10"/>
        <v>-1</v>
      </c>
      <c r="G647" cm="1">
        <f t="array" ref="G647:J647">_xlfn.XLOOKUP(A647, Sheet1!A:A, Sheet1!C:F)</f>
        <v>6.5</v>
      </c>
      <c r="H647">
        <v>18</v>
      </c>
      <c r="I647">
        <v>23.9</v>
      </c>
      <c r="J647">
        <v>8.5</v>
      </c>
    </row>
    <row r="648" spans="1:10" x14ac:dyDescent="0.3">
      <c r="A648" t="str" cm="1">
        <f t="array" ref="A648">IF(ROW()&lt;=COUNTA(Sheet1!A:A), INDEX(Sheet1!A:A, ROW()),
INDEX(Sheet4!A:A, ROW()-COUNTA(Sheet1!A:A)))</f>
        <v>Al45.301Cr13.282Fe17.298Co10.592Ni13.526</v>
      </c>
      <c r="B648" s="10">
        <f>_xlfn.XLOOKUP(A648, Sheet4!A:A, Sheet4!C:C)</f>
        <v>0</v>
      </c>
      <c r="C648" s="10">
        <v>-1</v>
      </c>
      <c r="D648" s="10">
        <f>_xlfn.XLOOKUP(A648, Sheet2!A:A, Sheet2!B:B)</f>
        <v>5.8456999999999999</v>
      </c>
      <c r="E648" s="10">
        <f>_xlfn.XLOOKUP(A648, Sheet1!A:A, Sheet1!G:G)</f>
        <v>-1</v>
      </c>
      <c r="F648" s="10">
        <f t="shared" si="10"/>
        <v>-1</v>
      </c>
      <c r="G648" cm="1">
        <f t="array" ref="G648:J648">_xlfn.XLOOKUP(A648, Sheet1!A:A, Sheet1!C:F)</f>
        <v>6.5408999999999997</v>
      </c>
      <c r="H648">
        <v>17.978999999999999</v>
      </c>
      <c r="I648">
        <v>23.908000000000001</v>
      </c>
      <c r="J648">
        <v>8.4581</v>
      </c>
    </row>
    <row r="649" spans="1:10" x14ac:dyDescent="0.3">
      <c r="A649" t="str" cm="1">
        <f t="array" ref="A649">IF(ROW()&lt;=COUNTA(Sheet1!A:A), INDEX(Sheet1!A:A, ROW()),
INDEX(Sheet4!A:A, ROW()-COUNTA(Sheet1!A:A)))</f>
        <v>Al45.9Cr12.3Fe15.9Co11.4Ni14.5</v>
      </c>
      <c r="B649" s="10">
        <f>_xlfn.XLOOKUP(A649, Sheet4!A:A, Sheet4!C:C)</f>
        <v>0</v>
      </c>
      <c r="C649" s="10">
        <v>-1</v>
      </c>
      <c r="D649" s="10">
        <f>_xlfn.XLOOKUP(A649, Sheet2!A:A, Sheet2!B:B)</f>
        <v>5.8630000000000004</v>
      </c>
      <c r="E649" s="10">
        <f>_xlfn.XLOOKUP(A649, Sheet1!A:A, Sheet1!G:G)</f>
        <v>-1</v>
      </c>
      <c r="F649" s="10">
        <f t="shared" si="10"/>
        <v>-1</v>
      </c>
      <c r="G649" cm="1">
        <f t="array" ref="G649:J649">_xlfn.XLOOKUP(A649, Sheet1!A:A, Sheet1!C:F)</f>
        <v>13.044</v>
      </c>
      <c r="H649">
        <v>11.749000000000001</v>
      </c>
      <c r="I649">
        <v>15.35</v>
      </c>
      <c r="J649">
        <v>16.739999999999998</v>
      </c>
    </row>
    <row r="650" spans="1:10" x14ac:dyDescent="0.3">
      <c r="A650" t="str" cm="1">
        <f t="array" ref="A650">IF(ROW()&lt;=COUNTA(Sheet1!A:A), INDEX(Sheet1!A:A, ROW()),
INDEX(Sheet4!A:A, ROW()-COUNTA(Sheet1!A:A)))</f>
        <v>Al45.924Cr12.314Fe15.944Co11.363Ni14.455</v>
      </c>
      <c r="B650" s="10">
        <f>_xlfn.XLOOKUP(A650, Sheet4!A:A, Sheet4!C:C)</f>
        <v>0</v>
      </c>
      <c r="C650" s="10">
        <v>-1</v>
      </c>
      <c r="D650" s="10">
        <f>_xlfn.XLOOKUP(A650, Sheet2!A:A, Sheet2!B:B)</f>
        <v>5.8601999999999999</v>
      </c>
      <c r="E650" s="10">
        <f>_xlfn.XLOOKUP(A650, Sheet1!A:A, Sheet1!G:G)</f>
        <v>-1</v>
      </c>
      <c r="F650" s="10">
        <f t="shared" si="10"/>
        <v>-1</v>
      </c>
      <c r="G650" cm="1">
        <f t="array" ref="G650:J650">_xlfn.XLOOKUP(A650, Sheet1!A:A, Sheet1!C:F)</f>
        <v>8.2876999999999992</v>
      </c>
      <c r="H650">
        <v>16.353999999999999</v>
      </c>
      <c r="I650">
        <v>21.652999999999999</v>
      </c>
      <c r="J650">
        <v>10.563000000000001</v>
      </c>
    </row>
    <row r="651" spans="1:10" x14ac:dyDescent="0.3">
      <c r="A651" t="str" cm="1">
        <f t="array" ref="A651">IF(ROW()&lt;=COUNTA(Sheet1!A:A), INDEX(Sheet1!A:A, ROW()),
INDEX(Sheet4!A:A, ROW()-COUNTA(Sheet1!A:A)))</f>
        <v>Al46.9Cr15.3Fe20.2Co7.7Ni9.9</v>
      </c>
      <c r="B651" s="10">
        <f>_xlfn.XLOOKUP(A651, Sheet4!A:A, Sheet4!C:C)</f>
        <v>0</v>
      </c>
      <c r="C651" s="10">
        <v>-1</v>
      </c>
      <c r="D651" s="10">
        <f>_xlfn.XLOOKUP(A651, Sheet2!A:A, Sheet2!B:B)</f>
        <v>5.6239999999999997</v>
      </c>
      <c r="E651" s="10">
        <f>_xlfn.XLOOKUP(A651, Sheet1!A:A, Sheet1!G:G)</f>
        <v>-1</v>
      </c>
      <c r="F651" s="10">
        <f t="shared" si="10"/>
        <v>-1</v>
      </c>
      <c r="G651" cm="1">
        <f t="array" ref="G651:J651">_xlfn.XLOOKUP(A651, Sheet1!A:A, Sheet1!C:F)</f>
        <v>13</v>
      </c>
      <c r="H651">
        <v>11.7</v>
      </c>
      <c r="I651">
        <v>15.4</v>
      </c>
      <c r="J651">
        <v>16.7</v>
      </c>
    </row>
    <row r="652" spans="1:10" x14ac:dyDescent="0.3">
      <c r="A652" t="str" cm="1">
        <f t="array" ref="A652">IF(ROW()&lt;=COUNTA(Sheet1!A:A), INDEX(Sheet1!A:A, ROW()),
INDEX(Sheet4!A:A, ROW()-COUNTA(Sheet1!A:A)))</f>
        <v>Al46.945Cr15.265Fe20.238Co7.6552Ni9.8978</v>
      </c>
      <c r="B652" s="10">
        <f>_xlfn.XLOOKUP(A652, Sheet4!A:A, Sheet4!C:C)</f>
        <v>0</v>
      </c>
      <c r="C652" s="10">
        <v>-1</v>
      </c>
      <c r="D652" s="10">
        <f>_xlfn.XLOOKUP(A652, Sheet2!A:A, Sheet2!B:B)</f>
        <v>5.6219999999999999</v>
      </c>
      <c r="E652" s="10">
        <f>_xlfn.XLOOKUP(A652, Sheet1!A:A, Sheet1!G:G)</f>
        <v>-1</v>
      </c>
      <c r="F652" s="10">
        <f t="shared" si="10"/>
        <v>-1</v>
      </c>
      <c r="G652" cm="1">
        <f t="array" ref="G652:J652">_xlfn.XLOOKUP(A652, Sheet1!A:A, Sheet1!C:F)</f>
        <v>10.1</v>
      </c>
      <c r="H652">
        <v>14.5</v>
      </c>
      <c r="I652">
        <v>18.600000000000001</v>
      </c>
      <c r="J652">
        <v>12.8</v>
      </c>
    </row>
    <row r="653" spans="1:10" x14ac:dyDescent="0.3">
      <c r="A653" t="str" cm="1">
        <f t="array" ref="A653">IF(ROW()&lt;=COUNTA(Sheet1!A:A), INDEX(Sheet1!A:A, ROW()),
INDEX(Sheet4!A:A, ROW()-COUNTA(Sheet1!A:A)))</f>
        <v>Al47.507Cr14.498Fe18.909Co8.3443Ni10.742</v>
      </c>
      <c r="B653" s="10">
        <f>_xlfn.XLOOKUP(A653, Sheet4!A:A, Sheet4!C:C)</f>
        <v>0</v>
      </c>
      <c r="C653" s="10">
        <v>-1</v>
      </c>
      <c r="D653" s="10">
        <f>_xlfn.XLOOKUP(A653, Sheet2!A:A, Sheet2!B:B)</f>
        <v>5.633</v>
      </c>
      <c r="E653" s="10">
        <f>_xlfn.XLOOKUP(A653, Sheet1!A:A, Sheet1!G:G)</f>
        <v>-1</v>
      </c>
      <c r="F653" s="10">
        <f t="shared" si="10"/>
        <v>-1</v>
      </c>
      <c r="G653" cm="1">
        <f t="array" ref="G653:J653">_xlfn.XLOOKUP(A653, Sheet1!A:A, Sheet1!C:F)</f>
        <v>10.066000000000001</v>
      </c>
      <c r="H653">
        <v>14.475</v>
      </c>
      <c r="I653">
        <v>18.64</v>
      </c>
      <c r="J653">
        <v>12.757</v>
      </c>
    </row>
    <row r="654" spans="1:10" x14ac:dyDescent="0.3">
      <c r="A654" t="str" cm="1">
        <f t="array" ref="A654">IF(ROW()&lt;=COUNTA(Sheet1!A:A), INDEX(Sheet1!A:A, ROW()),
INDEX(Sheet4!A:A, ROW()-COUNTA(Sheet1!A:A)))</f>
        <v>Al47.5Cr14.5Fe18.9Co8.3Ni10.7</v>
      </c>
      <c r="B654" s="10">
        <f>_xlfn.XLOOKUP(A654, Sheet4!A:A, Sheet4!C:C)</f>
        <v>0</v>
      </c>
      <c r="C654" s="10">
        <v>-1</v>
      </c>
      <c r="D654" s="10">
        <f>_xlfn.XLOOKUP(A654, Sheet2!A:A, Sheet2!B:B)</f>
        <v>5.6295999999999999</v>
      </c>
      <c r="E654" s="10">
        <f>_xlfn.XLOOKUP(A654, Sheet1!A:A, Sheet1!G:G)</f>
        <v>-1</v>
      </c>
      <c r="F654" s="10">
        <f t="shared" si="10"/>
        <v>-1</v>
      </c>
      <c r="G654" cm="1">
        <f t="array" ref="G654:J654">_xlfn.XLOOKUP(A654, Sheet1!A:A, Sheet1!C:F)</f>
        <v>8.9</v>
      </c>
      <c r="H654">
        <v>15.3</v>
      </c>
      <c r="I654">
        <v>20.2</v>
      </c>
      <c r="J654">
        <v>11.5</v>
      </c>
    </row>
    <row r="655" spans="1:10" x14ac:dyDescent="0.3">
      <c r="A655" t="str" cm="1">
        <f t="array" ref="A655">IF(ROW()&lt;=COUNTA(Sheet1!A:A), INDEX(Sheet1!A:A, ROW()),
INDEX(Sheet4!A:A, ROW()-COUNTA(Sheet1!A:A)))</f>
        <v>Al48.83Cr13.338Fe17.483Co9.0438Ni11.306</v>
      </c>
      <c r="B655" s="10">
        <f>_xlfn.XLOOKUP(A655, Sheet4!A:A, Sheet4!C:C)</f>
        <v>0</v>
      </c>
      <c r="C655" s="10">
        <v>-1</v>
      </c>
      <c r="D655" s="10">
        <f>_xlfn.XLOOKUP(A655, Sheet2!A:A, Sheet2!B:B)</f>
        <v>5.6082999999999998</v>
      </c>
      <c r="E655" s="10">
        <f>_xlfn.XLOOKUP(A655, Sheet1!A:A, Sheet1!G:G)</f>
        <v>-1</v>
      </c>
      <c r="F655" s="10">
        <f t="shared" si="10"/>
        <v>-1</v>
      </c>
      <c r="G655" cm="1">
        <f t="array" ref="G655:J655">_xlfn.XLOOKUP(A655, Sheet1!A:A, Sheet1!C:F)</f>
        <v>8.89</v>
      </c>
      <c r="H655">
        <v>15.275</v>
      </c>
      <c r="I655">
        <v>20.196999999999999</v>
      </c>
      <c r="J655">
        <v>11.462</v>
      </c>
    </row>
    <row r="656" spans="1:10" x14ac:dyDescent="0.3">
      <c r="A656" t="str" cm="1">
        <f t="array" ref="A656">IF(ROW()&lt;=COUNTA(Sheet1!A:A), INDEX(Sheet1!A:A, ROW()),
INDEX(Sheet4!A:A, ROW()-COUNTA(Sheet1!A:A)))</f>
        <v>Al48.8Cr13.3Fe17.5Co9Ni11.3</v>
      </c>
      <c r="B656" s="10">
        <f>_xlfn.XLOOKUP(A656, Sheet4!A:A, Sheet4!C:C)</f>
        <v>0</v>
      </c>
      <c r="C656" s="10">
        <v>-1</v>
      </c>
      <c r="D656" s="10">
        <f>_xlfn.XLOOKUP(A656, Sheet2!A:A, Sheet2!B:B)</f>
        <v>5.6075999999999997</v>
      </c>
      <c r="E656" s="10">
        <f>_xlfn.XLOOKUP(A656, Sheet1!A:A, Sheet1!G:G)</f>
        <v>-1</v>
      </c>
      <c r="F656" s="10">
        <f t="shared" si="10"/>
        <v>-1</v>
      </c>
      <c r="G656" cm="1">
        <f t="array" ref="G656:J656">_xlfn.XLOOKUP(A656, Sheet1!A:A, Sheet1!C:F)</f>
        <v>7.3</v>
      </c>
      <c r="H656">
        <v>16.7</v>
      </c>
      <c r="I656">
        <v>21.9</v>
      </c>
      <c r="J656">
        <v>9.3000000000000007</v>
      </c>
    </row>
    <row r="657" spans="1:10" x14ac:dyDescent="0.3">
      <c r="A657" t="str" cm="1">
        <f t="array" ref="A657">IF(ROW()&lt;=COUNTA(Sheet1!A:A), INDEX(Sheet1!A:A, ROW()),
INDEX(Sheet4!A:A, ROW()-COUNTA(Sheet1!A:A)))</f>
        <v>Al18Cr30Fe10Co10Ni32</v>
      </c>
      <c r="B657" s="10" t="e">
        <f>_xlfn.XLOOKUP(A657, Sheet4!A:A, Sheet4!C:C)</f>
        <v>#N/A</v>
      </c>
      <c r="C657" s="10">
        <v>-1</v>
      </c>
      <c r="D657" s="10" t="e">
        <f>_xlfn.XLOOKUP(A657, Sheet2!A:A, Sheet2!B:B)</f>
        <v>#N/A</v>
      </c>
      <c r="E657" s="10">
        <f>_xlfn.XLOOKUP(A657, Sheet1!A:A, Sheet1!G:G)</f>
        <v>-1</v>
      </c>
      <c r="F657" s="10">
        <f t="shared" si="10"/>
        <v>-1</v>
      </c>
      <c r="G657" cm="1">
        <f t="array" ref="G657:J657">_xlfn.XLOOKUP(A657, Sheet1!A:A, Sheet1!C:F)</f>
        <v>7.3437999999999999</v>
      </c>
      <c r="H657">
        <v>16.684000000000001</v>
      </c>
      <c r="I657">
        <v>21.855</v>
      </c>
      <c r="J657">
        <v>9.2966999999999995</v>
      </c>
    </row>
    <row r="658" spans="1:10" x14ac:dyDescent="0.3">
      <c r="A658" t="str" cm="1">
        <f t="array" ref="A658">IF(ROW()&lt;=COUNTA(Sheet1!A:A), INDEX(Sheet1!A:A, ROW()),
INDEX(Sheet4!A:A, ROW()-COUNTA(Sheet1!A:A)))</f>
        <v>Al0.8CoCr0.6Fe0.7Ni1.5</v>
      </c>
      <c r="B658" s="10" t="e">
        <f>_xlfn.XLOOKUP(A658, Sheet4!A:A, Sheet4!C:C)</f>
        <v>#N/A</v>
      </c>
      <c r="C658" s="10">
        <v>-1</v>
      </c>
      <c r="D658" s="10" t="e">
        <f>_xlfn.XLOOKUP(A658, Sheet2!A:A, Sheet2!B:B)</f>
        <v>#N/A</v>
      </c>
      <c r="E658" s="10">
        <f>_xlfn.XLOOKUP(A658, Sheet1!A:A, Sheet1!G:G)</f>
        <v>-1</v>
      </c>
      <c r="F658" s="10">
        <f t="shared" si="10"/>
        <v>-1</v>
      </c>
      <c r="G658" cm="1">
        <f t="array" ref="G658:J658">_xlfn.XLOOKUP(A658, Sheet1!A:A, Sheet1!C:F)</f>
        <v>10.6</v>
      </c>
      <c r="H658">
        <v>13.3</v>
      </c>
      <c r="I658">
        <v>17.3</v>
      </c>
      <c r="J658">
        <v>13.5</v>
      </c>
    </row>
    <row r="659" spans="1:10" x14ac:dyDescent="0.3">
      <c r="A659" t="str" cm="1">
        <f t="array" ref="A659">IF(ROW()&lt;=COUNTA(Sheet1!A:A), INDEX(Sheet1!A:A, ROW()),
INDEX(Sheet4!A:A, ROW()-COUNTA(Sheet1!A:A)))</f>
        <v>AlCo1.25Cr1.25Ni2.25</v>
      </c>
      <c r="B659" s="10" t="e">
        <f>_xlfn.XLOOKUP(A659, Sheet4!A:A, Sheet4!C:C)</f>
        <v>#N/A</v>
      </c>
      <c r="C659" s="10">
        <v>-1</v>
      </c>
      <c r="D659" s="10" t="e">
        <f>_xlfn.XLOOKUP(A659, Sheet2!A:A, Sheet2!B:B)</f>
        <v>#N/A</v>
      </c>
      <c r="E659" s="10">
        <f>_xlfn.XLOOKUP(A659, Sheet1!A:A, Sheet1!G:G)</f>
        <v>-1</v>
      </c>
      <c r="F659" s="10">
        <f t="shared" si="10"/>
        <v>-1</v>
      </c>
      <c r="G659" cm="1">
        <f t="array" ref="G659:J659">_xlfn.XLOOKUP(A659, Sheet1!A:A, Sheet1!C:F)</f>
        <v>10.592000000000001</v>
      </c>
      <c r="H659">
        <v>13.282</v>
      </c>
      <c r="I659">
        <v>17.297999999999998</v>
      </c>
      <c r="J659">
        <v>13.526</v>
      </c>
    </row>
    <row r="660" spans="1:10" x14ac:dyDescent="0.3">
      <c r="A660" t="str" cm="1">
        <f t="array" ref="A660">IF(ROW()&lt;=COUNTA(Sheet1!A:A), INDEX(Sheet1!A:A, ROW()),
INDEX(Sheet4!A:A, ROW()-COUNTA(Sheet1!A:A)))</f>
        <v>Al0.95CoFeNi2.05</v>
      </c>
      <c r="B660" s="10" t="e">
        <f>_xlfn.XLOOKUP(A660, Sheet4!A:A, Sheet4!C:C)</f>
        <v>#N/A</v>
      </c>
      <c r="C660" s="10">
        <v>-1</v>
      </c>
      <c r="D660" s="10" t="e">
        <f>_xlfn.XLOOKUP(A660, Sheet2!A:A, Sheet2!B:B)</f>
        <v>#N/A</v>
      </c>
      <c r="E660" s="10">
        <f>_xlfn.XLOOKUP(A660, Sheet1!A:A, Sheet1!G:G)</f>
        <v>-1</v>
      </c>
      <c r="F660" s="10">
        <f t="shared" si="10"/>
        <v>-1</v>
      </c>
      <c r="G660" cm="1">
        <f t="array" ref="G660:J660">_xlfn.XLOOKUP(A660, Sheet1!A:A, Sheet1!C:F)</f>
        <v>11.4</v>
      </c>
      <c r="H660">
        <v>12.3</v>
      </c>
      <c r="I660">
        <v>15.9</v>
      </c>
      <c r="J660">
        <v>14.5</v>
      </c>
    </row>
    <row r="661" spans="1:10" x14ac:dyDescent="0.3">
      <c r="A661" t="str" cm="1">
        <f t="array" ref="A661">IF(ROW()&lt;=COUNTA(Sheet1!A:A), INDEX(Sheet1!A:A, ROW()),
INDEX(Sheet4!A:A, ROW()-COUNTA(Sheet1!A:A)))</f>
        <v>Al1.2CoCrFeNi2.8</v>
      </c>
      <c r="B661" s="10" t="e">
        <f>_xlfn.XLOOKUP(A661, Sheet4!A:A, Sheet4!C:C)</f>
        <v>#N/A</v>
      </c>
      <c r="C661" s="10">
        <v>-1</v>
      </c>
      <c r="D661" s="10" t="e">
        <f>_xlfn.XLOOKUP(A661, Sheet2!A:A, Sheet2!B:B)</f>
        <v>#N/A</v>
      </c>
      <c r="E661" s="10">
        <f>_xlfn.XLOOKUP(A661, Sheet1!A:A, Sheet1!G:G)</f>
        <v>-1</v>
      </c>
      <c r="F661" s="10">
        <f t="shared" si="10"/>
        <v>-1</v>
      </c>
      <c r="G661" cm="1">
        <f t="array" ref="G661:J661">_xlfn.XLOOKUP(A661, Sheet1!A:A, Sheet1!C:F)</f>
        <v>11.363</v>
      </c>
      <c r="H661">
        <v>12.314</v>
      </c>
      <c r="I661">
        <v>15.944000000000001</v>
      </c>
      <c r="J661">
        <v>14.455</v>
      </c>
    </row>
    <row r="662" spans="1:10" x14ac:dyDescent="0.3">
      <c r="A662" t="str" cm="1">
        <f t="array" ref="A662">IF(ROW()&lt;=COUNTA(Sheet1!A:A), INDEX(Sheet1!A:A, ROW()),
INDEX(Sheet4!A:A, ROW()-COUNTA(Sheet1!A:A)))</f>
        <v>Al1.2Co2CrFeNi1.8</v>
      </c>
      <c r="B662" s="10" t="e">
        <f>_xlfn.XLOOKUP(A662, Sheet4!A:A, Sheet4!C:C)</f>
        <v>#N/A</v>
      </c>
      <c r="C662" s="10">
        <v>-1</v>
      </c>
      <c r="D662" s="10" t="e">
        <f>_xlfn.XLOOKUP(A662, Sheet2!A:A, Sheet2!B:B)</f>
        <v>#N/A</v>
      </c>
      <c r="E662" s="10">
        <f>_xlfn.XLOOKUP(A662, Sheet1!A:A, Sheet1!G:G)</f>
        <v>-1</v>
      </c>
      <c r="F662" s="10">
        <f t="shared" si="10"/>
        <v>-1</v>
      </c>
      <c r="G662" cm="1">
        <f t="array" ref="G662:J662">_xlfn.XLOOKUP(A662, Sheet1!A:A, Sheet1!C:F)</f>
        <v>7.7</v>
      </c>
      <c r="H662">
        <v>15.3</v>
      </c>
      <c r="I662">
        <v>20.2</v>
      </c>
      <c r="J662">
        <v>9.9</v>
      </c>
    </row>
    <row r="663" spans="1:10" x14ac:dyDescent="0.3">
      <c r="A663" t="str" cm="1">
        <f t="array" ref="A663">IF(ROW()&lt;=COUNTA(Sheet1!A:A), INDEX(Sheet1!A:A, ROW()),
INDEX(Sheet4!A:A, ROW()-COUNTA(Sheet1!A:A)))</f>
        <v>Al1.8Co3CrFeNi3.2</v>
      </c>
      <c r="B663" s="10" t="e">
        <f>_xlfn.XLOOKUP(A663, Sheet4!A:A, Sheet4!C:C)</f>
        <v>#N/A</v>
      </c>
      <c r="C663" s="10">
        <v>-1</v>
      </c>
      <c r="D663" s="10" t="e">
        <f>_xlfn.XLOOKUP(A663, Sheet2!A:A, Sheet2!B:B)</f>
        <v>#N/A</v>
      </c>
      <c r="E663" s="10">
        <f>_xlfn.XLOOKUP(A663, Sheet1!A:A, Sheet1!G:G)</f>
        <v>-1</v>
      </c>
      <c r="F663" s="10">
        <f t="shared" si="10"/>
        <v>-1</v>
      </c>
      <c r="G663" cm="1">
        <f t="array" ref="G663:J663">_xlfn.XLOOKUP(A663, Sheet1!A:A, Sheet1!C:F)</f>
        <v>7.6551999999999998</v>
      </c>
      <c r="H663">
        <v>15.265000000000001</v>
      </c>
      <c r="I663">
        <v>20.238</v>
      </c>
      <c r="J663">
        <v>9.8978000000000002</v>
      </c>
    </row>
    <row r="664" spans="1:10" x14ac:dyDescent="0.3">
      <c r="A664" t="str" cm="1">
        <f t="array" ref="A664">IF(ROW()&lt;=COUNTA(Sheet1!A:A), INDEX(Sheet1!A:A, ROW()),
INDEX(Sheet4!A:A, ROW()-COUNTA(Sheet1!A:A)))</f>
        <v>Al.09CoCrNi2.1</v>
      </c>
      <c r="B664" s="10" t="e">
        <f>_xlfn.XLOOKUP(A664, Sheet4!A:A, Sheet4!C:C)</f>
        <v>#N/A</v>
      </c>
      <c r="C664" s="10">
        <v>-1</v>
      </c>
      <c r="D664" s="10" t="e">
        <f>_xlfn.XLOOKUP(A664, Sheet2!A:A, Sheet2!B:B)</f>
        <v>#N/A</v>
      </c>
      <c r="E664" s="10">
        <f>_xlfn.XLOOKUP(A664, Sheet1!A:A, Sheet1!G:G)</f>
        <v>-1</v>
      </c>
      <c r="F664" s="10">
        <f t="shared" si="10"/>
        <v>-1</v>
      </c>
      <c r="G664" cm="1">
        <f t="array" ref="G664:J664">_xlfn.XLOOKUP(A664, Sheet1!A:A, Sheet1!C:F)</f>
        <v>8.3443000000000005</v>
      </c>
      <c r="H664">
        <v>14.497999999999999</v>
      </c>
      <c r="I664">
        <v>18.908999999999999</v>
      </c>
      <c r="J664">
        <v>10.742000000000001</v>
      </c>
    </row>
    <row r="665" spans="1:10" x14ac:dyDescent="0.3">
      <c r="A665" t="str" cm="1">
        <f t="array" ref="A665">IF(ROW()&lt;=COUNTA(Sheet1!A:A), INDEX(Sheet1!A:A, ROW()),
INDEX(Sheet4!A:A, ROW()-COUNTA(Sheet1!A:A)))</f>
        <v>Al19Co20.7Fe20.7Ni39.6</v>
      </c>
      <c r="B665" s="10" t="e">
        <f>_xlfn.XLOOKUP(A665, Sheet4!A:A, Sheet4!C:C)</f>
        <v>#N/A</v>
      </c>
      <c r="C665" s="10">
        <v>-1</v>
      </c>
      <c r="D665" s="10" t="e">
        <f>_xlfn.XLOOKUP(A665, Sheet2!A:A, Sheet2!B:B)</f>
        <v>#N/A</v>
      </c>
      <c r="E665" s="10">
        <f>_xlfn.XLOOKUP(A665, Sheet1!A:A, Sheet1!G:G)</f>
        <v>-1</v>
      </c>
      <c r="F665" s="10">
        <f t="shared" si="10"/>
        <v>-1</v>
      </c>
      <c r="G665" cm="1">
        <f t="array" ref="G665:J665">_xlfn.XLOOKUP(A665, Sheet1!A:A, Sheet1!C:F)</f>
        <v>8.3000000000000007</v>
      </c>
      <c r="H665">
        <v>14.5</v>
      </c>
      <c r="I665">
        <v>18.899999999999999</v>
      </c>
      <c r="J665">
        <v>10.7</v>
      </c>
    </row>
    <row r="666" spans="1:10" x14ac:dyDescent="0.3">
      <c r="A666" t="str" cm="1">
        <f t="array" ref="A666">IF(ROW()&lt;=COUNTA(Sheet1!A:A), INDEX(Sheet1!A:A, ROW()),
INDEX(Sheet4!A:A, ROW()-COUNTA(Sheet1!A:A)))</f>
        <v>Al1.00Co1.05Fe1.05Ni2.16</v>
      </c>
      <c r="B666" s="10" t="e">
        <f>_xlfn.XLOOKUP(A666, Sheet4!A:A, Sheet4!C:C)</f>
        <v>#N/A</v>
      </c>
      <c r="C666" s="10">
        <v>-1</v>
      </c>
      <c r="D666" s="10" t="e">
        <f>_xlfn.XLOOKUP(A666, Sheet2!A:A, Sheet2!B:B)</f>
        <v>#N/A</v>
      </c>
      <c r="E666" s="10">
        <f>_xlfn.XLOOKUP(A666, Sheet1!A:A, Sheet1!G:G)</f>
        <v>-1</v>
      </c>
      <c r="F666" s="10">
        <f t="shared" si="10"/>
        <v>-1</v>
      </c>
      <c r="G666" cm="1">
        <f t="array" ref="G666:J666">_xlfn.XLOOKUP(A666, Sheet1!A:A, Sheet1!C:F)</f>
        <v>9.0437999999999992</v>
      </c>
      <c r="H666">
        <v>13.337999999999999</v>
      </c>
      <c r="I666">
        <v>17.483000000000001</v>
      </c>
      <c r="J666">
        <v>11.305999999999999</v>
      </c>
    </row>
    <row r="667" spans="1:10" x14ac:dyDescent="0.3">
      <c r="A667" t="str" cm="1">
        <f t="array" ref="A667">IF(ROW()&lt;=COUNTA(Sheet1!A:A), INDEX(Sheet1!A:A, ROW()),
INDEX(Sheet4!A:A, ROW()-COUNTA(Sheet1!A:A)))</f>
        <v>Al1.27Co1.00Cr1.00Ni3.40</v>
      </c>
      <c r="B667" s="10" t="e">
        <f>_xlfn.XLOOKUP(A667, Sheet4!A:A, Sheet4!C:C)</f>
        <v>#N/A</v>
      </c>
      <c r="C667" s="10">
        <v>-1</v>
      </c>
      <c r="D667" s="10" t="e">
        <f>_xlfn.XLOOKUP(A667, Sheet2!A:A, Sheet2!B:B)</f>
        <v>#N/A</v>
      </c>
      <c r="E667" s="10">
        <f>_xlfn.XLOOKUP(A667, Sheet1!A:A, Sheet1!G:G)</f>
        <v>-1</v>
      </c>
      <c r="F667" s="10">
        <f t="shared" si="10"/>
        <v>-1</v>
      </c>
      <c r="G667" cm="1">
        <f t="array" ref="G667:J667">_xlfn.XLOOKUP(A667, Sheet1!A:A, Sheet1!C:F)</f>
        <v>9</v>
      </c>
      <c r="H667">
        <v>13.3</v>
      </c>
      <c r="I667">
        <v>17.5</v>
      </c>
      <c r="J667">
        <v>11.3</v>
      </c>
    </row>
    <row r="668" spans="1:10" x14ac:dyDescent="0.3">
      <c r="A668" t="str" cm="1">
        <f t="array" ref="A668">IF(ROW()&lt;=COUNTA(Sheet1!A:A), INDEX(Sheet1!A:A, ROW()),
INDEX(Sheet4!A:A, ROW()-COUNTA(Sheet1!A:A)))</f>
        <v>Al1.00Co1.25Cr1.25Ni2.25</v>
      </c>
      <c r="B668" s="10" t="e">
        <f>_xlfn.XLOOKUP(A668, Sheet4!A:A, Sheet4!C:C)</f>
        <v>#N/A</v>
      </c>
      <c r="C668" s="10">
        <v>-1</v>
      </c>
      <c r="D668" s="10" t="e">
        <f>_xlfn.XLOOKUP(A668, Sheet2!A:A, Sheet2!B:B)</f>
        <v>#N/A</v>
      </c>
      <c r="E668" s="10">
        <f>_xlfn.XLOOKUP(A668, Sheet1!A:A, Sheet1!G:G)</f>
        <v>1</v>
      </c>
      <c r="F668" s="10">
        <f t="shared" si="10"/>
        <v>1</v>
      </c>
      <c r="G668" cm="1">
        <f t="array" ref="G668:J668">_xlfn.XLOOKUP(A668, Sheet1!A:A, Sheet1!C:F)</f>
        <v>0</v>
      </c>
      <c r="H668">
        <v>0</v>
      </c>
      <c r="I668">
        <v>0</v>
      </c>
      <c r="J668">
        <v>0</v>
      </c>
    </row>
    <row r="669" spans="1:10" x14ac:dyDescent="0.3">
      <c r="A669" t="str" cm="1">
        <f t="array" ref="A669">IF(ROW()&lt;=COUNTA(Sheet1!A:A), INDEX(Sheet1!A:A, ROW()),
INDEX(Sheet4!A:A, ROW()-COUNTA(Sheet1!A:A)))</f>
        <v>Al1.00Co2.41Cr1.42Ni1.42</v>
      </c>
      <c r="B669" s="10" t="e">
        <f>_xlfn.XLOOKUP(A669, Sheet4!A:A, Sheet4!C:C)</f>
        <v>#N/A</v>
      </c>
      <c r="C669" s="10">
        <v>-1</v>
      </c>
      <c r="D669" s="10" t="e">
        <f>_xlfn.XLOOKUP(A669, Sheet2!A:A, Sheet2!B:B)</f>
        <v>#N/A</v>
      </c>
      <c r="E669" s="10">
        <f>_xlfn.XLOOKUP(A669, Sheet1!A:A, Sheet1!G:G)</f>
        <v>1</v>
      </c>
      <c r="F669" s="10">
        <f t="shared" si="10"/>
        <v>1</v>
      </c>
      <c r="G669" cm="1">
        <f t="array" ref="G669:J669">_xlfn.XLOOKUP(A669, Sheet1!A:A, Sheet1!C:F)</f>
        <v>0</v>
      </c>
      <c r="H669">
        <v>0</v>
      </c>
      <c r="I669">
        <v>0</v>
      </c>
      <c r="J669">
        <v>0</v>
      </c>
    </row>
    <row r="670" spans="1:10" x14ac:dyDescent="0.3">
      <c r="A670" t="str" cm="1">
        <f t="array" ref="A670">IF(ROW()&lt;=COUNTA(Sheet1!A:A), INDEX(Sheet1!A:A, ROW()),
INDEX(Sheet4!A:A, ROW()-COUNTA(Sheet1!A:A)))</f>
        <v>Al1.00Cr1.25Fe1.25Ni2.75</v>
      </c>
      <c r="B670" s="10" t="e">
        <f>_xlfn.XLOOKUP(A670, Sheet4!A:A, Sheet4!C:C)</f>
        <v>#N/A</v>
      </c>
      <c r="C670" s="10">
        <v>-1</v>
      </c>
      <c r="D670" s="10" t="e">
        <f>_xlfn.XLOOKUP(A670, Sheet2!A:A, Sheet2!B:B)</f>
        <v>#N/A</v>
      </c>
      <c r="E670" s="10">
        <f>_xlfn.XLOOKUP(A670, Sheet1!A:A, Sheet1!G:G)</f>
        <v>1</v>
      </c>
      <c r="F670" s="10">
        <f t="shared" si="10"/>
        <v>1</v>
      </c>
      <c r="G670" cm="1">
        <f t="array" ref="G670:J670">_xlfn.XLOOKUP(A670, Sheet1!A:A, Sheet1!C:F)</f>
        <v>0</v>
      </c>
      <c r="H670">
        <v>0</v>
      </c>
      <c r="I670">
        <v>0</v>
      </c>
      <c r="J670">
        <v>0</v>
      </c>
    </row>
    <row r="671" spans="1:10" x14ac:dyDescent="0.3">
      <c r="A671" t="str" cm="1">
        <f t="array" ref="A671">IF(ROW()&lt;=COUNTA(Sheet1!A:A), INDEX(Sheet1!A:A, ROW()),
INDEX(Sheet4!A:A, ROW()-COUNTA(Sheet1!A:A)))</f>
        <v>Al1.80Co3.00Cr1.00Fe1.00Ni3.20</v>
      </c>
      <c r="B671" s="10" t="e">
        <f>_xlfn.XLOOKUP(A671, Sheet4!A:A, Sheet4!C:C)</f>
        <v>#N/A</v>
      </c>
      <c r="C671" s="10">
        <v>-1</v>
      </c>
      <c r="D671" s="10" t="e">
        <f>_xlfn.XLOOKUP(A671, Sheet2!A:A, Sheet2!B:B)</f>
        <v>#N/A</v>
      </c>
      <c r="E671" s="10">
        <f>_xlfn.XLOOKUP(A671, Sheet1!A:A, Sheet1!G:G)</f>
        <v>1</v>
      </c>
      <c r="F671" s="10">
        <f t="shared" si="10"/>
        <v>1</v>
      </c>
      <c r="G671" cm="1">
        <f t="array" ref="G671:J671">_xlfn.XLOOKUP(A671, Sheet1!A:A, Sheet1!C:F)</f>
        <v>0</v>
      </c>
      <c r="H671">
        <v>0</v>
      </c>
      <c r="I671">
        <v>0</v>
      </c>
      <c r="J671">
        <v>0</v>
      </c>
    </row>
    <row r="672" spans="1:10" x14ac:dyDescent="0.3">
      <c r="A672" t="str" cm="1">
        <f t="array" ref="A672">IF(ROW()&lt;=COUNTA(Sheet1!A:A), INDEX(Sheet1!A:A, ROW()),
INDEX(Sheet4!A:A, ROW()-COUNTA(Sheet1!A:A)))</f>
        <v>Al1.00Co1.00Cr1.00Fe1.00Ni2.10</v>
      </c>
      <c r="B672" s="10" t="e">
        <f>_xlfn.XLOOKUP(A672, Sheet4!A:A, Sheet4!C:C)</f>
        <v>#N/A</v>
      </c>
      <c r="C672" s="10">
        <v>-1</v>
      </c>
      <c r="D672" s="10" t="e">
        <f>_xlfn.XLOOKUP(A672, Sheet2!A:A, Sheet2!B:B)</f>
        <v>#N/A</v>
      </c>
      <c r="E672" s="10">
        <f>_xlfn.XLOOKUP(A672, Sheet1!A:A, Sheet1!G:G)</f>
        <v>1</v>
      </c>
      <c r="F672" s="10">
        <f t="shared" si="10"/>
        <v>1</v>
      </c>
      <c r="G672" cm="1">
        <f t="array" ref="G672:J672">_xlfn.XLOOKUP(A672, Sheet1!A:A, Sheet1!C:F)</f>
        <v>0</v>
      </c>
      <c r="H672">
        <v>0</v>
      </c>
      <c r="I672">
        <v>0</v>
      </c>
      <c r="J672">
        <v>0</v>
      </c>
    </row>
    <row r="673" spans="1:10" x14ac:dyDescent="0.3">
      <c r="A673" t="str" cm="1">
        <f t="array" ref="A673">IF(ROW()&lt;=COUNTA(Sheet1!A:A), INDEX(Sheet1!A:A, ROW()),
INDEX(Sheet4!A:A, ROW()-COUNTA(Sheet1!A:A)))</f>
        <v>Al1.19Co2.00Cr1.00Fe1.00Ni1.80</v>
      </c>
      <c r="B673" s="10" t="e">
        <f>_xlfn.XLOOKUP(A673, Sheet4!A:A, Sheet4!C:C)</f>
        <v>#N/A</v>
      </c>
      <c r="C673" s="10">
        <v>-1</v>
      </c>
      <c r="D673" s="10" t="e">
        <f>_xlfn.XLOOKUP(A673, Sheet2!A:A, Sheet2!B:B)</f>
        <v>#N/A</v>
      </c>
      <c r="E673" s="10">
        <f>_xlfn.XLOOKUP(A673, Sheet1!A:A, Sheet1!G:G)</f>
        <v>1</v>
      </c>
      <c r="F673" s="10">
        <f t="shared" si="10"/>
        <v>1</v>
      </c>
      <c r="G673" cm="1">
        <f t="array" ref="G673:J673">_xlfn.XLOOKUP(A673, Sheet1!A:A, Sheet1!C:F)</f>
        <v>0</v>
      </c>
      <c r="H673">
        <v>0</v>
      </c>
      <c r="I673">
        <v>0</v>
      </c>
      <c r="J673">
        <v>0</v>
      </c>
    </row>
    <row r="674" spans="1:10" x14ac:dyDescent="0.3">
      <c r="A674" t="str" cm="1">
        <f t="array" ref="A674">IF(ROW()&lt;=COUNTA(Sheet1!A:A), INDEX(Sheet1!A:A, ROW()),
INDEX(Sheet4!A:A, ROW()-COUNTA(Sheet1!A:A)))</f>
        <v>Al1.19Co1.00Cr1.00Fe2.00Ni1.80</v>
      </c>
      <c r="B674" s="10" t="e">
        <f>_xlfn.XLOOKUP(A674, Sheet4!A:A, Sheet4!C:C)</f>
        <v>#N/A</v>
      </c>
      <c r="C674" s="10">
        <v>-1</v>
      </c>
      <c r="D674" s="10" t="e">
        <f>_xlfn.XLOOKUP(A674, Sheet2!A:A, Sheet2!B:B)</f>
        <v>#N/A</v>
      </c>
      <c r="E674" s="10">
        <f>_xlfn.XLOOKUP(A674, Sheet1!A:A, Sheet1!G:G)</f>
        <v>1</v>
      </c>
      <c r="F674" s="10">
        <f t="shared" si="10"/>
        <v>1</v>
      </c>
      <c r="G674" cm="1">
        <f t="array" ref="G674:J674">_xlfn.XLOOKUP(A674, Sheet1!A:A, Sheet1!C:F)</f>
        <v>0</v>
      </c>
      <c r="H674">
        <v>0</v>
      </c>
      <c r="I674">
        <v>0</v>
      </c>
      <c r="J674">
        <v>0</v>
      </c>
    </row>
    <row r="675" spans="1:10" x14ac:dyDescent="0.3">
      <c r="A675" t="str" cm="1">
        <f t="array" ref="A675">IF(ROW()&lt;=COUNTA(Sheet1!A:A), INDEX(Sheet1!A:A, ROW()),
INDEX(Sheet4!A:A, ROW()-COUNTA(Sheet1!A:A)))</f>
        <v>Al1.19Co1.00Cr1.00Fe1.00Ni2.81</v>
      </c>
      <c r="B675" s="10" t="e">
        <f>_xlfn.XLOOKUP(A675, Sheet4!A:A, Sheet4!C:C)</f>
        <v>#N/A</v>
      </c>
      <c r="C675" s="10">
        <v>-1</v>
      </c>
      <c r="D675" s="10" t="e">
        <f>_xlfn.XLOOKUP(A675, Sheet2!A:A, Sheet2!B:B)</f>
        <v>#N/A</v>
      </c>
      <c r="E675" s="10">
        <f>_xlfn.XLOOKUP(A675, Sheet1!A:A, Sheet1!G:G)</f>
        <v>1</v>
      </c>
      <c r="F675" s="10">
        <f t="shared" si="10"/>
        <v>1</v>
      </c>
      <c r="G675" cm="1">
        <f t="array" ref="G675:J675">_xlfn.XLOOKUP(A675, Sheet1!A:A, Sheet1!C:F)</f>
        <v>0</v>
      </c>
      <c r="H675">
        <v>0</v>
      </c>
      <c r="I675">
        <v>0</v>
      </c>
      <c r="J675">
        <v>0</v>
      </c>
    </row>
    <row r="676" spans="1:10" x14ac:dyDescent="0.3">
      <c r="A676" t="str" cm="1">
        <f t="array" ref="A676">IF(ROW()&lt;=COUNTA(Sheet1!A:A), INDEX(Sheet1!A:A, ROW()),
INDEX(Sheet4!A:A, ROW()-COUNTA(Sheet1!A:A)))</f>
        <v>Al1.00Co1.67Fe1.11Ni1.78</v>
      </c>
      <c r="B676" s="10" t="e">
        <f>_xlfn.XLOOKUP(A676, Sheet4!A:A, Sheet4!C:C)</f>
        <v>#N/A</v>
      </c>
      <c r="C676" s="10">
        <v>-1</v>
      </c>
      <c r="D676" s="10" t="e">
        <f>_xlfn.XLOOKUP(A676, Sheet2!A:A, Sheet2!B:B)</f>
        <v>#N/A</v>
      </c>
      <c r="E676" s="10">
        <f>_xlfn.XLOOKUP(A676, Sheet1!A:A, Sheet1!G:G)</f>
        <v>1</v>
      </c>
      <c r="F676" s="10">
        <f t="shared" si="10"/>
        <v>1</v>
      </c>
      <c r="G676" cm="1">
        <f t="array" ref="G676:J676">_xlfn.XLOOKUP(A676, Sheet1!A:A, Sheet1!C:F)</f>
        <v>0</v>
      </c>
      <c r="H676">
        <v>0</v>
      </c>
      <c r="I676">
        <v>0</v>
      </c>
      <c r="J676">
        <v>0</v>
      </c>
    </row>
    <row r="677" spans="1:10" x14ac:dyDescent="0.3">
      <c r="A677" t="str" cm="1">
        <f t="array" ref="A677">IF(ROW()&lt;=COUNTA(Sheet1!A:A), INDEX(Sheet1!A:A, ROW()),
INDEX(Sheet4!A:A, ROW()-COUNTA(Sheet1!A:A)))</f>
        <v>Al1.00Co1.52Fe1.52Ni1.52</v>
      </c>
      <c r="B677" s="10" t="e">
        <f>_xlfn.XLOOKUP(A677, Sheet4!A:A, Sheet4!C:C)</f>
        <v>#N/A</v>
      </c>
      <c r="C677" s="10">
        <v>-1</v>
      </c>
      <c r="D677" s="10" t="e">
        <f>_xlfn.XLOOKUP(A677, Sheet2!A:A, Sheet2!B:B)</f>
        <v>#N/A</v>
      </c>
      <c r="E677" s="10">
        <f>_xlfn.XLOOKUP(A677, Sheet1!A:A, Sheet1!G:G)</f>
        <v>1</v>
      </c>
      <c r="F677" s="10">
        <f t="shared" si="10"/>
        <v>1</v>
      </c>
      <c r="G677" cm="1">
        <f t="array" ref="G677:J677">_xlfn.XLOOKUP(A677, Sheet1!A:A, Sheet1!C:F)</f>
        <v>0</v>
      </c>
      <c r="H677">
        <v>0</v>
      </c>
      <c r="I677">
        <v>0</v>
      </c>
      <c r="J677">
        <v>0</v>
      </c>
    </row>
    <row r="678" spans="1:10" x14ac:dyDescent="0.3">
      <c r="A678" t="str" cm="1">
        <f t="array" ref="A678">IF(ROW()&lt;=COUNTA(Sheet1!A:A), INDEX(Sheet1!A:A, ROW()),
INDEX(Sheet4!A:A, ROW()-COUNTA(Sheet1!A:A)))</f>
        <v>Al1.80Co3.00Cr1.00Fe1.00Ni3.00</v>
      </c>
      <c r="B678" s="10" t="e">
        <f>_xlfn.XLOOKUP(A678, Sheet4!A:A, Sheet4!C:C)</f>
        <v>#N/A</v>
      </c>
      <c r="C678" s="10">
        <v>-1</v>
      </c>
      <c r="D678" s="10" t="e">
        <f>_xlfn.XLOOKUP(A678, Sheet2!A:A, Sheet2!B:B)</f>
        <v>#N/A</v>
      </c>
      <c r="E678" s="10">
        <f>_xlfn.XLOOKUP(A678, Sheet1!A:A, Sheet1!G:G)</f>
        <v>1</v>
      </c>
      <c r="F678" s="10">
        <f t="shared" si="10"/>
        <v>1</v>
      </c>
      <c r="G678" cm="1">
        <f t="array" ref="G678:J678">_xlfn.XLOOKUP(A678, Sheet1!A:A, Sheet1!C:F)</f>
        <v>0</v>
      </c>
      <c r="H678">
        <v>0</v>
      </c>
      <c r="I678">
        <v>0</v>
      </c>
      <c r="J678">
        <v>0</v>
      </c>
    </row>
    <row r="679" spans="1:10" x14ac:dyDescent="0.3">
      <c r="A679" t="str" cm="1">
        <f t="array" ref="A679">IF(ROW()&lt;=COUNTA(Sheet1!A:A), INDEX(Sheet1!A:A, ROW()),
INDEX(Sheet4!A:A, ROW()-COUNTA(Sheet1!A:A)))</f>
        <v>Al1.80Co2.40Cr1.00Fe1.00Ni3.60</v>
      </c>
      <c r="B679" s="10" t="e">
        <f>_xlfn.XLOOKUP(A679, Sheet4!A:A, Sheet4!C:C)</f>
        <v>#N/A</v>
      </c>
      <c r="C679" s="10">
        <v>-1</v>
      </c>
      <c r="D679" s="10" t="e">
        <f>_xlfn.XLOOKUP(A679, Sheet2!A:A, Sheet2!B:B)</f>
        <v>#N/A</v>
      </c>
      <c r="E679" s="10">
        <f>_xlfn.XLOOKUP(A679, Sheet1!A:A, Sheet1!G:G)</f>
        <v>1</v>
      </c>
      <c r="F679" s="10">
        <f t="shared" si="10"/>
        <v>1</v>
      </c>
      <c r="G679" cm="1">
        <f t="array" ref="G679:J679">_xlfn.XLOOKUP(A679, Sheet1!A:A, Sheet1!C:F)</f>
        <v>0</v>
      </c>
      <c r="H679">
        <v>0</v>
      </c>
      <c r="I679">
        <v>0</v>
      </c>
      <c r="J679">
        <v>0</v>
      </c>
    </row>
    <row r="680" spans="1:10" x14ac:dyDescent="0.3">
      <c r="A680" t="str" cm="1">
        <f t="array" ref="A680">IF(ROW()&lt;=COUNTA(Sheet1!A:A), INDEX(Sheet1!A:A, ROW()),
INDEX(Sheet4!A:A, ROW()-COUNTA(Sheet1!A:A)))</f>
        <v>Al1.80Co2.00Cr1.00Fe1.00Ni4.00</v>
      </c>
      <c r="B680" s="10" t="e">
        <f>_xlfn.XLOOKUP(A680, Sheet4!A:A, Sheet4!C:C)</f>
        <v>#N/A</v>
      </c>
      <c r="C680" s="10">
        <v>-1</v>
      </c>
      <c r="D680" s="10" t="e">
        <f>_xlfn.XLOOKUP(A680, Sheet2!A:A, Sheet2!B:B)</f>
        <v>#N/A</v>
      </c>
      <c r="E680" s="10">
        <f>_xlfn.XLOOKUP(A680, Sheet1!A:A, Sheet1!G:G)</f>
        <v>1</v>
      </c>
      <c r="F680" s="10">
        <f t="shared" si="10"/>
        <v>1</v>
      </c>
      <c r="G680" cm="1">
        <f t="array" ref="G680:J680">_xlfn.XLOOKUP(A680, Sheet1!A:A, Sheet1!C:F)</f>
        <v>0</v>
      </c>
      <c r="H680">
        <v>0</v>
      </c>
      <c r="I680">
        <v>0</v>
      </c>
      <c r="J680">
        <v>0</v>
      </c>
    </row>
    <row r="681" spans="1:10" x14ac:dyDescent="0.3">
      <c r="A681" t="str" cm="1">
        <f t="array" ref="A681">IF(ROW()&lt;=COUNTA(Sheet1!A:A), INDEX(Sheet1!A:A, ROW()),
INDEX(Sheet4!A:A, ROW()-COUNTA(Sheet1!A:A)))</f>
        <v>Al1.60Co4.10Cr1.50Fe1.00Ni1.80</v>
      </c>
      <c r="B681" s="10" t="e">
        <f>_xlfn.XLOOKUP(A681, Sheet4!A:A, Sheet4!C:C)</f>
        <v>#N/A</v>
      </c>
      <c r="C681" s="10">
        <v>-1</v>
      </c>
      <c r="D681" s="10" t="e">
        <f>_xlfn.XLOOKUP(A681, Sheet2!A:A, Sheet2!B:B)</f>
        <v>#N/A</v>
      </c>
      <c r="E681" s="10">
        <f>_xlfn.XLOOKUP(A681, Sheet1!A:A, Sheet1!G:G)</f>
        <v>1</v>
      </c>
      <c r="F681" s="10">
        <f t="shared" si="10"/>
        <v>1</v>
      </c>
      <c r="G681" cm="1">
        <f t="array" ref="G681:J681">_xlfn.XLOOKUP(A681, Sheet1!A:A, Sheet1!C:F)</f>
        <v>0</v>
      </c>
      <c r="H681">
        <v>0</v>
      </c>
      <c r="I681">
        <v>0</v>
      </c>
      <c r="J681">
        <v>0</v>
      </c>
    </row>
    <row r="682" spans="1:10" x14ac:dyDescent="0.3">
      <c r="A682" t="str" cm="1">
        <f t="array" ref="A682">IF(ROW()&lt;=COUNTA(Sheet1!A:A), INDEX(Sheet1!A:A, ROW()),
INDEX(Sheet4!A:A, ROW()-COUNTA(Sheet1!A:A)))</f>
        <v>Al1.26Co1.00Cr1.26Fe1.26Ni2.91</v>
      </c>
      <c r="B682" s="10" t="e">
        <f>_xlfn.XLOOKUP(A682, Sheet4!A:A, Sheet4!C:C)</f>
        <v>#N/A</v>
      </c>
      <c r="C682" s="10">
        <v>-1</v>
      </c>
      <c r="D682" s="10" t="e">
        <f>_xlfn.XLOOKUP(A682, Sheet2!A:A, Sheet2!B:B)</f>
        <v>#N/A</v>
      </c>
      <c r="E682" s="10">
        <f>_xlfn.XLOOKUP(A682, Sheet1!A:A, Sheet1!G:G)</f>
        <v>1</v>
      </c>
      <c r="F682" s="10">
        <f t="shared" si="10"/>
        <v>1</v>
      </c>
      <c r="G682" cm="1">
        <f t="array" ref="G682:J682">_xlfn.XLOOKUP(A682, Sheet1!A:A, Sheet1!C:F)</f>
        <v>0</v>
      </c>
      <c r="H682">
        <v>0</v>
      </c>
      <c r="I682">
        <v>0</v>
      </c>
      <c r="J682">
        <v>0</v>
      </c>
    </row>
    <row r="683" spans="1:10" x14ac:dyDescent="0.3">
      <c r="A683" t="str" cm="1">
        <f t="array" ref="A683">IF(ROW()&lt;=COUNTA(Sheet1!A:A), INDEX(Sheet1!A:A, ROW()),
INDEX(Sheet4!A:A, ROW()-COUNTA(Sheet1!A:A)))</f>
        <v>Al1.00Co1.20Cr1.00Fe1.00Ni1.90</v>
      </c>
      <c r="B683" s="10" t="e">
        <f>_xlfn.XLOOKUP(A683, Sheet4!A:A, Sheet4!C:C)</f>
        <v>#N/A</v>
      </c>
      <c r="C683" s="10">
        <v>-1</v>
      </c>
      <c r="D683" s="10" t="e">
        <f>_xlfn.XLOOKUP(A683, Sheet2!A:A, Sheet2!B:B)</f>
        <v>#N/A</v>
      </c>
      <c r="E683" s="10">
        <f>_xlfn.XLOOKUP(A683, Sheet1!A:A, Sheet1!G:G)</f>
        <v>1</v>
      </c>
      <c r="F683" s="10">
        <f t="shared" si="10"/>
        <v>1</v>
      </c>
      <c r="G683" cm="1">
        <f t="array" ref="G683:J683">_xlfn.XLOOKUP(A683, Sheet1!A:A, Sheet1!C:F)</f>
        <v>0</v>
      </c>
      <c r="H683">
        <v>0</v>
      </c>
      <c r="I683">
        <v>0</v>
      </c>
      <c r="J683">
        <v>0</v>
      </c>
    </row>
    <row r="684" spans="1:10" x14ac:dyDescent="0.3">
      <c r="A684" t="str" cm="1">
        <f t="array" ref="A684">IF(ROW()&lt;=COUNTA(Sheet1!A:A), INDEX(Sheet1!A:A, ROW()),
INDEX(Sheet4!A:A, ROW()-COUNTA(Sheet1!A:A)))</f>
        <v>Al1.26Co1.26Cr1.52Fe1.00Ni2.65</v>
      </c>
      <c r="B684" s="10" t="e">
        <f>_xlfn.XLOOKUP(A684, Sheet4!A:A, Sheet4!C:C)</f>
        <v>#N/A</v>
      </c>
      <c r="C684" s="10">
        <v>-1</v>
      </c>
      <c r="D684" s="10" t="e">
        <f>_xlfn.XLOOKUP(A684, Sheet2!A:A, Sheet2!B:B)</f>
        <v>#N/A</v>
      </c>
      <c r="E684" s="10">
        <f>_xlfn.XLOOKUP(A684, Sheet1!A:A, Sheet1!G:G)</f>
        <v>1</v>
      </c>
      <c r="F684" s="10">
        <f t="shared" si="10"/>
        <v>1</v>
      </c>
      <c r="G684" cm="1">
        <f t="array" ref="G684:J684">_xlfn.XLOOKUP(A684, Sheet1!A:A, Sheet1!C:F)</f>
        <v>0</v>
      </c>
      <c r="H684">
        <v>0</v>
      </c>
      <c r="I684">
        <v>0</v>
      </c>
      <c r="J684">
        <v>0</v>
      </c>
    </row>
    <row r="685" spans="1:10" x14ac:dyDescent="0.3">
      <c r="A685" t="str" cm="1">
        <f t="array" ref="A685">IF(ROW()&lt;=COUNTA(Sheet1!A:A), INDEX(Sheet1!A:A, ROW()),
INDEX(Sheet4!A:A, ROW()-COUNTA(Sheet1!A:A)))</f>
        <v>Al1 Co1 Cr1 Fe1 Ni1</v>
      </c>
      <c r="B685" s="10" t="e">
        <f>_xlfn.XLOOKUP(A685, Sheet4!A:A, Sheet4!C:C)</f>
        <v>#N/A</v>
      </c>
      <c r="C685" s="10">
        <v>-1</v>
      </c>
      <c r="D685" s="10" t="e">
        <f>_xlfn.XLOOKUP(A685, Sheet2!A:A, Sheet2!B:B)</f>
        <v>#N/A</v>
      </c>
      <c r="E685" s="10">
        <f>_xlfn.XLOOKUP(A685, Sheet1!A:A, Sheet1!G:G)</f>
        <v>1</v>
      </c>
      <c r="F685" s="10">
        <f t="shared" si="10"/>
        <v>1</v>
      </c>
      <c r="G685" cm="1">
        <f t="array" ref="G685:J685">_xlfn.XLOOKUP(A685, Sheet1!A:A, Sheet1!C:F)</f>
        <v>0</v>
      </c>
      <c r="H685">
        <v>0</v>
      </c>
      <c r="I685">
        <v>0</v>
      </c>
      <c r="J685">
        <v>0</v>
      </c>
    </row>
    <row r="686" spans="1:10" x14ac:dyDescent="0.3">
      <c r="A686" t="str" cm="1">
        <f t="array" ref="A686">IF(ROW()&lt;=COUNTA(Sheet1!A:A), INDEX(Sheet1!A:A, ROW()),
INDEX(Sheet4!A:A, ROW()-COUNTA(Sheet1!A:A)))</f>
        <v>Al0.6 Co1 Cr1 Fe1 Ni1</v>
      </c>
      <c r="B686" s="10" t="e">
        <f>_xlfn.XLOOKUP(A686, Sheet4!A:A, Sheet4!C:C)</f>
        <v>#N/A</v>
      </c>
      <c r="C686" s="10">
        <v>-1</v>
      </c>
      <c r="D686" s="10" t="e">
        <f>_xlfn.XLOOKUP(A686, Sheet2!A:A, Sheet2!B:B)</f>
        <v>#N/A</v>
      </c>
      <c r="E686" s="10">
        <f>_xlfn.XLOOKUP(A686, Sheet1!A:A, Sheet1!G:G)</f>
        <v>1</v>
      </c>
      <c r="F686" s="10">
        <f t="shared" si="10"/>
        <v>1</v>
      </c>
      <c r="G686" cm="1">
        <f t="array" ref="G686:J686">_xlfn.XLOOKUP(A686, Sheet1!A:A, Sheet1!C:F)</f>
        <v>0</v>
      </c>
      <c r="H686">
        <v>0</v>
      </c>
      <c r="I686">
        <v>0</v>
      </c>
      <c r="J686">
        <v>0</v>
      </c>
    </row>
    <row r="687" spans="1:10" x14ac:dyDescent="0.3">
      <c r="A687" t="str" cm="1">
        <f t="array" ref="A687">IF(ROW()&lt;=COUNTA(Sheet1!A:A), INDEX(Sheet1!A:A, ROW()),
INDEX(Sheet4!A:A, ROW()-COUNTA(Sheet1!A:A)))</f>
        <v>Fe1 Mo1 Nb1 Ti1 V1</v>
      </c>
      <c r="B687" s="10" t="e">
        <f>_xlfn.XLOOKUP(A687, Sheet4!A:A, Sheet4!C:C)</f>
        <v>#N/A</v>
      </c>
      <c r="C687" s="10">
        <v>-1</v>
      </c>
      <c r="D687" s="10" t="e">
        <f>_xlfn.XLOOKUP(A687, Sheet2!A:A, Sheet2!B:B)</f>
        <v>#N/A</v>
      </c>
      <c r="E687" s="10">
        <f>_xlfn.XLOOKUP(A687, Sheet1!A:A, Sheet1!G:G)</f>
        <v>1</v>
      </c>
      <c r="F687" s="10">
        <f t="shared" si="10"/>
        <v>1</v>
      </c>
      <c r="G687" cm="1">
        <f t="array" ref="G687:J687">_xlfn.XLOOKUP(A687, Sheet1!A:A, Sheet1!C:F)</f>
        <v>0</v>
      </c>
      <c r="H687">
        <v>0</v>
      </c>
      <c r="I687">
        <v>0</v>
      </c>
      <c r="J687">
        <v>0</v>
      </c>
    </row>
    <row r="688" spans="1:10" x14ac:dyDescent="0.3">
      <c r="A688" t="str" cm="1">
        <f t="array" ref="A688">IF(ROW()&lt;=COUNTA(Sheet1!A:A), INDEX(Sheet1!A:A, ROW()),
INDEX(Sheet4!A:A, ROW()-COUNTA(Sheet1!A:A)))</f>
        <v>Al0.667 Co0.833 Cr0.833 Fe0.833 Ni0.833 Ti1</v>
      </c>
      <c r="B688" s="10" t="e">
        <f>_xlfn.XLOOKUP(A688, Sheet4!A:A, Sheet4!C:C)</f>
        <v>#N/A</v>
      </c>
      <c r="C688" s="10">
        <v>-1</v>
      </c>
      <c r="D688" s="10" t="e">
        <f>_xlfn.XLOOKUP(A688, Sheet2!A:A, Sheet2!B:B)</f>
        <v>#N/A</v>
      </c>
      <c r="E688" s="10">
        <f>_xlfn.XLOOKUP(A688, Sheet1!A:A, Sheet1!G:G)</f>
        <v>1</v>
      </c>
      <c r="F688" s="10">
        <f t="shared" si="10"/>
        <v>1</v>
      </c>
      <c r="G688" cm="1">
        <f t="array" ref="G688:J688">_xlfn.XLOOKUP(A688, Sheet1!A:A, Sheet1!C:F)</f>
        <v>0</v>
      </c>
      <c r="H688">
        <v>0</v>
      </c>
      <c r="I688">
        <v>0</v>
      </c>
      <c r="J688">
        <v>0</v>
      </c>
    </row>
    <row r="689" spans="1:10" x14ac:dyDescent="0.3">
      <c r="A689" t="str" cm="1">
        <f t="array" ref="A689">IF(ROW()&lt;=COUNTA(Sheet1!A:A), INDEX(Sheet1!A:A, ROW()),
INDEX(Sheet4!A:A, ROW()-COUNTA(Sheet1!A:A)))</f>
        <v>Al1 Co1 Cr1 Fe1 Ni1 Ti1</v>
      </c>
      <c r="B689" s="10" t="e">
        <f>_xlfn.XLOOKUP(A689, Sheet4!A:A, Sheet4!C:C)</f>
        <v>#N/A</v>
      </c>
      <c r="C689" s="10">
        <v>-1</v>
      </c>
      <c r="D689" s="10" t="e">
        <f>_xlfn.XLOOKUP(A689, Sheet2!A:A, Sheet2!B:B)</f>
        <v>#N/A</v>
      </c>
      <c r="E689" s="10">
        <f>_xlfn.XLOOKUP(A689, Sheet1!A:A, Sheet1!G:G)</f>
        <v>1</v>
      </c>
      <c r="F689" s="10">
        <f t="shared" si="10"/>
        <v>1</v>
      </c>
      <c r="G689" cm="1">
        <f t="array" ref="G689:J689">_xlfn.XLOOKUP(A689, Sheet1!A:A, Sheet1!C:F)</f>
        <v>0</v>
      </c>
      <c r="H689">
        <v>0</v>
      </c>
      <c r="I689">
        <v>0</v>
      </c>
      <c r="J689">
        <v>0</v>
      </c>
    </row>
    <row r="690" spans="1:10" x14ac:dyDescent="0.3">
      <c r="A690" t="str" cm="1">
        <f t="array" ref="A690">IF(ROW()&lt;=COUNTA(Sheet1!A:A), INDEX(Sheet1!A:A, ROW()),
INDEX(Sheet4!A:A, ROW()-COUNTA(Sheet1!A:A)))</f>
        <v>Al1 Co0.833 Cr0.833 Fe0.833 Ni0.833 Ti0.667</v>
      </c>
      <c r="B690" s="10" t="e">
        <f>_xlfn.XLOOKUP(A690, Sheet4!A:A, Sheet4!C:C)</f>
        <v>#N/A</v>
      </c>
      <c r="C690" s="10">
        <v>-1</v>
      </c>
      <c r="D690" s="10" t="e">
        <f>_xlfn.XLOOKUP(A690, Sheet2!A:A, Sheet2!B:B)</f>
        <v>#N/A</v>
      </c>
      <c r="E690" s="10">
        <f>_xlfn.XLOOKUP(A690, Sheet1!A:A, Sheet1!G:G)</f>
        <v>1</v>
      </c>
      <c r="F690" s="10">
        <f t="shared" si="10"/>
        <v>1</v>
      </c>
      <c r="G690" cm="1">
        <f t="array" ref="G690:J690">_xlfn.XLOOKUP(A690, Sheet1!A:A, Sheet1!C:F)</f>
        <v>0</v>
      </c>
      <c r="H690">
        <v>0</v>
      </c>
      <c r="I690">
        <v>0</v>
      </c>
      <c r="J690">
        <v>0</v>
      </c>
    </row>
    <row r="691" spans="1:10" x14ac:dyDescent="0.3">
      <c r="A691" t="str" cm="1">
        <f t="array" ref="A691">IF(ROW()&lt;=COUNTA(Sheet1!A:A), INDEX(Sheet1!A:A, ROW()),
INDEX(Sheet4!A:A, ROW()-COUNTA(Sheet1!A:A)))</f>
        <v>Al1 Co0.667 Cr0.667 Fe0.667 Ni0.667 Ti0.333</v>
      </c>
      <c r="B691" s="10" t="e">
        <f>_xlfn.XLOOKUP(A691, Sheet4!A:A, Sheet4!C:C)</f>
        <v>#N/A</v>
      </c>
      <c r="C691" s="10">
        <v>-1</v>
      </c>
      <c r="D691" s="10" t="e">
        <f>_xlfn.XLOOKUP(A691, Sheet2!A:A, Sheet2!B:B)</f>
        <v>#N/A</v>
      </c>
      <c r="E691" s="10">
        <f>_xlfn.XLOOKUP(A691, Sheet1!A:A, Sheet1!G:G)</f>
        <v>1</v>
      </c>
      <c r="F691" s="10">
        <f t="shared" si="10"/>
        <v>1</v>
      </c>
      <c r="G691" cm="1">
        <f t="array" ref="G691:J691">_xlfn.XLOOKUP(A691, Sheet1!A:A, Sheet1!C:F)</f>
        <v>0</v>
      </c>
      <c r="H691">
        <v>0</v>
      </c>
      <c r="I691">
        <v>0</v>
      </c>
      <c r="J691">
        <v>0</v>
      </c>
    </row>
    <row r="692" spans="1:10" x14ac:dyDescent="0.3">
      <c r="A692" t="str" cm="1">
        <f t="array" ref="A692">IF(ROW()&lt;=COUNTA(Sheet1!A:A), INDEX(Sheet1!A:A, ROW()),
INDEX(Sheet4!A:A, ROW()-COUNTA(Sheet1!A:A)))</f>
        <v>Al1 Co0.556 Cr0.556 Fe0.556 Ni0.556 Ti0.111</v>
      </c>
      <c r="B692" s="10" t="e">
        <f>_xlfn.XLOOKUP(A692, Sheet4!A:A, Sheet4!C:C)</f>
        <v>#N/A</v>
      </c>
      <c r="C692" s="10">
        <v>-1</v>
      </c>
      <c r="D692" s="10" t="e">
        <f>_xlfn.XLOOKUP(A692, Sheet2!A:A, Sheet2!B:B)</f>
        <v>#N/A</v>
      </c>
      <c r="E692" s="10">
        <f>_xlfn.XLOOKUP(A692, Sheet1!A:A, Sheet1!G:G)</f>
        <v>1</v>
      </c>
      <c r="F692" s="10">
        <f t="shared" si="10"/>
        <v>1</v>
      </c>
      <c r="G692" cm="1">
        <f t="array" ref="G692:J692">_xlfn.XLOOKUP(A692, Sheet1!A:A, Sheet1!C:F)</f>
        <v>0</v>
      </c>
      <c r="H692">
        <v>0</v>
      </c>
      <c r="I692">
        <v>0</v>
      </c>
      <c r="J692">
        <v>0</v>
      </c>
    </row>
    <row r="693" spans="1:10" x14ac:dyDescent="0.3">
      <c r="A693" t="str" cm="1">
        <f t="array" ref="A693">IF(ROW()&lt;=COUNTA(Sheet1!A:A), INDEX(Sheet1!A:A, ROW()),
INDEX(Sheet4!A:A, ROW()-COUNTA(Sheet1!A:A)))</f>
        <v>Al1 Co0.5 Cr0.5 Fe0.5 Ni0.5</v>
      </c>
      <c r="B693" s="10" t="e">
        <f>_xlfn.XLOOKUP(A693, Sheet4!A:A, Sheet4!C:C)</f>
        <v>#N/A</v>
      </c>
      <c r="C693" s="10">
        <v>-1</v>
      </c>
      <c r="D693" s="10" t="e">
        <f>_xlfn.XLOOKUP(A693, Sheet2!A:A, Sheet2!B:B)</f>
        <v>#N/A</v>
      </c>
      <c r="E693" s="10">
        <f>_xlfn.XLOOKUP(A693, Sheet1!A:A, Sheet1!G:G)</f>
        <v>1</v>
      </c>
      <c r="F693" s="10">
        <f t="shared" si="10"/>
        <v>1</v>
      </c>
      <c r="G693" cm="1">
        <f t="array" ref="G693:J693">_xlfn.XLOOKUP(A693, Sheet1!A:A, Sheet1!C:F)</f>
        <v>0</v>
      </c>
      <c r="H693">
        <v>0</v>
      </c>
      <c r="I693">
        <v>0</v>
      </c>
      <c r="J693">
        <v>0</v>
      </c>
    </row>
    <row r="694" spans="1:10" x14ac:dyDescent="0.3">
      <c r="A694" t="str" cm="1">
        <f t="array" ref="A694">IF(ROW()&lt;=COUNTA(Sheet1!A:A), INDEX(Sheet1!A:A, ROW()),
INDEX(Sheet4!A:A, ROW()-COUNTA(Sheet1!A:A)))</f>
        <v>Al1 Cr1 Cu1 Fe1 Ni1</v>
      </c>
      <c r="B694" s="10" t="e">
        <f>_xlfn.XLOOKUP(A694, Sheet4!A:A, Sheet4!C:C)</f>
        <v>#N/A</v>
      </c>
      <c r="C694" s="10">
        <v>-1</v>
      </c>
      <c r="D694" s="10" t="e">
        <f>_xlfn.XLOOKUP(A694, Sheet2!A:A, Sheet2!B:B)</f>
        <v>#N/A</v>
      </c>
      <c r="E694" s="10">
        <f>_xlfn.XLOOKUP(A694, Sheet1!A:A, Sheet1!G:G)</f>
        <v>1</v>
      </c>
      <c r="F694" s="10">
        <f t="shared" si="10"/>
        <v>1</v>
      </c>
      <c r="G694" cm="1">
        <f t="array" ref="G694:J694">_xlfn.XLOOKUP(A694, Sheet1!A:A, Sheet1!C:F)</f>
        <v>0</v>
      </c>
      <c r="H694">
        <v>0</v>
      </c>
      <c r="I694">
        <v>0</v>
      </c>
      <c r="J694">
        <v>0</v>
      </c>
    </row>
    <row r="695" spans="1:10" x14ac:dyDescent="0.3">
      <c r="A695" t="str" cm="1">
        <f t="array" ref="A695">IF(ROW()&lt;=COUNTA(Sheet1!A:A), INDEX(Sheet1!A:A, ROW()),
INDEX(Sheet4!A:A, ROW()-COUNTA(Sheet1!A:A)))</f>
        <v>Al0.3 Co1 Cr1 Fe1 Ni1</v>
      </c>
      <c r="B695" s="10" t="e">
        <f>_xlfn.XLOOKUP(A695, Sheet4!A:A, Sheet4!C:C)</f>
        <v>#N/A</v>
      </c>
      <c r="C695" s="10">
        <v>-1</v>
      </c>
      <c r="D695" s="10" t="e">
        <f>_xlfn.XLOOKUP(A695, Sheet2!A:A, Sheet2!B:B)</f>
        <v>#N/A</v>
      </c>
      <c r="E695" s="10">
        <f>_xlfn.XLOOKUP(A695, Sheet1!A:A, Sheet1!G:G)</f>
        <v>1</v>
      </c>
      <c r="F695" s="10">
        <f t="shared" si="10"/>
        <v>1</v>
      </c>
      <c r="G695" cm="1">
        <f t="array" ref="G695:J695">_xlfn.XLOOKUP(A695, Sheet1!A:A, Sheet1!C:F)</f>
        <v>0</v>
      </c>
      <c r="H695">
        <v>0</v>
      </c>
      <c r="I695">
        <v>0</v>
      </c>
      <c r="J695">
        <v>0</v>
      </c>
    </row>
    <row r="696" spans="1:10" x14ac:dyDescent="0.3">
      <c r="A696" t="str" cm="1">
        <f t="array" ref="A696">IF(ROW()&lt;=COUNTA(Sheet1!A:A), INDEX(Sheet1!A:A, ROW()),
INDEX(Sheet4!A:A, ROW()-COUNTA(Sheet1!A:A)))</f>
        <v>Al1 Co1 Fe1 Ni1 Ti1</v>
      </c>
      <c r="B696" s="10" t="e">
        <f>_xlfn.XLOOKUP(A696, Sheet4!A:A, Sheet4!C:C)</f>
        <v>#N/A</v>
      </c>
      <c r="C696" s="10">
        <v>-1</v>
      </c>
      <c r="D696" s="10" t="e">
        <f>_xlfn.XLOOKUP(A696, Sheet2!A:A, Sheet2!B:B)</f>
        <v>#N/A</v>
      </c>
      <c r="E696" s="10">
        <f>_xlfn.XLOOKUP(A696, Sheet1!A:A, Sheet1!G:G)</f>
        <v>1</v>
      </c>
      <c r="F696" s="10">
        <f t="shared" si="10"/>
        <v>1</v>
      </c>
      <c r="G696" cm="1">
        <f t="array" ref="G696:J696">_xlfn.XLOOKUP(A696, Sheet1!A:A, Sheet1!C:F)</f>
        <v>0</v>
      </c>
      <c r="H696">
        <v>0</v>
      </c>
      <c r="I696">
        <v>0</v>
      </c>
      <c r="J696">
        <v>0</v>
      </c>
    </row>
    <row r="697" spans="1:10" x14ac:dyDescent="0.3">
      <c r="A697" t="str" cm="1">
        <f t="array" ref="A697">IF(ROW()&lt;=COUNTA(Sheet1!A:A), INDEX(Sheet1!A:A, ROW()),
INDEX(Sheet4!A:A, ROW()-COUNTA(Sheet1!A:A)))</f>
        <v>Al1 Fe1 Ni1 Ti1</v>
      </c>
      <c r="B697" s="10" t="e">
        <f>_xlfn.XLOOKUP(A697, Sheet4!A:A, Sheet4!C:C)</f>
        <v>#N/A</v>
      </c>
      <c r="C697" s="10">
        <v>-1</v>
      </c>
      <c r="D697" s="10" t="e">
        <f>_xlfn.XLOOKUP(A697, Sheet2!A:A, Sheet2!B:B)</f>
        <v>#N/A</v>
      </c>
      <c r="E697" s="10">
        <f>_xlfn.XLOOKUP(A697, Sheet1!A:A, Sheet1!G:G)</f>
        <v>1</v>
      </c>
      <c r="F697" s="10">
        <f t="shared" si="10"/>
        <v>1</v>
      </c>
      <c r="G697" cm="1">
        <f t="array" ref="G697:J697">_xlfn.XLOOKUP(A697, Sheet1!A:A, Sheet1!C:F)</f>
        <v>0</v>
      </c>
      <c r="H697">
        <v>0</v>
      </c>
      <c r="I697">
        <v>0</v>
      </c>
      <c r="J697">
        <v>0</v>
      </c>
    </row>
    <row r="698" spans="1:10" x14ac:dyDescent="0.3">
      <c r="A698" t="str" cm="1">
        <f t="array" ref="A698">IF(ROW()&lt;=COUNTA(Sheet1!A:A), INDEX(Sheet1!A:A, ROW()),
INDEX(Sheet4!A:A, ROW()-COUNTA(Sheet1!A:A)))</f>
        <v>Al1 Co1 Ni1 Ti1</v>
      </c>
      <c r="B698" s="10" t="e">
        <f>_xlfn.XLOOKUP(A698, Sheet4!A:A, Sheet4!C:C)</f>
        <v>#N/A</v>
      </c>
      <c r="C698" s="10">
        <v>-1</v>
      </c>
      <c r="D698" s="10" t="e">
        <f>_xlfn.XLOOKUP(A698, Sheet2!A:A, Sheet2!B:B)</f>
        <v>#N/A</v>
      </c>
      <c r="E698" s="10">
        <f>_xlfn.XLOOKUP(A698, Sheet1!A:A, Sheet1!G:G)</f>
        <v>1</v>
      </c>
      <c r="F698" s="10">
        <f t="shared" si="10"/>
        <v>1</v>
      </c>
      <c r="G698" cm="1">
        <f t="array" ref="G698:J698">_xlfn.XLOOKUP(A698, Sheet1!A:A, Sheet1!C:F)</f>
        <v>0</v>
      </c>
      <c r="H698">
        <v>0</v>
      </c>
      <c r="I698">
        <v>0</v>
      </c>
      <c r="J698">
        <v>0</v>
      </c>
    </row>
    <row r="699" spans="1:10" x14ac:dyDescent="0.3">
      <c r="A699" t="str" cm="1">
        <f t="array" ref="A699">IF(ROW()&lt;=COUNTA(Sheet1!A:A), INDEX(Sheet1!A:A, ROW()),
INDEX(Sheet4!A:A, ROW()-COUNTA(Sheet1!A:A)))</f>
        <v>Al1 Co0.512 Cr0.535 Fe0.163 Ni0.116</v>
      </c>
      <c r="B699" s="10" t="e">
        <f>_xlfn.XLOOKUP(A699, Sheet4!A:A, Sheet4!C:C)</f>
        <v>#N/A</v>
      </c>
      <c r="C699" s="10">
        <v>-1</v>
      </c>
      <c r="D699" s="10" t="e">
        <f>_xlfn.XLOOKUP(A699, Sheet2!A:A, Sheet2!B:B)</f>
        <v>#N/A</v>
      </c>
      <c r="E699" s="10">
        <f>_xlfn.XLOOKUP(A699, Sheet1!A:A, Sheet1!G:G)</f>
        <v>1</v>
      </c>
      <c r="F699" s="10">
        <f t="shared" si="10"/>
        <v>1</v>
      </c>
      <c r="G699" cm="1">
        <f t="array" ref="G699:J699">_xlfn.XLOOKUP(A699, Sheet1!A:A, Sheet1!C:F)</f>
        <v>0</v>
      </c>
      <c r="H699">
        <v>0</v>
      </c>
      <c r="I699">
        <v>0</v>
      </c>
      <c r="J699">
        <v>0</v>
      </c>
    </row>
    <row r="700" spans="1:10" x14ac:dyDescent="0.3">
      <c r="A700" t="str" cm="1">
        <f t="array" ref="A700">IF(ROW()&lt;=COUNTA(Sheet1!A:A), INDEX(Sheet1!A:A, ROW()),
INDEX(Sheet4!A:A, ROW()-COUNTA(Sheet1!A:A)))</f>
        <v>Al1 Co0.426 Cr0.383 Cu0.106 Fe0.106 Ni0.106</v>
      </c>
      <c r="B700" s="10" t="e">
        <f>_xlfn.XLOOKUP(A700, Sheet4!A:A, Sheet4!C:C)</f>
        <v>#N/A</v>
      </c>
      <c r="C700" s="10">
        <v>-1</v>
      </c>
      <c r="D700" s="10" t="e">
        <f>_xlfn.XLOOKUP(A700, Sheet2!A:A, Sheet2!B:B)</f>
        <v>#N/A</v>
      </c>
      <c r="E700" s="10">
        <f>_xlfn.XLOOKUP(A700, Sheet1!A:A, Sheet1!G:G)</f>
        <v>1</v>
      </c>
      <c r="F700" s="10">
        <f t="shared" si="10"/>
        <v>1</v>
      </c>
      <c r="G700" cm="1">
        <f t="array" ref="G700:J700">_xlfn.XLOOKUP(A700, Sheet1!A:A, Sheet1!C:F)</f>
        <v>0</v>
      </c>
      <c r="H700">
        <v>0</v>
      </c>
      <c r="I700">
        <v>0</v>
      </c>
      <c r="J700">
        <v>0</v>
      </c>
    </row>
    <row r="701" spans="1:10" x14ac:dyDescent="0.3">
      <c r="A701" t="str" cm="1">
        <f t="array" ref="A701">IF(ROW()&lt;=COUNTA(Sheet1!A:A), INDEX(Sheet1!A:A, ROW()),
INDEX(Sheet4!A:A, ROW()-COUNTA(Sheet1!A:A)))</f>
        <v>Co1 Cr1 Cu1 Fe1 Ni1</v>
      </c>
      <c r="B701" s="10" t="e">
        <f>_xlfn.XLOOKUP(A701, Sheet4!A:A, Sheet4!C:C)</f>
        <v>#N/A</v>
      </c>
      <c r="C701" s="10">
        <v>-1</v>
      </c>
      <c r="D701" s="10" t="e">
        <f>_xlfn.XLOOKUP(A701, Sheet2!A:A, Sheet2!B:B)</f>
        <v>#N/A</v>
      </c>
      <c r="E701" s="10">
        <f>_xlfn.XLOOKUP(A701, Sheet1!A:A, Sheet1!G:G)</f>
        <v>1</v>
      </c>
      <c r="F701" s="10">
        <f t="shared" si="10"/>
        <v>1</v>
      </c>
      <c r="G701" cm="1">
        <f t="array" ref="G701:J701">_xlfn.XLOOKUP(A701, Sheet1!A:A, Sheet1!C:F)</f>
        <v>0</v>
      </c>
      <c r="H701">
        <v>0</v>
      </c>
      <c r="I701">
        <v>0</v>
      </c>
      <c r="J701">
        <v>0</v>
      </c>
    </row>
    <row r="702" spans="1:10" x14ac:dyDescent="0.3">
      <c r="A702" t="str" cm="1">
        <f t="array" ref="A702">IF(ROW()&lt;=COUNTA(Sheet1!A:A), INDEX(Sheet1!A:A, ROW()),
INDEX(Sheet4!A:A, ROW()-COUNTA(Sheet1!A:A)))</f>
        <v>Al1 Co1 Cr1 Ni1</v>
      </c>
      <c r="B702" s="10" t="e">
        <f>_xlfn.XLOOKUP(A702, Sheet4!A:A, Sheet4!C:C)</f>
        <v>#N/A</v>
      </c>
      <c r="C702" s="10">
        <v>-1</v>
      </c>
      <c r="D702" s="10" t="e">
        <f>_xlfn.XLOOKUP(A702, Sheet2!A:A, Sheet2!B:B)</f>
        <v>#N/A</v>
      </c>
      <c r="E702" s="10">
        <f>_xlfn.XLOOKUP(A702, Sheet1!A:A, Sheet1!G:G)</f>
        <v>1</v>
      </c>
      <c r="F702" s="10">
        <f t="shared" si="10"/>
        <v>1</v>
      </c>
      <c r="G702" cm="1">
        <f t="array" ref="G702:J702">_xlfn.XLOOKUP(A702, Sheet1!A:A, Sheet1!C:F)</f>
        <v>0</v>
      </c>
      <c r="H702">
        <v>0</v>
      </c>
      <c r="I702">
        <v>0</v>
      </c>
      <c r="J702">
        <v>0</v>
      </c>
    </row>
    <row r="703" spans="1:10" x14ac:dyDescent="0.3">
      <c r="A703" t="str" cm="1">
        <f t="array" ref="A703">IF(ROW()&lt;=COUNTA(Sheet1!A:A), INDEX(Sheet1!A:A, ROW()),
INDEX(Sheet4!A:A, ROW()-COUNTA(Sheet1!A:A)))</f>
        <v>Al0.9 Co1 Cr1 Fe1 Ni1 Ti0.5</v>
      </c>
      <c r="B703" s="10" t="e">
        <f>_xlfn.XLOOKUP(A703, Sheet4!A:A, Sheet4!C:C)</f>
        <v>#N/A</v>
      </c>
      <c r="C703" s="10">
        <v>-1</v>
      </c>
      <c r="D703" s="10" t="e">
        <f>_xlfn.XLOOKUP(A703, Sheet2!A:A, Sheet2!B:B)</f>
        <v>#N/A</v>
      </c>
      <c r="E703" s="10">
        <f>_xlfn.XLOOKUP(A703, Sheet1!A:A, Sheet1!G:G)</f>
        <v>1</v>
      </c>
      <c r="F703" s="10">
        <f t="shared" si="10"/>
        <v>1</v>
      </c>
      <c r="G703" cm="1">
        <f t="array" ref="G703:J703">_xlfn.XLOOKUP(A703, Sheet1!A:A, Sheet1!C:F)</f>
        <v>0</v>
      </c>
      <c r="H703">
        <v>0</v>
      </c>
      <c r="I703">
        <v>0</v>
      </c>
      <c r="J703">
        <v>0</v>
      </c>
    </row>
    <row r="704" spans="1:10" x14ac:dyDescent="0.3">
      <c r="A704" t="str" cm="1">
        <f t="array" ref="A704">IF(ROW()&lt;=COUNTA(Sheet1!A:A), INDEX(Sheet1!A:A, ROW()),
INDEX(Sheet4!A:A, ROW()-COUNTA(Sheet1!A:A)))</f>
        <v>Al0.9 Co1 Cr1 Fe1 Ni1</v>
      </c>
      <c r="B704" s="10" t="e">
        <f>_xlfn.XLOOKUP(A704, Sheet4!A:A, Sheet4!C:C)</f>
        <v>#N/A</v>
      </c>
      <c r="C704" s="10">
        <v>-1</v>
      </c>
      <c r="D704" s="10" t="e">
        <f>_xlfn.XLOOKUP(A704, Sheet2!A:A, Sheet2!B:B)</f>
        <v>#N/A</v>
      </c>
      <c r="E704" s="10">
        <f>_xlfn.XLOOKUP(A704, Sheet1!A:A, Sheet1!G:G)</f>
        <v>1</v>
      </c>
      <c r="F704" s="10">
        <f t="shared" si="10"/>
        <v>1</v>
      </c>
      <c r="G704" cm="1">
        <f t="array" ref="G704:J704">_xlfn.XLOOKUP(A704, Sheet1!A:A, Sheet1!C:F)</f>
        <v>0</v>
      </c>
      <c r="H704">
        <v>0</v>
      </c>
      <c r="I704">
        <v>0</v>
      </c>
      <c r="J704">
        <v>0</v>
      </c>
    </row>
    <row r="705" spans="1:10" x14ac:dyDescent="0.3">
      <c r="A705" t="str" cm="1">
        <f t="array" ref="A705">IF(ROW()&lt;=COUNTA(Sheet1!A:A), INDEX(Sheet1!A:A, ROW()),
INDEX(Sheet4!A:A, ROW()-COUNTA(Sheet1!A:A)))</f>
        <v>Al0.8 Cr1 Fe1 Mn1 Ni1</v>
      </c>
      <c r="B705" s="10" t="e">
        <f>_xlfn.XLOOKUP(A705, Sheet4!A:A, Sheet4!C:C)</f>
        <v>#N/A</v>
      </c>
      <c r="C705" s="10">
        <v>-1</v>
      </c>
      <c r="D705" s="10" t="e">
        <f>_xlfn.XLOOKUP(A705, Sheet2!A:A, Sheet2!B:B)</f>
        <v>#N/A</v>
      </c>
      <c r="E705" s="10">
        <f>_xlfn.XLOOKUP(A705, Sheet1!A:A, Sheet1!G:G)</f>
        <v>1</v>
      </c>
      <c r="F705" s="10">
        <f t="shared" si="10"/>
        <v>1</v>
      </c>
      <c r="G705" cm="1">
        <f t="array" ref="G705:J705">_xlfn.XLOOKUP(A705, Sheet1!A:A, Sheet1!C:F)</f>
        <v>0</v>
      </c>
      <c r="H705">
        <v>0</v>
      </c>
      <c r="I705">
        <v>0</v>
      </c>
      <c r="J705">
        <v>0</v>
      </c>
    </row>
    <row r="706" spans="1:10" x14ac:dyDescent="0.3">
      <c r="A706" t="str" cm="1">
        <f t="array" ref="A706">IF(ROW()&lt;=COUNTA(Sheet1!A:A), INDEX(Sheet1!A:A, ROW()),
INDEX(Sheet4!A:A, ROW()-COUNTA(Sheet1!A:A)))</f>
        <v>Al0.7 Cr1 Fe1 Mn1 Ni1</v>
      </c>
      <c r="B706" s="10" t="e">
        <f>_xlfn.XLOOKUP(A706, Sheet4!A:A, Sheet4!C:C)</f>
        <v>#N/A</v>
      </c>
      <c r="C706" s="10">
        <v>-1</v>
      </c>
      <c r="D706" s="10" t="e">
        <f>_xlfn.XLOOKUP(A706, Sheet2!A:A, Sheet2!B:B)</f>
        <v>#N/A</v>
      </c>
      <c r="E706" s="10">
        <f>_xlfn.XLOOKUP(A706, Sheet1!A:A, Sheet1!G:G)</f>
        <v>1</v>
      </c>
      <c r="F706" s="10">
        <f t="shared" si="10"/>
        <v>1</v>
      </c>
      <c r="G706" cm="1">
        <f t="array" ref="G706:J706">_xlfn.XLOOKUP(A706, Sheet1!A:A, Sheet1!C:F)</f>
        <v>0</v>
      </c>
      <c r="H706">
        <v>0</v>
      </c>
      <c r="I706">
        <v>0</v>
      </c>
      <c r="J706">
        <v>0</v>
      </c>
    </row>
    <row r="707" spans="1:10" x14ac:dyDescent="0.3">
      <c r="A707" t="str" cm="1">
        <f t="array" ref="A707">IF(ROW()&lt;=COUNTA(Sheet1!A:A), INDEX(Sheet1!A:A, ROW()),
INDEX(Sheet4!A:A, ROW()-COUNTA(Sheet1!A:A)))</f>
        <v>Al0.6 Cr1 Fe1 Mn1 Ni1</v>
      </c>
      <c r="B707" s="10" t="e">
        <f>_xlfn.XLOOKUP(A707, Sheet4!A:A, Sheet4!C:C)</f>
        <v>#N/A</v>
      </c>
      <c r="C707" s="10">
        <v>-1</v>
      </c>
      <c r="D707" s="10" t="e">
        <f>_xlfn.XLOOKUP(A707, Sheet2!A:A, Sheet2!B:B)</f>
        <v>#N/A</v>
      </c>
      <c r="E707" s="10">
        <f>_xlfn.XLOOKUP(A707, Sheet1!A:A, Sheet1!G:G)</f>
        <v>1</v>
      </c>
      <c r="F707" s="10">
        <f t="shared" ref="F707:F770" si="11">IF(OR(C707=1, E707=1), 1,
   IF(OR(C707=0, E707=0), 0,
      -1))</f>
        <v>1</v>
      </c>
      <c r="G707" cm="1">
        <f t="array" ref="G707:J707">_xlfn.XLOOKUP(A707, Sheet1!A:A, Sheet1!C:F)</f>
        <v>0</v>
      </c>
      <c r="H707">
        <v>0</v>
      </c>
      <c r="I707">
        <v>0</v>
      </c>
      <c r="J707">
        <v>0</v>
      </c>
    </row>
    <row r="708" spans="1:10" x14ac:dyDescent="0.3">
      <c r="A708" t="str" cm="1">
        <f t="array" ref="A708">IF(ROW()&lt;=COUNTA(Sheet1!A:A), INDEX(Sheet1!A:A, ROW()),
INDEX(Sheet4!A:A, ROW()-COUNTA(Sheet1!A:A)))</f>
        <v>Al0.5 Cr1 Fe1 Mn1 Ni1</v>
      </c>
      <c r="B708" s="10" t="e">
        <f>_xlfn.XLOOKUP(A708, Sheet4!A:A, Sheet4!C:C)</f>
        <v>#N/A</v>
      </c>
      <c r="C708" s="10">
        <v>-1</v>
      </c>
      <c r="D708" s="10" t="e">
        <f>_xlfn.XLOOKUP(A708, Sheet2!A:A, Sheet2!B:B)</f>
        <v>#N/A</v>
      </c>
      <c r="E708" s="10">
        <f>_xlfn.XLOOKUP(A708, Sheet1!A:A, Sheet1!G:G)</f>
        <v>1</v>
      </c>
      <c r="F708" s="10">
        <f t="shared" si="11"/>
        <v>1</v>
      </c>
      <c r="G708" cm="1">
        <f t="array" ref="G708:J708">_xlfn.XLOOKUP(A708, Sheet1!A:A, Sheet1!C:F)</f>
        <v>0</v>
      </c>
      <c r="H708">
        <v>0</v>
      </c>
      <c r="I708">
        <v>0</v>
      </c>
      <c r="J708">
        <v>0</v>
      </c>
    </row>
    <row r="709" spans="1:10" x14ac:dyDescent="0.3">
      <c r="A709" t="str" cm="1">
        <f t="array" ref="A709">IF(ROW()&lt;=COUNTA(Sheet1!A:A), INDEX(Sheet1!A:A, ROW()),
INDEX(Sheet4!A:A, ROW()-COUNTA(Sheet1!A:A)))</f>
        <v>Al0.5 Co0.5 Cu0.5 Fe0.5 Ni1</v>
      </c>
      <c r="B709" s="10" t="e">
        <f>_xlfn.XLOOKUP(A709, Sheet4!A:A, Sheet4!C:C)</f>
        <v>#N/A</v>
      </c>
      <c r="C709" s="10">
        <v>-1</v>
      </c>
      <c r="D709" s="10" t="e">
        <f>_xlfn.XLOOKUP(A709, Sheet2!A:A, Sheet2!B:B)</f>
        <v>#N/A</v>
      </c>
      <c r="E709" s="10">
        <f>_xlfn.XLOOKUP(A709, Sheet1!A:A, Sheet1!G:G)</f>
        <v>1</v>
      </c>
      <c r="F709" s="10">
        <f t="shared" si="11"/>
        <v>1</v>
      </c>
      <c r="G709" cm="1">
        <f t="array" ref="G709:J709">_xlfn.XLOOKUP(A709, Sheet1!A:A, Sheet1!C:F)</f>
        <v>0</v>
      </c>
      <c r="H709">
        <v>0</v>
      </c>
      <c r="I709">
        <v>0</v>
      </c>
      <c r="J709">
        <v>0</v>
      </c>
    </row>
    <row r="710" spans="1:10" x14ac:dyDescent="0.3">
      <c r="A710" t="str" cm="1">
        <f t="array" ref="A710">IF(ROW()&lt;=COUNTA(Sheet1!A:A), INDEX(Sheet1!A:A, ROW()),
INDEX(Sheet4!A:A, ROW()-COUNTA(Sheet1!A:A)))</f>
        <v>Al0.667 Co0.667 Cu0.667 Fe0.667 Ni1</v>
      </c>
      <c r="B710" s="10" t="e">
        <f>_xlfn.XLOOKUP(A710, Sheet4!A:A, Sheet4!C:C)</f>
        <v>#N/A</v>
      </c>
      <c r="C710" s="10">
        <v>-1</v>
      </c>
      <c r="D710" s="10" t="e">
        <f>_xlfn.XLOOKUP(A710, Sheet2!A:A, Sheet2!B:B)</f>
        <v>#N/A</v>
      </c>
      <c r="E710" s="10">
        <f>_xlfn.XLOOKUP(A710, Sheet1!A:A, Sheet1!G:G)</f>
        <v>1</v>
      </c>
      <c r="F710" s="10">
        <f t="shared" si="11"/>
        <v>1</v>
      </c>
      <c r="G710" cm="1">
        <f t="array" ref="G710:J710">_xlfn.XLOOKUP(A710, Sheet1!A:A, Sheet1!C:F)</f>
        <v>0</v>
      </c>
      <c r="H710">
        <v>0</v>
      </c>
      <c r="I710">
        <v>0</v>
      </c>
      <c r="J710">
        <v>0</v>
      </c>
    </row>
    <row r="711" spans="1:10" x14ac:dyDescent="0.3">
      <c r="A711" t="str" cm="1">
        <f t="array" ref="A711">IF(ROW()&lt;=COUNTA(Sheet1!A:A), INDEX(Sheet1!A:A, ROW()),
INDEX(Sheet4!A:A, ROW()-COUNTA(Sheet1!A:A)))</f>
        <v>Al1 Co1 Cu1 Fe1 Ni1</v>
      </c>
      <c r="B711" s="10" t="e">
        <f>_xlfn.XLOOKUP(A711, Sheet4!A:A, Sheet4!C:C)</f>
        <v>#N/A</v>
      </c>
      <c r="C711" s="10">
        <v>-1</v>
      </c>
      <c r="D711" s="10" t="e">
        <f>_xlfn.XLOOKUP(A711, Sheet2!A:A, Sheet2!B:B)</f>
        <v>#N/A</v>
      </c>
      <c r="E711" s="10">
        <f>_xlfn.XLOOKUP(A711, Sheet1!A:A, Sheet1!G:G)</f>
        <v>1</v>
      </c>
      <c r="F711" s="10">
        <f t="shared" si="11"/>
        <v>1</v>
      </c>
      <c r="G711" cm="1">
        <f t="array" ref="G711:J711">_xlfn.XLOOKUP(A711, Sheet1!A:A, Sheet1!C:F)</f>
        <v>0</v>
      </c>
      <c r="H711">
        <v>0</v>
      </c>
      <c r="I711">
        <v>0</v>
      </c>
      <c r="J711">
        <v>0</v>
      </c>
    </row>
    <row r="712" spans="1:10" x14ac:dyDescent="0.3">
      <c r="A712" t="str" cm="1">
        <f t="array" ref="A712">IF(ROW()&lt;=COUNTA(Sheet1!A:A), INDEX(Sheet1!A:A, ROW()),
INDEX(Sheet4!A:A, ROW()-COUNTA(Sheet1!A:A)))</f>
        <v>Al1 Co1 Cu1 Fe1 Ni0.8</v>
      </c>
      <c r="B712" s="10" t="e">
        <f>_xlfn.XLOOKUP(A712, Sheet4!A:A, Sheet4!C:C)</f>
        <v>#N/A</v>
      </c>
      <c r="C712" s="10">
        <v>-1</v>
      </c>
      <c r="D712" s="10" t="e">
        <f>_xlfn.XLOOKUP(A712, Sheet2!A:A, Sheet2!B:B)</f>
        <v>#N/A</v>
      </c>
      <c r="E712" s="10">
        <f>_xlfn.XLOOKUP(A712, Sheet1!A:A, Sheet1!G:G)</f>
        <v>1</v>
      </c>
      <c r="F712" s="10">
        <f t="shared" si="11"/>
        <v>1</v>
      </c>
      <c r="G712" cm="1">
        <f t="array" ref="G712:J712">_xlfn.XLOOKUP(A712, Sheet1!A:A, Sheet1!C:F)</f>
        <v>0</v>
      </c>
      <c r="H712">
        <v>0</v>
      </c>
      <c r="I712">
        <v>0</v>
      </c>
      <c r="J712">
        <v>0</v>
      </c>
    </row>
    <row r="713" spans="1:10" x14ac:dyDescent="0.3">
      <c r="A713" t="str" cm="1">
        <f t="array" ref="A713">IF(ROW()&lt;=COUNTA(Sheet1!A:A), INDEX(Sheet1!A:A, ROW()),
INDEX(Sheet4!A:A, ROW()-COUNTA(Sheet1!A:A)))</f>
        <v>Al1 Co1 Cu1 Fe1 Ni0.5</v>
      </c>
      <c r="B713" s="10" t="e">
        <f>_xlfn.XLOOKUP(A713, Sheet4!A:A, Sheet4!C:C)</f>
        <v>#N/A</v>
      </c>
      <c r="C713" s="10">
        <v>-1</v>
      </c>
      <c r="D713" s="10" t="e">
        <f>_xlfn.XLOOKUP(A713, Sheet2!A:A, Sheet2!B:B)</f>
        <v>#N/A</v>
      </c>
      <c r="E713" s="10">
        <f>_xlfn.XLOOKUP(A713, Sheet1!A:A, Sheet1!G:G)</f>
        <v>1</v>
      </c>
      <c r="F713" s="10">
        <f t="shared" si="11"/>
        <v>1</v>
      </c>
      <c r="G713" cm="1">
        <f t="array" ref="G713:J713">_xlfn.XLOOKUP(A713, Sheet1!A:A, Sheet1!C:F)</f>
        <v>0</v>
      </c>
      <c r="H713">
        <v>0</v>
      </c>
      <c r="I713">
        <v>0</v>
      </c>
      <c r="J713">
        <v>0</v>
      </c>
    </row>
    <row r="714" spans="1:10" x14ac:dyDescent="0.3">
      <c r="A714" t="str" cm="1">
        <f t="array" ref="A714">IF(ROW()&lt;=COUNTA(Sheet1!A:A), INDEX(Sheet1!A:A, ROW()),
INDEX(Sheet4!A:A, ROW()-COUNTA(Sheet1!A:A)))</f>
        <v>Al0.5 Cr0.5 Fe0.5 Ni1</v>
      </c>
      <c r="B714" s="10" t="e">
        <f>_xlfn.XLOOKUP(A714, Sheet4!A:A, Sheet4!C:C)</f>
        <v>#N/A</v>
      </c>
      <c r="C714" s="10">
        <v>-1</v>
      </c>
      <c r="D714" s="10" t="e">
        <f>_xlfn.XLOOKUP(A714, Sheet2!A:A, Sheet2!B:B)</f>
        <v>#N/A</v>
      </c>
      <c r="E714" s="10">
        <f>_xlfn.XLOOKUP(A714, Sheet1!A:A, Sheet1!G:G)</f>
        <v>1</v>
      </c>
      <c r="F714" s="10">
        <f t="shared" si="11"/>
        <v>1</v>
      </c>
      <c r="G714" cm="1">
        <f t="array" ref="G714:J714">_xlfn.XLOOKUP(A714, Sheet1!A:A, Sheet1!C:F)</f>
        <v>0</v>
      </c>
      <c r="H714">
        <v>0</v>
      </c>
      <c r="I714">
        <v>0</v>
      </c>
      <c r="J714">
        <v>0</v>
      </c>
    </row>
    <row r="715" spans="1:10" x14ac:dyDescent="0.3">
      <c r="A715" t="str" cm="1">
        <f t="array" ref="A715">IF(ROW()&lt;=COUNTA(Sheet1!A:A), INDEX(Sheet1!A:A, ROW()),
INDEX(Sheet4!A:A, ROW()-COUNTA(Sheet1!A:A)))</f>
        <v>Al0.429 Cr0.476 Fe0.476 Ni1</v>
      </c>
      <c r="B715" s="10" t="e">
        <f>_xlfn.XLOOKUP(A715, Sheet4!A:A, Sheet4!C:C)</f>
        <v>#N/A</v>
      </c>
      <c r="C715" s="10">
        <v>-1</v>
      </c>
      <c r="D715" s="10" t="e">
        <f>_xlfn.XLOOKUP(A715, Sheet2!A:A, Sheet2!B:B)</f>
        <v>#N/A</v>
      </c>
      <c r="E715" s="10">
        <f>_xlfn.XLOOKUP(A715, Sheet1!A:A, Sheet1!G:G)</f>
        <v>1</v>
      </c>
      <c r="F715" s="10">
        <f t="shared" si="11"/>
        <v>1</v>
      </c>
      <c r="G715" cm="1">
        <f t="array" ref="G715:J715">_xlfn.XLOOKUP(A715, Sheet1!A:A, Sheet1!C:F)</f>
        <v>0</v>
      </c>
      <c r="H715">
        <v>0</v>
      </c>
      <c r="I715">
        <v>0</v>
      </c>
      <c r="J715">
        <v>0</v>
      </c>
    </row>
    <row r="716" spans="1:10" x14ac:dyDescent="0.3">
      <c r="A716" t="str" cm="1">
        <f t="array" ref="A716">IF(ROW()&lt;=COUNTA(Sheet1!A:A), INDEX(Sheet1!A:A, ROW()),
INDEX(Sheet4!A:A, ROW()-COUNTA(Sheet1!A:A)))</f>
        <v>Al0.304 Cr0.435 Fe0.435 Ni1</v>
      </c>
      <c r="B716" s="10" t="e">
        <f>_xlfn.XLOOKUP(A716, Sheet4!A:A, Sheet4!C:C)</f>
        <v>#N/A</v>
      </c>
      <c r="C716" s="10">
        <v>-1</v>
      </c>
      <c r="D716" s="10" t="e">
        <f>_xlfn.XLOOKUP(A716, Sheet2!A:A, Sheet2!B:B)</f>
        <v>#N/A</v>
      </c>
      <c r="E716" s="10">
        <f>_xlfn.XLOOKUP(A716, Sheet1!A:A, Sheet1!G:G)</f>
        <v>1</v>
      </c>
      <c r="F716" s="10">
        <f t="shared" si="11"/>
        <v>1</v>
      </c>
      <c r="G716" cm="1">
        <f t="array" ref="G716:J716">_xlfn.XLOOKUP(A716, Sheet1!A:A, Sheet1!C:F)</f>
        <v>0</v>
      </c>
      <c r="H716">
        <v>0</v>
      </c>
      <c r="I716">
        <v>0</v>
      </c>
      <c r="J716">
        <v>0</v>
      </c>
    </row>
    <row r="717" spans="1:10" x14ac:dyDescent="0.3">
      <c r="A717" t="str" cm="1">
        <f t="array" ref="A717">IF(ROW()&lt;=COUNTA(Sheet1!A:A), INDEX(Sheet1!A:A, ROW()),
INDEX(Sheet4!A:A, ROW()-COUNTA(Sheet1!A:A)))</f>
        <v>Al0.364 Cr0.455 Fe0.455 Ni1</v>
      </c>
      <c r="B717" s="10" t="e">
        <f>_xlfn.XLOOKUP(A717, Sheet4!A:A, Sheet4!C:C)</f>
        <v>#N/A</v>
      </c>
      <c r="C717" s="10">
        <v>-1</v>
      </c>
      <c r="D717" s="10" t="e">
        <f>_xlfn.XLOOKUP(A717, Sheet2!A:A, Sheet2!B:B)</f>
        <v>#N/A</v>
      </c>
      <c r="E717" s="10">
        <f>_xlfn.XLOOKUP(A717, Sheet1!A:A, Sheet1!G:G)</f>
        <v>1</v>
      </c>
      <c r="F717" s="10">
        <f t="shared" si="11"/>
        <v>1</v>
      </c>
      <c r="G717" cm="1">
        <f t="array" ref="G717:J717">_xlfn.XLOOKUP(A717, Sheet1!A:A, Sheet1!C:F)</f>
        <v>0</v>
      </c>
      <c r="H717">
        <v>0</v>
      </c>
      <c r="I717">
        <v>0</v>
      </c>
      <c r="J717">
        <v>0</v>
      </c>
    </row>
    <row r="718" spans="1:10" x14ac:dyDescent="0.3">
      <c r="A718" t="str" cm="1">
        <f t="array" ref="A718">IF(ROW()&lt;=COUNTA(Sheet1!A:A), INDEX(Sheet1!A:A, ROW()),
INDEX(Sheet4!A:A, ROW()-COUNTA(Sheet1!A:A)))</f>
        <v>Al0.476 Co0.476 Cr0.476 Fe0.476 Ni1</v>
      </c>
      <c r="B718" s="10" t="e">
        <f>_xlfn.XLOOKUP(A718, Sheet4!A:A, Sheet4!C:C)</f>
        <v>#N/A</v>
      </c>
      <c r="C718" s="10">
        <v>-1</v>
      </c>
      <c r="D718" s="10" t="e">
        <f>_xlfn.XLOOKUP(A718, Sheet2!A:A, Sheet2!B:B)</f>
        <v>#N/A</v>
      </c>
      <c r="E718" s="10">
        <f>_xlfn.XLOOKUP(A718, Sheet1!A:A, Sheet1!G:G)</f>
        <v>1</v>
      </c>
      <c r="F718" s="10">
        <f t="shared" si="11"/>
        <v>1</v>
      </c>
      <c r="G718" cm="1">
        <f t="array" ref="G718:J718">_xlfn.XLOOKUP(A718, Sheet1!A:A, Sheet1!C:F)</f>
        <v>0</v>
      </c>
      <c r="H718">
        <v>0</v>
      </c>
      <c r="I718">
        <v>0</v>
      </c>
      <c r="J718">
        <v>0</v>
      </c>
    </row>
    <row r="719" spans="1:10" x14ac:dyDescent="0.3">
      <c r="A719" t="str" cm="1">
        <f t="array" ref="A719">IF(ROW()&lt;=COUNTA(Sheet1!A:A), INDEX(Sheet1!A:A, ROW()),
INDEX(Sheet4!A:A, ROW()-COUNTA(Sheet1!A:A)))</f>
        <v>Al1 Cr1 Fe1 Mo0.5 Ni1</v>
      </c>
      <c r="B719" s="10" t="e">
        <f>_xlfn.XLOOKUP(A719, Sheet4!A:A, Sheet4!C:C)</f>
        <v>#N/A</v>
      </c>
      <c r="C719" s="10">
        <v>-1</v>
      </c>
      <c r="D719" s="10" t="e">
        <f>_xlfn.XLOOKUP(A719, Sheet2!A:A, Sheet2!B:B)</f>
        <v>#N/A</v>
      </c>
      <c r="E719" s="10">
        <f>_xlfn.XLOOKUP(A719, Sheet1!A:A, Sheet1!G:G)</f>
        <v>1</v>
      </c>
      <c r="F719" s="10">
        <f t="shared" si="11"/>
        <v>1</v>
      </c>
      <c r="G719" cm="1">
        <f t="array" ref="G719:J719">_xlfn.XLOOKUP(A719, Sheet1!A:A, Sheet1!C:F)</f>
        <v>0</v>
      </c>
      <c r="H719">
        <v>0</v>
      </c>
      <c r="I719">
        <v>0</v>
      </c>
      <c r="J719">
        <v>0</v>
      </c>
    </row>
    <row r="720" spans="1:10" x14ac:dyDescent="0.3">
      <c r="A720" t="str" cm="1">
        <f t="array" ref="A720">IF(ROW()&lt;=COUNTA(Sheet1!A:A), INDEX(Sheet1!A:A, ROW()),
INDEX(Sheet4!A:A, ROW()-COUNTA(Sheet1!A:A)))</f>
        <v>Al1 Cr1 Fe1 Mo0.5 Ni1 Ti0.6</v>
      </c>
      <c r="B720" s="10" t="e">
        <f>_xlfn.XLOOKUP(A720, Sheet4!A:A, Sheet4!C:C)</f>
        <v>#N/A</v>
      </c>
      <c r="C720" s="10">
        <v>-1</v>
      </c>
      <c r="D720" s="10" t="e">
        <f>_xlfn.XLOOKUP(A720, Sheet2!A:A, Sheet2!B:B)</f>
        <v>#N/A</v>
      </c>
      <c r="E720" s="10">
        <f>_xlfn.XLOOKUP(A720, Sheet1!A:A, Sheet1!G:G)</f>
        <v>1</v>
      </c>
      <c r="F720" s="10">
        <f t="shared" si="11"/>
        <v>1</v>
      </c>
      <c r="G720" cm="1">
        <f t="array" ref="G720:J720">_xlfn.XLOOKUP(A720, Sheet1!A:A, Sheet1!C:F)</f>
        <v>0</v>
      </c>
      <c r="H720">
        <v>0</v>
      </c>
      <c r="I720">
        <v>0</v>
      </c>
      <c r="J720">
        <v>0</v>
      </c>
    </row>
    <row r="721" spans="1:10" x14ac:dyDescent="0.3">
      <c r="A721" t="str" cm="1">
        <f t="array" ref="A721">IF(ROW()&lt;=COUNTA(Sheet1!A:A), INDEX(Sheet1!A:A, ROW()),
INDEX(Sheet4!A:A, ROW()-COUNTA(Sheet1!A:A)))</f>
        <v>Al1 Cr1 Fe1 Mo0.5 Ni1 Ti0.5</v>
      </c>
      <c r="B721" s="10" t="e">
        <f>_xlfn.XLOOKUP(A721, Sheet4!A:A, Sheet4!C:C)</f>
        <v>#N/A</v>
      </c>
      <c r="C721" s="10">
        <v>-1</v>
      </c>
      <c r="D721" s="10" t="e">
        <f>_xlfn.XLOOKUP(A721, Sheet2!A:A, Sheet2!B:B)</f>
        <v>#N/A</v>
      </c>
      <c r="E721" s="10">
        <f>_xlfn.XLOOKUP(A721, Sheet1!A:A, Sheet1!G:G)</f>
        <v>1</v>
      </c>
      <c r="F721" s="10">
        <f t="shared" si="11"/>
        <v>1</v>
      </c>
      <c r="G721" cm="1">
        <f t="array" ref="G721:J721">_xlfn.XLOOKUP(A721, Sheet1!A:A, Sheet1!C:F)</f>
        <v>0</v>
      </c>
      <c r="H721">
        <v>0</v>
      </c>
      <c r="I721">
        <v>0</v>
      </c>
      <c r="J721">
        <v>0</v>
      </c>
    </row>
    <row r="722" spans="1:10" x14ac:dyDescent="0.3">
      <c r="A722" t="str" cm="1">
        <f t="array" ref="A722">IF(ROW()&lt;=COUNTA(Sheet1!A:A), INDEX(Sheet1!A:A, ROW()),
INDEX(Sheet4!A:A, ROW()-COUNTA(Sheet1!A:A)))</f>
        <v>Al1 Cr1 Fe1 Mo0.5 Ni1 Ti0.4</v>
      </c>
      <c r="B722" s="10" t="e">
        <f>_xlfn.XLOOKUP(A722, Sheet4!A:A, Sheet4!C:C)</f>
        <v>#N/A</v>
      </c>
      <c r="C722" s="10">
        <v>-1</v>
      </c>
      <c r="D722" s="10" t="e">
        <f>_xlfn.XLOOKUP(A722, Sheet2!A:A, Sheet2!B:B)</f>
        <v>#N/A</v>
      </c>
      <c r="E722" s="10">
        <f>_xlfn.XLOOKUP(A722, Sheet1!A:A, Sheet1!G:G)</f>
        <v>1</v>
      </c>
      <c r="F722" s="10">
        <f t="shared" si="11"/>
        <v>1</v>
      </c>
      <c r="G722" cm="1">
        <f t="array" ref="G722:J722">_xlfn.XLOOKUP(A722, Sheet1!A:A, Sheet1!C:F)</f>
        <v>0</v>
      </c>
      <c r="H722">
        <v>0</v>
      </c>
      <c r="I722">
        <v>0</v>
      </c>
      <c r="J722">
        <v>0</v>
      </c>
    </row>
    <row r="723" spans="1:10" x14ac:dyDescent="0.3">
      <c r="A723" t="str" cm="1">
        <f t="array" ref="A723">IF(ROW()&lt;=COUNTA(Sheet1!A:A), INDEX(Sheet1!A:A, ROW()),
INDEX(Sheet4!A:A, ROW()-COUNTA(Sheet1!A:A)))</f>
        <v>Al1 Cr1 Fe1 Mo0.5 Ni1 Ti0.25</v>
      </c>
      <c r="B723" s="10" t="e">
        <f>_xlfn.XLOOKUP(A723, Sheet4!A:A, Sheet4!C:C)</f>
        <v>#N/A</v>
      </c>
      <c r="C723" s="10">
        <v>-1</v>
      </c>
      <c r="D723" s="10" t="e">
        <f>_xlfn.XLOOKUP(A723, Sheet2!A:A, Sheet2!B:B)</f>
        <v>#N/A</v>
      </c>
      <c r="E723" s="10">
        <f>_xlfn.XLOOKUP(A723, Sheet1!A:A, Sheet1!G:G)</f>
        <v>1</v>
      </c>
      <c r="F723" s="10">
        <f t="shared" si="11"/>
        <v>1</v>
      </c>
      <c r="G723" cm="1">
        <f t="array" ref="G723:J723">_xlfn.XLOOKUP(A723, Sheet1!A:A, Sheet1!C:F)</f>
        <v>0</v>
      </c>
      <c r="H723">
        <v>0</v>
      </c>
      <c r="I723">
        <v>0</v>
      </c>
      <c r="J723">
        <v>0</v>
      </c>
    </row>
    <row r="724" spans="1:10" x14ac:dyDescent="0.3">
      <c r="A724" t="str" cm="1">
        <f t="array" ref="A724">IF(ROW()&lt;=COUNTA(Sheet1!A:A), INDEX(Sheet1!A:A, ROW()),
INDEX(Sheet4!A:A, ROW()-COUNTA(Sheet1!A:A)))</f>
        <v>Al1 Mo0.5 Nb1 Ta0.5 Ti1 Zr1</v>
      </c>
      <c r="B724" s="10" t="e">
        <f>_xlfn.XLOOKUP(A724, Sheet4!A:A, Sheet4!C:C)</f>
        <v>#N/A</v>
      </c>
      <c r="C724" s="10">
        <v>-1</v>
      </c>
      <c r="D724" s="10" t="e">
        <f>_xlfn.XLOOKUP(A724, Sheet2!A:A, Sheet2!B:B)</f>
        <v>#N/A</v>
      </c>
      <c r="E724" s="10">
        <f>_xlfn.XLOOKUP(A724, Sheet1!A:A, Sheet1!G:G)</f>
        <v>1</v>
      </c>
      <c r="F724" s="10">
        <f t="shared" si="11"/>
        <v>1</v>
      </c>
      <c r="G724" cm="1">
        <f t="array" ref="G724:J724">_xlfn.XLOOKUP(A724, Sheet1!A:A, Sheet1!C:F)</f>
        <v>0</v>
      </c>
      <c r="H724">
        <v>0</v>
      </c>
      <c r="I724">
        <v>0</v>
      </c>
      <c r="J724">
        <v>0</v>
      </c>
    </row>
    <row r="725" spans="1:10" x14ac:dyDescent="0.3">
      <c r="A725" t="str" cm="1">
        <f t="array" ref="A725">IF(ROW()&lt;=COUNTA(Sheet1!A:A), INDEX(Sheet1!A:A, ROW()),
INDEX(Sheet4!A:A, ROW()-COUNTA(Sheet1!A:A)))</f>
        <v>Al0.5 Mo0.5 Nb1 Ta0.5 Ti1 Zr1</v>
      </c>
      <c r="B725" s="10" t="e">
        <f>_xlfn.XLOOKUP(A725, Sheet4!A:A, Sheet4!C:C)</f>
        <v>#N/A</v>
      </c>
      <c r="C725" s="10">
        <v>-1</v>
      </c>
      <c r="D725" s="10" t="e">
        <f>_xlfn.XLOOKUP(A725, Sheet2!A:A, Sheet2!B:B)</f>
        <v>#N/A</v>
      </c>
      <c r="E725" s="10">
        <f>_xlfn.XLOOKUP(A725, Sheet1!A:A, Sheet1!G:G)</f>
        <v>1</v>
      </c>
      <c r="F725" s="10">
        <f t="shared" si="11"/>
        <v>1</v>
      </c>
      <c r="G725" cm="1">
        <f t="array" ref="G725:J725">_xlfn.XLOOKUP(A725, Sheet1!A:A, Sheet1!C:F)</f>
        <v>0</v>
      </c>
      <c r="H725">
        <v>0</v>
      </c>
      <c r="I725">
        <v>0</v>
      </c>
      <c r="J725">
        <v>0</v>
      </c>
    </row>
    <row r="726" spans="1:10" x14ac:dyDescent="0.3">
      <c r="A726" t="str" cm="1">
        <f t="array" ref="A726">IF(ROW()&lt;=COUNTA(Sheet1!A:A), INDEX(Sheet1!A:A, ROW()),
INDEX(Sheet4!A:A, ROW()-COUNTA(Sheet1!A:A)))</f>
        <v>Al0.25 Nb1 Ta1 Ti1 Zr1</v>
      </c>
      <c r="B726" s="10" t="e">
        <f>_xlfn.XLOOKUP(A726, Sheet4!A:A, Sheet4!C:C)</f>
        <v>#N/A</v>
      </c>
      <c r="C726" s="10">
        <v>-1</v>
      </c>
      <c r="D726" s="10" t="e">
        <f>_xlfn.XLOOKUP(A726, Sheet2!A:A, Sheet2!B:B)</f>
        <v>#N/A</v>
      </c>
      <c r="E726" s="10">
        <f>_xlfn.XLOOKUP(A726, Sheet1!A:A, Sheet1!G:G)</f>
        <v>1</v>
      </c>
      <c r="F726" s="10">
        <f t="shared" si="11"/>
        <v>1</v>
      </c>
      <c r="G726" cm="1">
        <f t="array" ref="G726:J726">_xlfn.XLOOKUP(A726, Sheet1!A:A, Sheet1!C:F)</f>
        <v>0</v>
      </c>
      <c r="H726">
        <v>0</v>
      </c>
      <c r="I726">
        <v>0</v>
      </c>
      <c r="J726">
        <v>0</v>
      </c>
    </row>
    <row r="727" spans="1:10" x14ac:dyDescent="0.3">
      <c r="A727" t="str" cm="1">
        <f t="array" ref="A727">IF(ROW()&lt;=COUNTA(Sheet1!A:A), INDEX(Sheet1!A:A, ROW()),
INDEX(Sheet4!A:A, ROW()-COUNTA(Sheet1!A:A)))</f>
        <v>Al1 Cr1 Fe1 Mo0.5 Ni1 Ti0.75</v>
      </c>
      <c r="B727" s="10" t="e">
        <f>_xlfn.XLOOKUP(A727, Sheet4!A:A, Sheet4!C:C)</f>
        <v>#N/A</v>
      </c>
      <c r="C727" s="10">
        <v>-1</v>
      </c>
      <c r="D727" s="10" t="e">
        <f>_xlfn.XLOOKUP(A727, Sheet2!A:A, Sheet2!B:B)</f>
        <v>#N/A</v>
      </c>
      <c r="E727" s="10">
        <f>_xlfn.XLOOKUP(A727, Sheet1!A:A, Sheet1!G:G)</f>
        <v>1</v>
      </c>
      <c r="F727" s="10">
        <f t="shared" si="11"/>
        <v>1</v>
      </c>
      <c r="G727" cm="1">
        <f t="array" ref="G727:J727">_xlfn.XLOOKUP(A727, Sheet1!A:A, Sheet1!C:F)</f>
        <v>0</v>
      </c>
      <c r="H727">
        <v>0</v>
      </c>
      <c r="I727">
        <v>0</v>
      </c>
      <c r="J727">
        <v>0</v>
      </c>
    </row>
    <row r="728" spans="1:10" x14ac:dyDescent="0.3">
      <c r="A728" t="str" cm="1">
        <f t="array" ref="A728">IF(ROW()&lt;=COUNTA(Sheet1!A:A), INDEX(Sheet1!A:A, ROW()),
INDEX(Sheet4!A:A, ROW()-COUNTA(Sheet1!A:A)))</f>
        <v>Al0.511 Co0.511 Cr0.511 Fe0.511 Ni1</v>
      </c>
      <c r="B728" s="10" t="e">
        <f>_xlfn.XLOOKUP(A728, Sheet4!A:A, Sheet4!C:C)</f>
        <v>#N/A</v>
      </c>
      <c r="C728" s="10">
        <v>-1</v>
      </c>
      <c r="D728" s="10" t="e">
        <f>_xlfn.XLOOKUP(A728, Sheet2!A:A, Sheet2!B:B)</f>
        <v>#N/A</v>
      </c>
      <c r="E728" s="10">
        <f>_xlfn.XLOOKUP(A728, Sheet1!A:A, Sheet1!G:G)</f>
        <v>1</v>
      </c>
      <c r="F728" s="10">
        <f t="shared" si="11"/>
        <v>1</v>
      </c>
      <c r="G728" cm="1">
        <f t="array" ref="G728:J728">_xlfn.XLOOKUP(A728, Sheet1!A:A, Sheet1!C:F)</f>
        <v>0</v>
      </c>
      <c r="H728">
        <v>0</v>
      </c>
      <c r="I728">
        <v>0</v>
      </c>
      <c r="J728">
        <v>0</v>
      </c>
    </row>
    <row r="729" spans="1:10" x14ac:dyDescent="0.3">
      <c r="A729" t="str" cm="1">
        <f t="array" ref="A729">IF(ROW()&lt;=COUNTA(Sheet1!A:A), INDEX(Sheet1!A:A, ROW()),
INDEX(Sheet4!A:A, ROW()-COUNTA(Sheet1!A:A)))</f>
        <v>Al0.451 Co0.451 Cr0.451 Fe0.451 Ni1</v>
      </c>
      <c r="B729" s="10" t="e">
        <f>_xlfn.XLOOKUP(A729, Sheet4!A:A, Sheet4!C:C)</f>
        <v>#N/A</v>
      </c>
      <c r="C729" s="10">
        <v>-1</v>
      </c>
      <c r="D729" s="10" t="e">
        <f>_xlfn.XLOOKUP(A729, Sheet2!A:A, Sheet2!B:B)</f>
        <v>#N/A</v>
      </c>
      <c r="E729" s="10">
        <f>_xlfn.XLOOKUP(A729, Sheet1!A:A, Sheet1!G:G)</f>
        <v>1</v>
      </c>
      <c r="F729" s="10">
        <f t="shared" si="11"/>
        <v>1</v>
      </c>
      <c r="G729" cm="1">
        <f t="array" ref="G729:J729">_xlfn.XLOOKUP(A729, Sheet1!A:A, Sheet1!C:F)</f>
        <v>0</v>
      </c>
      <c r="H729">
        <v>0</v>
      </c>
      <c r="I729">
        <v>0</v>
      </c>
      <c r="J729">
        <v>0</v>
      </c>
    </row>
    <row r="730" spans="1:10" x14ac:dyDescent="0.3">
      <c r="A730" t="str" cm="1">
        <f t="array" ref="A730">IF(ROW()&lt;=COUNTA(Sheet1!A:A), INDEX(Sheet1!A:A, ROW()),
INDEX(Sheet4!A:A, ROW()-COUNTA(Sheet1!A:A)))</f>
        <v>Al1 Cr0.767 Fe0.767 Ni0.767</v>
      </c>
      <c r="B730" s="10" t="e">
        <f>_xlfn.XLOOKUP(A730, Sheet4!A:A, Sheet4!C:C)</f>
        <v>#N/A</v>
      </c>
      <c r="C730" s="10">
        <v>-1</v>
      </c>
      <c r="D730" s="10" t="e">
        <f>_xlfn.XLOOKUP(A730, Sheet2!A:A, Sheet2!B:B)</f>
        <v>#N/A</v>
      </c>
      <c r="E730" s="10">
        <f>_xlfn.XLOOKUP(A730, Sheet1!A:A, Sheet1!G:G)</f>
        <v>1</v>
      </c>
      <c r="F730" s="10">
        <f t="shared" si="11"/>
        <v>1</v>
      </c>
      <c r="G730" cm="1">
        <f t="array" ref="G730:J730">_xlfn.XLOOKUP(A730, Sheet1!A:A, Sheet1!C:F)</f>
        <v>0</v>
      </c>
      <c r="H730">
        <v>0</v>
      </c>
      <c r="I730">
        <v>0</v>
      </c>
      <c r="J730">
        <v>0</v>
      </c>
    </row>
    <row r="731" spans="1:10" x14ac:dyDescent="0.3">
      <c r="A731" t="str" cm="1">
        <f t="array" ref="A731">IF(ROW()&lt;=COUNTA(Sheet1!A:A), INDEX(Sheet1!A:A, ROW()),
INDEX(Sheet4!A:A, ROW()-COUNTA(Sheet1!A:A)))</f>
        <v>Al1 Cr0.828 Fe0.828 Ni0.828</v>
      </c>
      <c r="B731" s="10" t="e">
        <f>_xlfn.XLOOKUP(A731, Sheet4!A:A, Sheet4!C:C)</f>
        <v>#N/A</v>
      </c>
      <c r="C731" s="10">
        <v>-1</v>
      </c>
      <c r="D731" s="10" t="e">
        <f>_xlfn.XLOOKUP(A731, Sheet2!A:A, Sheet2!B:B)</f>
        <v>#N/A</v>
      </c>
      <c r="E731" s="10">
        <f>_xlfn.XLOOKUP(A731, Sheet1!A:A, Sheet1!G:G)</f>
        <v>1</v>
      </c>
      <c r="F731" s="10">
        <f t="shared" si="11"/>
        <v>1</v>
      </c>
      <c r="G731" cm="1">
        <f t="array" ref="G731:J731">_xlfn.XLOOKUP(A731, Sheet1!A:A, Sheet1!C:F)</f>
        <v>0</v>
      </c>
      <c r="H731">
        <v>0</v>
      </c>
      <c r="I731">
        <v>0</v>
      </c>
      <c r="J731">
        <v>0</v>
      </c>
    </row>
    <row r="732" spans="1:10" x14ac:dyDescent="0.3">
      <c r="A732" t="str" cm="1">
        <f t="array" ref="A732">IF(ROW()&lt;=COUNTA(Sheet1!A:A), INDEX(Sheet1!A:A, ROW()),
INDEX(Sheet4!A:A, ROW()-COUNTA(Sheet1!A:A)))</f>
        <v>Al1 Cr0.889 Fe0.889 Ni0.889</v>
      </c>
      <c r="B732" s="10" t="e">
        <f>_xlfn.XLOOKUP(A732, Sheet4!A:A, Sheet4!C:C)</f>
        <v>#N/A</v>
      </c>
      <c r="C732" s="10">
        <v>-1</v>
      </c>
      <c r="D732" s="10" t="e">
        <f>_xlfn.XLOOKUP(A732, Sheet2!A:A, Sheet2!B:B)</f>
        <v>#N/A</v>
      </c>
      <c r="E732" s="10">
        <f>_xlfn.XLOOKUP(A732, Sheet1!A:A, Sheet1!G:G)</f>
        <v>1</v>
      </c>
      <c r="F732" s="10">
        <f t="shared" si="11"/>
        <v>1</v>
      </c>
      <c r="G732" cm="1">
        <f t="array" ref="G732:J732">_xlfn.XLOOKUP(A732, Sheet1!A:A, Sheet1!C:F)</f>
        <v>0</v>
      </c>
      <c r="H732">
        <v>0</v>
      </c>
      <c r="I732">
        <v>0</v>
      </c>
      <c r="J732">
        <v>0</v>
      </c>
    </row>
    <row r="733" spans="1:10" x14ac:dyDescent="0.3">
      <c r="A733" t="str" cm="1">
        <f t="array" ref="A733">IF(ROW()&lt;=COUNTA(Sheet1!A:A), INDEX(Sheet1!A:A, ROW()),
INDEX(Sheet4!A:A, ROW()-COUNTA(Sheet1!A:A)))</f>
        <v>Al1 Cr1 Fe1 Ni1</v>
      </c>
      <c r="B733" s="10" t="e">
        <f>_xlfn.XLOOKUP(A733, Sheet4!A:A, Sheet4!C:C)</f>
        <v>#N/A</v>
      </c>
      <c r="C733" s="10">
        <v>-1</v>
      </c>
      <c r="D733" s="10" t="e">
        <f>_xlfn.XLOOKUP(A733, Sheet2!A:A, Sheet2!B:B)</f>
        <v>#N/A</v>
      </c>
      <c r="E733" s="10">
        <f>_xlfn.XLOOKUP(A733, Sheet1!A:A, Sheet1!G:G)</f>
        <v>1</v>
      </c>
      <c r="F733" s="10">
        <f t="shared" si="11"/>
        <v>1</v>
      </c>
      <c r="G733" cm="1">
        <f t="array" ref="G733:J733">_xlfn.XLOOKUP(A733, Sheet1!A:A, Sheet1!C:F)</f>
        <v>0</v>
      </c>
      <c r="H733">
        <v>0</v>
      </c>
      <c r="I733">
        <v>0</v>
      </c>
      <c r="J733">
        <v>0</v>
      </c>
    </row>
    <row r="734" spans="1:10" x14ac:dyDescent="0.3">
      <c r="A734" t="str" cm="1">
        <f t="array" ref="A734">IF(ROW()&lt;=COUNTA(Sheet1!A:A), INDEX(Sheet1!A:A, ROW()),
INDEX(Sheet4!A:A, ROW()-COUNTA(Sheet1!A:A)))</f>
        <v>Al0.885 Cr1 Fe1 Ni1</v>
      </c>
      <c r="B734" s="10" t="e">
        <f>_xlfn.XLOOKUP(A734, Sheet4!A:A, Sheet4!C:C)</f>
        <v>#N/A</v>
      </c>
      <c r="C734" s="10">
        <v>-1</v>
      </c>
      <c r="D734" s="10" t="e">
        <f>_xlfn.XLOOKUP(A734, Sheet2!A:A, Sheet2!B:B)</f>
        <v>#N/A</v>
      </c>
      <c r="E734" s="10">
        <f>_xlfn.XLOOKUP(A734, Sheet1!A:A, Sheet1!G:G)</f>
        <v>1</v>
      </c>
      <c r="F734" s="10">
        <f t="shared" si="11"/>
        <v>1</v>
      </c>
      <c r="G734" cm="1">
        <f t="array" ref="G734:J734">_xlfn.XLOOKUP(A734, Sheet1!A:A, Sheet1!C:F)</f>
        <v>0</v>
      </c>
      <c r="H734">
        <v>0</v>
      </c>
      <c r="I734">
        <v>0</v>
      </c>
      <c r="J734">
        <v>0</v>
      </c>
    </row>
    <row r="735" spans="1:10" x14ac:dyDescent="0.3">
      <c r="A735" t="str" cm="1">
        <f t="array" ref="A735">IF(ROW()&lt;=COUNTA(Sheet1!A:A), INDEX(Sheet1!A:A, ROW()),
INDEX(Sheet4!A:A, ROW()-COUNTA(Sheet1!A:A)))</f>
        <v>Al0.304 Co1 Cr1 Fe1 Ni1</v>
      </c>
      <c r="B735" s="10" t="e">
        <f>_xlfn.XLOOKUP(A735, Sheet4!A:A, Sheet4!C:C)</f>
        <v>#N/A</v>
      </c>
      <c r="C735" s="10">
        <v>-1</v>
      </c>
      <c r="D735" s="10" t="e">
        <f>_xlfn.XLOOKUP(A735, Sheet2!A:A, Sheet2!B:B)</f>
        <v>#N/A</v>
      </c>
      <c r="E735" s="10">
        <f>_xlfn.XLOOKUP(A735, Sheet1!A:A, Sheet1!G:G)</f>
        <v>1</v>
      </c>
      <c r="F735" s="10">
        <f t="shared" si="11"/>
        <v>1</v>
      </c>
      <c r="G735" cm="1">
        <f t="array" ref="G735:J735">_xlfn.XLOOKUP(A735, Sheet1!A:A, Sheet1!C:F)</f>
        <v>0</v>
      </c>
      <c r="H735">
        <v>0</v>
      </c>
      <c r="I735">
        <v>0</v>
      </c>
      <c r="J735">
        <v>0</v>
      </c>
    </row>
    <row r="736" spans="1:10" x14ac:dyDescent="0.3">
      <c r="A736" t="str" cm="1">
        <f t="array" ref="A736">IF(ROW()&lt;=COUNTA(Sheet1!A:A), INDEX(Sheet1!A:A, ROW()),
INDEX(Sheet4!A:A, ROW()-COUNTA(Sheet1!A:A)))</f>
        <v>Al0.465 Co0.465 Cr0.465 Fe0.465 Ni1</v>
      </c>
      <c r="B736" s="10" t="e">
        <f>_xlfn.XLOOKUP(A736, Sheet4!A:A, Sheet4!C:C)</f>
        <v>#N/A</v>
      </c>
      <c r="C736" s="10">
        <v>-1</v>
      </c>
      <c r="D736" s="10" t="e">
        <f>_xlfn.XLOOKUP(A736, Sheet2!A:A, Sheet2!B:B)</f>
        <v>#N/A</v>
      </c>
      <c r="E736" s="10">
        <f>_xlfn.XLOOKUP(A736, Sheet1!A:A, Sheet1!G:G)</f>
        <v>1</v>
      </c>
      <c r="F736" s="10">
        <f t="shared" si="11"/>
        <v>1</v>
      </c>
      <c r="G736" cm="1">
        <f t="array" ref="G736:J736">_xlfn.XLOOKUP(A736, Sheet1!A:A, Sheet1!C:F)</f>
        <v>0</v>
      </c>
      <c r="H736">
        <v>0</v>
      </c>
      <c r="I736">
        <v>0</v>
      </c>
      <c r="J736">
        <v>0</v>
      </c>
    </row>
    <row r="737" spans="1:10" x14ac:dyDescent="0.3">
      <c r="A737" t="str" cm="1">
        <f t="array" ref="A737">IF(ROW()&lt;=COUNTA(Sheet1!A:A), INDEX(Sheet1!A:A, ROW()),
INDEX(Sheet4!A:A, ROW()-COUNTA(Sheet1!A:A)))</f>
        <v>Al0.515 Cr0.515 Fe1 Ni1</v>
      </c>
      <c r="B737" s="10" t="e">
        <f>_xlfn.XLOOKUP(A737, Sheet4!A:A, Sheet4!C:C)</f>
        <v>#N/A</v>
      </c>
      <c r="C737" s="10">
        <v>-1</v>
      </c>
      <c r="D737" s="10" t="e">
        <f>_xlfn.XLOOKUP(A737, Sheet2!A:A, Sheet2!B:B)</f>
        <v>#N/A</v>
      </c>
      <c r="E737" s="10">
        <f>_xlfn.XLOOKUP(A737, Sheet1!A:A, Sheet1!G:G)</f>
        <v>1</v>
      </c>
      <c r="F737" s="10">
        <f t="shared" si="11"/>
        <v>1</v>
      </c>
      <c r="G737" cm="1">
        <f t="array" ref="G737:J737">_xlfn.XLOOKUP(A737, Sheet1!A:A, Sheet1!C:F)</f>
        <v>0</v>
      </c>
      <c r="H737">
        <v>0</v>
      </c>
      <c r="I737">
        <v>0</v>
      </c>
      <c r="J737">
        <v>0</v>
      </c>
    </row>
    <row r="738" spans="1:10" x14ac:dyDescent="0.3">
      <c r="A738" t="str" cm="1">
        <f t="array" ref="A738">IF(ROW()&lt;=COUNTA(Sheet1!A:A), INDEX(Sheet1!A:A, ROW()),
INDEX(Sheet4!A:A, ROW()-COUNTA(Sheet1!A:A)))</f>
        <v>Al0.343 Co0.514 Cr0.514 Fe1 Ni0.514</v>
      </c>
      <c r="B738" s="10" t="e">
        <f>_xlfn.XLOOKUP(A738, Sheet4!A:A, Sheet4!C:C)</f>
        <v>#N/A</v>
      </c>
      <c r="C738" s="10">
        <v>-1</v>
      </c>
      <c r="D738" s="10" t="e">
        <f>_xlfn.XLOOKUP(A738, Sheet2!A:A, Sheet2!B:B)</f>
        <v>#N/A</v>
      </c>
      <c r="E738" s="10">
        <f>_xlfn.XLOOKUP(A738, Sheet1!A:A, Sheet1!G:G)</f>
        <v>1</v>
      </c>
      <c r="F738" s="10">
        <f t="shared" si="11"/>
        <v>1</v>
      </c>
      <c r="G738" cm="1">
        <f t="array" ref="G738:J738">_xlfn.XLOOKUP(A738, Sheet1!A:A, Sheet1!C:F)</f>
        <v>0</v>
      </c>
      <c r="H738">
        <v>0</v>
      </c>
      <c r="I738">
        <v>0</v>
      </c>
      <c r="J738">
        <v>0</v>
      </c>
    </row>
    <row r="739" spans="1:10" x14ac:dyDescent="0.3">
      <c r="A739" t="str" cm="1">
        <f t="array" ref="A739">IF(ROW()&lt;=COUNTA(Sheet1!A:A), INDEX(Sheet1!A:A, ROW()),
INDEX(Sheet4!A:A, ROW()-COUNTA(Sheet1!A:A)))</f>
        <v>Al0.5 Cr0.5 Fe1 Ni1</v>
      </c>
      <c r="B739" s="10" t="e">
        <f>_xlfn.XLOOKUP(A739, Sheet4!A:A, Sheet4!C:C)</f>
        <v>#N/A</v>
      </c>
      <c r="C739" s="10">
        <v>-1</v>
      </c>
      <c r="D739" s="10" t="e">
        <f>_xlfn.XLOOKUP(A739, Sheet2!A:A, Sheet2!B:B)</f>
        <v>#N/A</v>
      </c>
      <c r="E739" s="10">
        <f>_xlfn.XLOOKUP(A739, Sheet1!A:A, Sheet1!G:G)</f>
        <v>1</v>
      </c>
      <c r="F739" s="10">
        <f t="shared" si="11"/>
        <v>1</v>
      </c>
      <c r="G739" cm="1">
        <f t="array" ref="G739:J739">_xlfn.XLOOKUP(A739, Sheet1!A:A, Sheet1!C:F)</f>
        <v>0</v>
      </c>
      <c r="H739">
        <v>0</v>
      </c>
      <c r="I739">
        <v>0</v>
      </c>
      <c r="J739">
        <v>0</v>
      </c>
    </row>
    <row r="740" spans="1:10" x14ac:dyDescent="0.3">
      <c r="A740" t="str" cm="1">
        <f t="array" ref="A740">IF(ROW()&lt;=COUNTA(Sheet1!A:A), INDEX(Sheet1!A:A, ROW()),
INDEX(Sheet4!A:A, ROW()-COUNTA(Sheet1!A:A)))</f>
        <v>Al0.515 Cr0.515 Cu0.515 Fe0.515 Ni1</v>
      </c>
      <c r="B740" s="10" t="e">
        <f>_xlfn.XLOOKUP(A740, Sheet4!A:A, Sheet4!C:C)</f>
        <v>#N/A</v>
      </c>
      <c r="C740" s="10">
        <v>-1</v>
      </c>
      <c r="D740" s="10" t="e">
        <f>_xlfn.XLOOKUP(A740, Sheet2!A:A, Sheet2!B:B)</f>
        <v>#N/A</v>
      </c>
      <c r="E740" s="10">
        <f>_xlfn.XLOOKUP(A740, Sheet1!A:A, Sheet1!G:G)</f>
        <v>1</v>
      </c>
      <c r="F740" s="10">
        <f t="shared" si="11"/>
        <v>1</v>
      </c>
      <c r="G740" cm="1">
        <f t="array" ref="G740:J740">_xlfn.XLOOKUP(A740, Sheet1!A:A, Sheet1!C:F)</f>
        <v>0</v>
      </c>
      <c r="H740">
        <v>0</v>
      </c>
      <c r="I740">
        <v>0</v>
      </c>
      <c r="J740">
        <v>0</v>
      </c>
    </row>
    <row r="741" spans="1:10" x14ac:dyDescent="0.3">
      <c r="A741" t="str" cm="1">
        <f t="array" ref="A741">IF(ROW()&lt;=COUNTA(Sheet1!A:A), INDEX(Sheet1!A:A, ROW()),
INDEX(Sheet4!A:A, ROW()-COUNTA(Sheet1!A:A)))</f>
        <v>Al0.545 Cr0.545 Fe0.515 Ni1 Ti0.273</v>
      </c>
      <c r="B741" s="10" t="e">
        <f>_xlfn.XLOOKUP(A741, Sheet4!A:A, Sheet4!C:C)</f>
        <v>#N/A</v>
      </c>
      <c r="C741" s="10">
        <v>-1</v>
      </c>
      <c r="D741" s="10" t="e">
        <f>_xlfn.XLOOKUP(A741, Sheet2!A:A, Sheet2!B:B)</f>
        <v>#N/A</v>
      </c>
      <c r="E741" s="10">
        <f>_xlfn.XLOOKUP(A741, Sheet1!A:A, Sheet1!G:G)</f>
        <v>1</v>
      </c>
      <c r="F741" s="10">
        <f t="shared" si="11"/>
        <v>1</v>
      </c>
      <c r="G741" cm="1">
        <f t="array" ref="G741:J741">_xlfn.XLOOKUP(A741, Sheet1!A:A, Sheet1!C:F)</f>
        <v>0</v>
      </c>
      <c r="H741">
        <v>0</v>
      </c>
      <c r="I741">
        <v>0</v>
      </c>
      <c r="J741">
        <v>0</v>
      </c>
    </row>
    <row r="742" spans="1:10" x14ac:dyDescent="0.3">
      <c r="A742" t="str" cm="1">
        <f t="array" ref="A742">IF(ROW()&lt;=COUNTA(Sheet1!A:A), INDEX(Sheet1!A:A, ROW()),
INDEX(Sheet4!A:A, ROW()-COUNTA(Sheet1!A:A)))</f>
        <v>Al0.667 Co0.667 Cr0.667 Fe0.667 Mo0.333 Ni1</v>
      </c>
      <c r="B742" s="10" t="e">
        <f>_xlfn.XLOOKUP(A742, Sheet4!A:A, Sheet4!C:C)</f>
        <v>#N/A</v>
      </c>
      <c r="C742" s="10">
        <v>-1</v>
      </c>
      <c r="D742" s="10" t="e">
        <f>_xlfn.XLOOKUP(A742, Sheet2!A:A, Sheet2!B:B)</f>
        <v>#N/A</v>
      </c>
      <c r="E742" s="10">
        <f>_xlfn.XLOOKUP(A742, Sheet1!A:A, Sheet1!G:G)</f>
        <v>1</v>
      </c>
      <c r="F742" s="10">
        <f t="shared" si="11"/>
        <v>1</v>
      </c>
      <c r="G742" cm="1">
        <f t="array" ref="G742:J742">_xlfn.XLOOKUP(A742, Sheet1!A:A, Sheet1!C:F)</f>
        <v>0</v>
      </c>
      <c r="H742">
        <v>0</v>
      </c>
      <c r="I742">
        <v>0</v>
      </c>
      <c r="J742">
        <v>0</v>
      </c>
    </row>
    <row r="743" spans="1:10" x14ac:dyDescent="0.3">
      <c r="A743" t="str" cm="1">
        <f t="array" ref="A743">IF(ROW()&lt;=COUNTA(Sheet1!A:A), INDEX(Sheet1!A:A, ROW()),
INDEX(Sheet4!A:A, ROW()-COUNTA(Sheet1!A:A)))</f>
        <v>Al0.5 Co0.5 Cr0.5 Fe0.5 Mo0.25 Ni1</v>
      </c>
      <c r="B743" s="10" t="e">
        <f>_xlfn.XLOOKUP(A743, Sheet4!A:A, Sheet4!C:C)</f>
        <v>#N/A</v>
      </c>
      <c r="C743" s="10">
        <v>-1</v>
      </c>
      <c r="D743" s="10" t="e">
        <f>_xlfn.XLOOKUP(A743, Sheet2!A:A, Sheet2!B:B)</f>
        <v>#N/A</v>
      </c>
      <c r="E743" s="10">
        <f>_xlfn.XLOOKUP(A743, Sheet1!A:A, Sheet1!G:G)</f>
        <v>1</v>
      </c>
      <c r="F743" s="10">
        <f t="shared" si="11"/>
        <v>1</v>
      </c>
      <c r="G743" cm="1">
        <f t="array" ref="G743:J743">_xlfn.XLOOKUP(A743, Sheet1!A:A, Sheet1!C:F)</f>
        <v>0</v>
      </c>
      <c r="H743">
        <v>0</v>
      </c>
      <c r="I743">
        <v>0</v>
      </c>
      <c r="J743">
        <v>0</v>
      </c>
    </row>
    <row r="744" spans="1:10" x14ac:dyDescent="0.3">
      <c r="A744" t="str" cm="1">
        <f t="array" ref="A744">IF(ROW()&lt;=COUNTA(Sheet1!A:A), INDEX(Sheet1!A:A, ROW()),
INDEX(Sheet4!A:A, ROW()-COUNTA(Sheet1!A:A)))</f>
        <v>Al1 Cr1 Fe1 Mo0.2 Ni1</v>
      </c>
      <c r="B744" s="10" t="e">
        <f>_xlfn.XLOOKUP(A744, Sheet4!A:A, Sheet4!C:C)</f>
        <v>#N/A</v>
      </c>
      <c r="C744" s="10">
        <v>-1</v>
      </c>
      <c r="D744" s="10" t="e">
        <f>_xlfn.XLOOKUP(A744, Sheet2!A:A, Sheet2!B:B)</f>
        <v>#N/A</v>
      </c>
      <c r="E744" s="10">
        <f>_xlfn.XLOOKUP(A744, Sheet1!A:A, Sheet1!G:G)</f>
        <v>1</v>
      </c>
      <c r="F744" s="10">
        <f t="shared" si="11"/>
        <v>1</v>
      </c>
      <c r="G744" cm="1">
        <f t="array" ref="G744:J744">_xlfn.XLOOKUP(A744, Sheet1!A:A, Sheet1!C:F)</f>
        <v>0</v>
      </c>
      <c r="H744">
        <v>0</v>
      </c>
      <c r="I744">
        <v>0</v>
      </c>
      <c r="J744">
        <v>0</v>
      </c>
    </row>
    <row r="745" spans="1:10" x14ac:dyDescent="0.3">
      <c r="A745" t="str" cm="1">
        <f t="array" ref="A745">IF(ROW()&lt;=COUNTA(Sheet1!A:A), INDEX(Sheet1!A:A, ROW()),
INDEX(Sheet4!A:A, ROW()-COUNTA(Sheet1!A:A)))</f>
        <v>Al1 Co0.5 Cr0.5 Fe0.5 Mo0.25 Ni0.5</v>
      </c>
      <c r="B745" s="10" t="e">
        <f>_xlfn.XLOOKUP(A745, Sheet4!A:A, Sheet4!C:C)</f>
        <v>#N/A</v>
      </c>
      <c r="C745" s="10">
        <v>-1</v>
      </c>
      <c r="D745" s="10" t="e">
        <f>_xlfn.XLOOKUP(A745, Sheet2!A:A, Sheet2!B:B)</f>
        <v>#N/A</v>
      </c>
      <c r="E745" s="10">
        <f>_xlfn.XLOOKUP(A745, Sheet1!A:A, Sheet1!G:G)</f>
        <v>1</v>
      </c>
      <c r="F745" s="10">
        <f t="shared" si="11"/>
        <v>1</v>
      </c>
      <c r="G745" cm="1">
        <f t="array" ref="G745:J745">_xlfn.XLOOKUP(A745, Sheet1!A:A, Sheet1!C:F)</f>
        <v>0</v>
      </c>
      <c r="H745">
        <v>0</v>
      </c>
      <c r="I745">
        <v>0</v>
      </c>
      <c r="J745">
        <v>0</v>
      </c>
    </row>
    <row r="746" spans="1:10" x14ac:dyDescent="0.3">
      <c r="A746" t="str" cm="1">
        <f t="array" ref="A746">IF(ROW()&lt;=COUNTA(Sheet1!A:A), INDEX(Sheet1!A:A, ROW()),
INDEX(Sheet4!A:A, ROW()-COUNTA(Sheet1!A:A)))</f>
        <v>Al0.7 Co0.3 Cr1 Fe1 Ni1</v>
      </c>
      <c r="B746" s="10" t="e">
        <f>_xlfn.XLOOKUP(A746, Sheet4!A:A, Sheet4!C:C)</f>
        <v>#N/A</v>
      </c>
      <c r="C746" s="10">
        <v>-1</v>
      </c>
      <c r="D746" s="10" t="e">
        <f>_xlfn.XLOOKUP(A746, Sheet2!A:A, Sheet2!B:B)</f>
        <v>#N/A</v>
      </c>
      <c r="E746" s="10">
        <f>_xlfn.XLOOKUP(A746, Sheet1!A:A, Sheet1!G:G)</f>
        <v>1</v>
      </c>
      <c r="F746" s="10">
        <f t="shared" si="11"/>
        <v>1</v>
      </c>
      <c r="G746" cm="1">
        <f t="array" ref="G746:J746">_xlfn.XLOOKUP(A746, Sheet1!A:A, Sheet1!C:F)</f>
        <v>0</v>
      </c>
      <c r="H746">
        <v>0</v>
      </c>
      <c r="I746">
        <v>0</v>
      </c>
      <c r="J746">
        <v>0</v>
      </c>
    </row>
    <row r="747" spans="1:10" x14ac:dyDescent="0.3">
      <c r="A747" t="str" cm="1">
        <f t="array" ref="A747">IF(ROW()&lt;=COUNTA(Sheet1!A:A), INDEX(Sheet1!A:A, ROW()),
INDEX(Sheet4!A:A, ROW()-COUNTA(Sheet1!A:A)))</f>
        <v>Al0.25 Co0.5 Cr0.5 Cu0.5 Fe0.5 Ni0.5 Ti1</v>
      </c>
      <c r="B747" s="10" t="e">
        <f>_xlfn.XLOOKUP(A747, Sheet4!A:A, Sheet4!C:C)</f>
        <v>#N/A</v>
      </c>
      <c r="C747" s="10">
        <v>-1</v>
      </c>
      <c r="D747" s="10" t="e">
        <f>_xlfn.XLOOKUP(A747, Sheet2!A:A, Sheet2!B:B)</f>
        <v>#N/A</v>
      </c>
      <c r="E747" s="10">
        <f>_xlfn.XLOOKUP(A747, Sheet1!A:A, Sheet1!G:G)</f>
        <v>1</v>
      </c>
      <c r="F747" s="10">
        <f t="shared" si="11"/>
        <v>1</v>
      </c>
      <c r="G747" cm="1">
        <f t="array" ref="G747:J747">_xlfn.XLOOKUP(A747, Sheet1!A:A, Sheet1!C:F)</f>
        <v>0</v>
      </c>
      <c r="H747">
        <v>0</v>
      </c>
      <c r="I747">
        <v>0</v>
      </c>
      <c r="J747">
        <v>0</v>
      </c>
    </row>
    <row r="748" spans="1:10" x14ac:dyDescent="0.3">
      <c r="A748" t="str" cm="1">
        <f t="array" ref="A748">IF(ROW()&lt;=COUNTA(Sheet1!A:A), INDEX(Sheet1!A:A, ROW()),
INDEX(Sheet4!A:A, ROW()-COUNTA(Sheet1!A:A)))</f>
        <v>Al0.312 Co0.625 Cr0.625 Cu0.625 Fe0.625 Ni0.625 Ti1</v>
      </c>
      <c r="B748" s="10" t="e">
        <f>_xlfn.XLOOKUP(A748, Sheet4!A:A, Sheet4!C:C)</f>
        <v>#N/A</v>
      </c>
      <c r="C748" s="10">
        <v>-1</v>
      </c>
      <c r="D748" s="10" t="e">
        <f>_xlfn.XLOOKUP(A748, Sheet2!A:A, Sheet2!B:B)</f>
        <v>#N/A</v>
      </c>
      <c r="E748" s="10">
        <f>_xlfn.XLOOKUP(A748, Sheet1!A:A, Sheet1!G:G)</f>
        <v>1</v>
      </c>
      <c r="F748" s="10">
        <f t="shared" si="11"/>
        <v>1</v>
      </c>
      <c r="G748" cm="1">
        <f t="array" ref="G748:J748">_xlfn.XLOOKUP(A748, Sheet1!A:A, Sheet1!C:F)</f>
        <v>0</v>
      </c>
      <c r="H748">
        <v>0</v>
      </c>
      <c r="I748">
        <v>0</v>
      </c>
      <c r="J748">
        <v>0</v>
      </c>
    </row>
    <row r="749" spans="1:10" x14ac:dyDescent="0.3">
      <c r="A749" t="str" cm="1">
        <f t="array" ref="A749">IF(ROW()&lt;=COUNTA(Sheet1!A:A), INDEX(Sheet1!A:A, ROW()),
INDEX(Sheet4!A:A, ROW()-COUNTA(Sheet1!A:A)))</f>
        <v>Al0.357 Co0.714 Cr0.714 Cu0.714 Fe0.714 Ni0.714 Ti1</v>
      </c>
      <c r="B749" s="10" t="e">
        <f>_xlfn.XLOOKUP(A749, Sheet4!A:A, Sheet4!C:C)</f>
        <v>#N/A</v>
      </c>
      <c r="C749" s="10">
        <v>-1</v>
      </c>
      <c r="D749" s="10" t="e">
        <f>_xlfn.XLOOKUP(A749, Sheet2!A:A, Sheet2!B:B)</f>
        <v>#N/A</v>
      </c>
      <c r="E749" s="10">
        <f>_xlfn.XLOOKUP(A749, Sheet1!A:A, Sheet1!G:G)</f>
        <v>1</v>
      </c>
      <c r="F749" s="10">
        <f t="shared" si="11"/>
        <v>1</v>
      </c>
      <c r="G749" cm="1">
        <f t="array" ref="G749:J749">_xlfn.XLOOKUP(A749, Sheet1!A:A, Sheet1!C:F)</f>
        <v>0</v>
      </c>
      <c r="H749">
        <v>0</v>
      </c>
      <c r="I749">
        <v>0</v>
      </c>
      <c r="J749">
        <v>0</v>
      </c>
    </row>
    <row r="750" spans="1:10" x14ac:dyDescent="0.3">
      <c r="A750" t="str" cm="1">
        <f t="array" ref="A750">IF(ROW()&lt;=COUNTA(Sheet1!A:A), INDEX(Sheet1!A:A, ROW()),
INDEX(Sheet4!A:A, ROW()-COUNTA(Sheet1!A:A)))</f>
        <v>Al0.278 Co0.556 Cr0.556 Cu0.556 Fe0.556 Ni0.556 Ti1</v>
      </c>
      <c r="B750" s="10" t="e">
        <f>_xlfn.XLOOKUP(A750, Sheet4!A:A, Sheet4!C:C)</f>
        <v>#N/A</v>
      </c>
      <c r="C750" s="10">
        <v>-1</v>
      </c>
      <c r="D750" s="10" t="e">
        <f>_xlfn.XLOOKUP(A750, Sheet2!A:A, Sheet2!B:B)</f>
        <v>#N/A</v>
      </c>
      <c r="E750" s="10">
        <f>_xlfn.XLOOKUP(A750, Sheet1!A:A, Sheet1!G:G)</f>
        <v>1</v>
      </c>
      <c r="F750" s="10">
        <f t="shared" si="11"/>
        <v>1</v>
      </c>
      <c r="G750" cm="1">
        <f t="array" ref="G750:J750">_xlfn.XLOOKUP(A750, Sheet1!A:A, Sheet1!C:F)</f>
        <v>0</v>
      </c>
      <c r="H750">
        <v>0</v>
      </c>
      <c r="I750">
        <v>0</v>
      </c>
      <c r="J750">
        <v>0</v>
      </c>
    </row>
    <row r="751" spans="1:10" x14ac:dyDescent="0.3">
      <c r="A751" t="str" cm="1">
        <f t="array" ref="A751">IF(ROW()&lt;=COUNTA(Sheet1!A:A), INDEX(Sheet1!A:A, ROW()),
INDEX(Sheet4!A:A, ROW()-COUNTA(Sheet1!A:A)))</f>
        <v>Alloy</v>
      </c>
      <c r="B751" s="10" t="str">
        <f>_xlfn.XLOOKUP(A751, Sheet4!A:A, Sheet4!C:C)</f>
        <v>Actual phase</v>
      </c>
      <c r="C751" s="10">
        <v>-1</v>
      </c>
      <c r="D751" s="10" t="str">
        <f>_xlfn.XLOOKUP(A751, Sheet2!A:A, Sheet2!B:B)</f>
        <v>VEC</v>
      </c>
      <c r="E751" s="10" t="str">
        <f>_xlfn.XLOOKUP(A751, Sheet1!A:A, Sheet1!G:G)</f>
        <v>Etutetic</v>
      </c>
      <c r="F751" s="10">
        <f t="shared" si="11"/>
        <v>-1</v>
      </c>
      <c r="G751" t="str" cm="1">
        <f t="array" ref="G751:J751">_xlfn.XLOOKUP(A751, Sheet1!A:A, Sheet1!C:F)</f>
        <v>%Co</v>
      </c>
      <c r="H751" t="str">
        <v>%Cr</v>
      </c>
      <c r="I751" t="str">
        <v>%Fe</v>
      </c>
      <c r="J751" t="str">
        <v>%Ni</v>
      </c>
    </row>
    <row r="752" spans="1:10" x14ac:dyDescent="0.3">
      <c r="A752" t="str" cm="1">
        <f t="array" ref="A752">IF(ROW()&lt;=COUNTA(Sheet1!A:A), INDEX(Sheet1!A:A, ROW()),
INDEX(Sheet4!A:A, ROW()-COUNTA(Sheet1!A:A)))</f>
        <v>Al0.1CoCr3Fe5Ni</v>
      </c>
      <c r="B752" s="10">
        <f>_xlfn.XLOOKUP(A752, Sheet4!A:A, Sheet4!C:C)</f>
        <v>0</v>
      </c>
      <c r="C752" s="10">
        <v>-1</v>
      </c>
      <c r="D752" s="10">
        <f>_xlfn.XLOOKUP(A752, Sheet2!A:A, Sheet2!B:B)</f>
        <v>7.6535000000000002</v>
      </c>
      <c r="E752" s="10">
        <f>_xlfn.XLOOKUP(A752, Sheet1!A:A, Sheet1!G:G)</f>
        <v>-1</v>
      </c>
      <c r="F752" s="10">
        <f t="shared" si="11"/>
        <v>-1</v>
      </c>
      <c r="G752" cm="1">
        <f t="array" ref="G752:J752">_xlfn.XLOOKUP(A752, Sheet1!A:A, Sheet1!C:F)</f>
        <v>9.9009900989999995</v>
      </c>
      <c r="H752">
        <v>29.7029703</v>
      </c>
      <c r="I752">
        <v>49.5049505</v>
      </c>
      <c r="J752">
        <v>9.9009900989999995</v>
      </c>
    </row>
    <row r="753" spans="1:10" x14ac:dyDescent="0.3">
      <c r="A753" t="str" cm="1">
        <f t="array" ref="A753">IF(ROW()&lt;=COUNTA(Sheet1!A:A), INDEX(Sheet1!A:A, ROW()),
INDEX(Sheet4!A:A, ROW()-COUNTA(Sheet1!A:A)))</f>
        <v>Al0.2CoCr3Fe5Ni</v>
      </c>
      <c r="B753" s="10">
        <f>_xlfn.XLOOKUP(A753, Sheet4!A:A, Sheet4!C:C)</f>
        <v>0</v>
      </c>
      <c r="C753" s="10">
        <v>-1</v>
      </c>
      <c r="D753" s="10">
        <f>_xlfn.XLOOKUP(A753, Sheet2!A:A, Sheet2!B:B)</f>
        <v>7.6078000000000001</v>
      </c>
      <c r="E753" s="10">
        <f>_xlfn.XLOOKUP(A753, Sheet1!A:A, Sheet1!G:G)</f>
        <v>-1</v>
      </c>
      <c r="F753" s="10">
        <f t="shared" si="11"/>
        <v>-1</v>
      </c>
      <c r="G753" cm="1">
        <f t="array" ref="G753:J753">_xlfn.XLOOKUP(A753, Sheet1!A:A, Sheet1!C:F)</f>
        <v>9.8039215689999999</v>
      </c>
      <c r="H753">
        <v>29.41176471</v>
      </c>
      <c r="I753">
        <v>49.019607839999999</v>
      </c>
      <c r="J753">
        <v>9.8039215689999999</v>
      </c>
    </row>
    <row r="754" spans="1:10" x14ac:dyDescent="0.3">
      <c r="A754" t="str" cm="1">
        <f t="array" ref="A754">IF(ROW()&lt;=COUNTA(Sheet1!A:A), INDEX(Sheet1!A:A, ROW()),
INDEX(Sheet4!A:A, ROW()-COUNTA(Sheet1!A:A)))</f>
        <v>Al2.4Co24.4Cr24.4Fe24.4Ni24.4</v>
      </c>
      <c r="B754" s="10" t="str">
        <f>_xlfn.XLOOKUP(A754, Sheet4!A:A, Sheet4!C:C)</f>
        <v>FCC</v>
      </c>
      <c r="C754" s="10">
        <v>0</v>
      </c>
      <c r="D754" s="10">
        <f>_xlfn.XLOOKUP(A754, Sheet2!A:A, Sheet2!B:B)</f>
        <v>8.1240000000000006</v>
      </c>
      <c r="E754" s="10">
        <f>_xlfn.XLOOKUP(A754, Sheet1!A:A, Sheet1!G:G)</f>
        <v>-1</v>
      </c>
      <c r="F754" s="10">
        <f t="shared" si="11"/>
        <v>0</v>
      </c>
      <c r="G754" cm="1">
        <f t="array" ref="G754:J754">_xlfn.XLOOKUP(A754, Sheet1!A:A, Sheet1!C:F)</f>
        <v>24.4</v>
      </c>
      <c r="H754">
        <v>24.4</v>
      </c>
      <c r="I754">
        <v>24.4</v>
      </c>
      <c r="J754">
        <v>24.4</v>
      </c>
    </row>
    <row r="755" spans="1:10" x14ac:dyDescent="0.3">
      <c r="A755" t="str" cm="1">
        <f t="array" ref="A755">IF(ROW()&lt;=COUNTA(Sheet1!A:A), INDEX(Sheet1!A:A, ROW()),
INDEX(Sheet4!A:A, ROW()-COUNTA(Sheet1!A:A)))</f>
        <v>Al0.1CoCrFeNi</v>
      </c>
      <c r="B755" s="10" t="str">
        <f>_xlfn.XLOOKUP(A755, Sheet4!A:A, Sheet4!C:C)</f>
        <v>FCC</v>
      </c>
      <c r="C755" s="10">
        <v>0</v>
      </c>
      <c r="D755" s="10">
        <f>_xlfn.XLOOKUP(A755, Sheet2!A:A, Sheet2!B:B)</f>
        <v>8.1219999999999999</v>
      </c>
      <c r="E755" s="10">
        <f>_xlfn.XLOOKUP(A755, Sheet1!A:A, Sheet1!G:G)</f>
        <v>-1</v>
      </c>
      <c r="F755" s="10">
        <f t="shared" si="11"/>
        <v>0</v>
      </c>
      <c r="G755" cm="1">
        <f t="array" ref="G755:J755">_xlfn.XLOOKUP(A755, Sheet1!A:A, Sheet1!C:F)</f>
        <v>24.390243900000002</v>
      </c>
      <c r="H755">
        <v>24.390243900000002</v>
      </c>
      <c r="I755">
        <v>24.390243900000002</v>
      </c>
      <c r="J755">
        <v>24.390243900000002</v>
      </c>
    </row>
    <row r="756" spans="1:10" x14ac:dyDescent="0.3">
      <c r="A756" t="str" cm="1">
        <f t="array" ref="A756">IF(ROW()&lt;=COUNTA(Sheet1!A:A), INDEX(Sheet1!A:A, ROW()),
INDEX(Sheet4!A:A, ROW()-COUNTA(Sheet1!A:A)))</f>
        <v>Al0.1CoFeNiCr0.9</v>
      </c>
      <c r="B756" s="10">
        <f>_xlfn.XLOOKUP(A756, Sheet4!A:A, Sheet4!C:C)</f>
        <v>0</v>
      </c>
      <c r="C756" s="10">
        <v>-1</v>
      </c>
      <c r="D756" s="10">
        <f>_xlfn.XLOOKUP(A756, Sheet2!A:A, Sheet2!B:B)</f>
        <v>8.1750000000000007</v>
      </c>
      <c r="E756" s="10">
        <f>_xlfn.XLOOKUP(A756, Sheet1!A:A, Sheet1!G:G)</f>
        <v>-1</v>
      </c>
      <c r="F756" s="10">
        <f t="shared" si="11"/>
        <v>-1</v>
      </c>
      <c r="G756" cm="1">
        <f t="array" ref="G756:J756">_xlfn.XLOOKUP(A756, Sheet1!A:A, Sheet1!C:F)</f>
        <v>25</v>
      </c>
      <c r="H756">
        <v>22.5</v>
      </c>
      <c r="I756">
        <v>25</v>
      </c>
      <c r="J756">
        <v>25</v>
      </c>
    </row>
    <row r="757" spans="1:10" x14ac:dyDescent="0.3">
      <c r="A757" t="str" cm="1">
        <f t="array" ref="A757">IF(ROW()&lt;=COUNTA(Sheet1!A:A), INDEX(Sheet1!A:A, ROW()),
INDEX(Sheet4!A:A, ROW()-COUNTA(Sheet1!A:A)))</f>
        <v>Al0.3CoCr3Fe5Ni</v>
      </c>
      <c r="B757" s="10">
        <f>_xlfn.XLOOKUP(A757, Sheet4!A:A, Sheet4!C:C)</f>
        <v>0</v>
      </c>
      <c r="C757" s="10">
        <v>-1</v>
      </c>
      <c r="D757" s="10">
        <f>_xlfn.XLOOKUP(A757, Sheet2!A:A, Sheet2!B:B)</f>
        <v>7.5631000000000004</v>
      </c>
      <c r="E757" s="10">
        <f>_xlfn.XLOOKUP(A757, Sheet1!A:A, Sheet1!G:G)</f>
        <v>-1</v>
      </c>
      <c r="F757" s="10">
        <f t="shared" si="11"/>
        <v>-1</v>
      </c>
      <c r="G757" cm="1">
        <f t="array" ref="G757:J757">_xlfn.XLOOKUP(A757, Sheet1!A:A, Sheet1!C:F)</f>
        <v>9.7087378639999997</v>
      </c>
      <c r="H757">
        <v>29.126213589999999</v>
      </c>
      <c r="I757">
        <v>48.543689319999999</v>
      </c>
      <c r="J757">
        <v>9.7087378639999997</v>
      </c>
    </row>
    <row r="758" spans="1:10" x14ac:dyDescent="0.3">
      <c r="A758" t="str" cm="1">
        <f t="array" ref="A758">IF(ROW()&lt;=COUNTA(Sheet1!A:A), INDEX(Sheet1!A:A, ROW()),
INDEX(Sheet4!A:A, ROW()-COUNTA(Sheet1!A:A)))</f>
        <v>Al0.2CoCrFeNi</v>
      </c>
      <c r="B758" s="10" t="str">
        <f>_xlfn.XLOOKUP(A758, Sheet4!A:A, Sheet4!C:C)</f>
        <v>BCC1+B2(ordered BCC)</v>
      </c>
      <c r="C758" s="10">
        <v>1</v>
      </c>
      <c r="D758" s="10">
        <f>_xlfn.XLOOKUP(A758, Sheet2!A:A, Sheet2!B:B)</f>
        <v>8</v>
      </c>
      <c r="E758" s="10">
        <f>_xlfn.XLOOKUP(A758, Sheet1!A:A, Sheet1!G:G)</f>
        <v>-1</v>
      </c>
      <c r="F758" s="10">
        <f t="shared" si="11"/>
        <v>1</v>
      </c>
      <c r="G758" cm="1">
        <f t="array" ref="G758:J758">_xlfn.XLOOKUP(A758, Sheet1!A:A, Sheet1!C:F)</f>
        <v>23.809523810000002</v>
      </c>
      <c r="H758">
        <v>23.809523810000002</v>
      </c>
      <c r="I758">
        <v>23.809523810000002</v>
      </c>
      <c r="J758">
        <v>23.809523810000002</v>
      </c>
    </row>
    <row r="759" spans="1:10" x14ac:dyDescent="0.3">
      <c r="A759" t="str" cm="1">
        <f t="array" ref="A759">IF(ROW()&lt;=COUNTA(Sheet1!A:A), INDEX(Sheet1!A:A, ROW()),
INDEX(Sheet4!A:A, ROW()-COUNTA(Sheet1!A:A)))</f>
        <v>Al0.2CoFeNiCr0.8</v>
      </c>
      <c r="B759" s="10">
        <f>_xlfn.XLOOKUP(A759, Sheet4!A:A, Sheet4!C:C)</f>
        <v>0</v>
      </c>
      <c r="C759" s="10">
        <v>-1</v>
      </c>
      <c r="D759" s="10">
        <f>_xlfn.XLOOKUP(A759, Sheet2!A:A, Sheet2!B:B)</f>
        <v>8.1</v>
      </c>
      <c r="E759" s="10">
        <f>_xlfn.XLOOKUP(A759, Sheet1!A:A, Sheet1!G:G)</f>
        <v>-1</v>
      </c>
      <c r="F759" s="10">
        <f t="shared" si="11"/>
        <v>-1</v>
      </c>
      <c r="G759" cm="1">
        <f t="array" ref="G759:J759">_xlfn.XLOOKUP(A759, Sheet1!A:A, Sheet1!C:F)</f>
        <v>25</v>
      </c>
      <c r="H759">
        <v>20</v>
      </c>
      <c r="I759">
        <v>25</v>
      </c>
      <c r="J759">
        <v>25</v>
      </c>
    </row>
    <row r="760" spans="1:10" x14ac:dyDescent="0.3">
      <c r="A760" t="str" cm="1">
        <f t="array" ref="A760">IF(ROW()&lt;=COUNTA(Sheet1!A:A), INDEX(Sheet1!A:A, ROW()),
INDEX(Sheet4!A:A, ROW()-COUNTA(Sheet1!A:A)))</f>
        <v>Al0.3CoCr2FeNi</v>
      </c>
      <c r="B760" s="10">
        <f>_xlfn.XLOOKUP(A760, Sheet4!A:A, Sheet4!C:C)</f>
        <v>0</v>
      </c>
      <c r="C760" s="10">
        <v>-1</v>
      </c>
      <c r="D760" s="10">
        <f>_xlfn.XLOOKUP(A760, Sheet2!A:A, Sheet2!B:B)</f>
        <v>7.5282999999999998</v>
      </c>
      <c r="E760" s="10">
        <f>_xlfn.XLOOKUP(A760, Sheet1!A:A, Sheet1!G:G)</f>
        <v>-1</v>
      </c>
      <c r="F760" s="10">
        <f t="shared" si="11"/>
        <v>-1</v>
      </c>
      <c r="G760" cm="1">
        <f t="array" ref="G760:J760">_xlfn.XLOOKUP(A760, Sheet1!A:A, Sheet1!C:F)</f>
        <v>18.86792453</v>
      </c>
      <c r="H760">
        <v>37.73584906</v>
      </c>
      <c r="I760">
        <v>18.86792453</v>
      </c>
      <c r="J760">
        <v>18.86792453</v>
      </c>
    </row>
    <row r="761" spans="1:10" x14ac:dyDescent="0.3">
      <c r="A761" t="str" cm="1">
        <f t="array" ref="A761">IF(ROW()&lt;=COUNTA(Sheet1!A:A), INDEX(Sheet1!A:A, ROW()),
INDEX(Sheet4!A:A, ROW()-COUNTA(Sheet1!A:A)))</f>
        <v>Al0.25CoCrFeNi</v>
      </c>
      <c r="B761" s="10" t="str">
        <f>_xlfn.XLOOKUP(A761, Sheet4!A:A, Sheet4!C:C)</f>
        <v>FCC</v>
      </c>
      <c r="C761" s="10">
        <v>0</v>
      </c>
      <c r="D761" s="10">
        <f>_xlfn.XLOOKUP(A761, Sheet2!A:A, Sheet2!B:B)</f>
        <v>7.9412000000000003</v>
      </c>
      <c r="E761" s="10">
        <f>_xlfn.XLOOKUP(A761, Sheet1!A:A, Sheet1!G:G)</f>
        <v>-1</v>
      </c>
      <c r="F761" s="10">
        <f t="shared" si="11"/>
        <v>0</v>
      </c>
      <c r="G761" cm="1">
        <f t="array" ref="G761:J761">_xlfn.XLOOKUP(A761, Sheet1!A:A, Sheet1!C:F)</f>
        <v>23.529411759999999</v>
      </c>
      <c r="H761">
        <v>23.529411759999999</v>
      </c>
      <c r="I761">
        <v>23.529411759999999</v>
      </c>
      <c r="J761">
        <v>23.529411759999999</v>
      </c>
    </row>
    <row r="762" spans="1:10" x14ac:dyDescent="0.3">
      <c r="A762" t="str" cm="1">
        <f t="array" ref="A762">IF(ROW()&lt;=COUNTA(Sheet1!A:A), INDEX(Sheet1!A:A, ROW()),
INDEX(Sheet4!A:A, ROW()-COUNTA(Sheet1!A:A)))</f>
        <v>Al0.25CoCrFeNi</v>
      </c>
      <c r="B762" s="10" t="str">
        <f>_xlfn.XLOOKUP(A762, Sheet4!A:A, Sheet4!C:C)</f>
        <v>FCC</v>
      </c>
      <c r="C762" s="10">
        <v>0</v>
      </c>
      <c r="D762" s="10">
        <f>_xlfn.XLOOKUP(A762, Sheet2!A:A, Sheet2!B:B)</f>
        <v>7.9412000000000003</v>
      </c>
      <c r="E762" s="10">
        <f>_xlfn.XLOOKUP(A762, Sheet1!A:A, Sheet1!G:G)</f>
        <v>-1</v>
      </c>
      <c r="F762" s="10">
        <f t="shared" si="11"/>
        <v>0</v>
      </c>
      <c r="G762" cm="1">
        <f t="array" ref="G762:J762">_xlfn.XLOOKUP(A762, Sheet1!A:A, Sheet1!C:F)</f>
        <v>23.529411759999999</v>
      </c>
      <c r="H762">
        <v>23.529411759999999</v>
      </c>
      <c r="I762">
        <v>23.529411759999999</v>
      </c>
      <c r="J762">
        <v>23.529411759999999</v>
      </c>
    </row>
    <row r="763" spans="1:10" x14ac:dyDescent="0.3">
      <c r="A763" t="str" cm="1">
        <f t="array" ref="A763">IF(ROW()&lt;=COUNTA(Sheet1!A:A), INDEX(Sheet1!A:A, ROW()),
INDEX(Sheet4!A:A, ROW()-COUNTA(Sheet1!A:A)))</f>
        <v>Al0.3CoCrFeNi</v>
      </c>
      <c r="B763" s="10" t="str">
        <f>_xlfn.XLOOKUP(A763, Sheet4!A:A, Sheet4!C:C)</f>
        <v>IM</v>
      </c>
      <c r="C763" s="10">
        <v>-1</v>
      </c>
      <c r="D763" s="10">
        <f>_xlfn.XLOOKUP(A763, Sheet2!A:A, Sheet2!B:B)</f>
        <v>7.8837000000000002</v>
      </c>
      <c r="E763" s="10">
        <f>_xlfn.XLOOKUP(A763, Sheet1!A:A, Sheet1!G:G)</f>
        <v>-1</v>
      </c>
      <c r="F763" s="10">
        <f t="shared" si="11"/>
        <v>-1</v>
      </c>
      <c r="G763" cm="1">
        <f t="array" ref="G763:J763">_xlfn.XLOOKUP(A763, Sheet1!A:A, Sheet1!C:F)</f>
        <v>23.529411759999999</v>
      </c>
      <c r="H763">
        <v>23.529411759999999</v>
      </c>
      <c r="I763">
        <v>23.529411759999999</v>
      </c>
      <c r="J763">
        <v>23.529411759999999</v>
      </c>
    </row>
    <row r="764" spans="1:10" x14ac:dyDescent="0.3">
      <c r="A764" t="str" cm="1">
        <f t="array" ref="A764">IF(ROW()&lt;=COUNTA(Sheet1!A:A), INDEX(Sheet1!A:A, ROW()),
INDEX(Sheet4!A:A, ROW()-COUNTA(Sheet1!A:A)))</f>
        <v>Al7.0536Cr9.5224Fe15.749Co32.895Ni34.78</v>
      </c>
      <c r="B764" s="10">
        <f>_xlfn.XLOOKUP(A764, Sheet4!A:A, Sheet4!C:C)</f>
        <v>0</v>
      </c>
      <c r="C764" s="10">
        <v>-1</v>
      </c>
      <c r="D764" s="10">
        <f>_xlfn.XLOOKUP(A764, Sheet2!A:A, Sheet2!B:B)</f>
        <v>8.4814000000000007</v>
      </c>
      <c r="E764" s="10">
        <f>_xlfn.XLOOKUP(A764, Sheet1!A:A, Sheet1!G:G)</f>
        <v>-1</v>
      </c>
      <c r="F764" s="10">
        <f t="shared" si="11"/>
        <v>-1</v>
      </c>
      <c r="G764" cm="1">
        <f t="array" ref="G764:J764">_xlfn.XLOOKUP(A764, Sheet1!A:A, Sheet1!C:F)</f>
        <v>23.25581395</v>
      </c>
      <c r="H764">
        <v>23.25581395</v>
      </c>
      <c r="I764">
        <v>23.25581395</v>
      </c>
      <c r="J764">
        <v>23.25581395</v>
      </c>
    </row>
    <row r="765" spans="1:10" x14ac:dyDescent="0.3">
      <c r="A765" t="str" cm="1">
        <f t="array" ref="A765">IF(ROW()&lt;=COUNTA(Sheet1!A:A), INDEX(Sheet1!A:A, ROW()),
INDEX(Sheet4!A:A, ROW()-COUNTA(Sheet1!A:A)))</f>
        <v>Al7.1Cr9.5Fe15.7Co32.9Ni34.8</v>
      </c>
      <c r="B765" s="10">
        <f>_xlfn.XLOOKUP(A765, Sheet4!A:A, Sheet4!C:C)</f>
        <v>0</v>
      </c>
      <c r="C765" s="10">
        <v>-1</v>
      </c>
      <c r="D765" s="10">
        <f>_xlfn.XLOOKUP(A765, Sheet2!A:A, Sheet2!B:B)</f>
        <v>8.48</v>
      </c>
      <c r="E765" s="10">
        <f>_xlfn.XLOOKUP(A765, Sheet1!A:A, Sheet1!G:G)</f>
        <v>-1</v>
      </c>
      <c r="F765" s="10">
        <f t="shared" si="11"/>
        <v>-1</v>
      </c>
      <c r="G765" cm="1">
        <f t="array" ref="G765:J765">_xlfn.XLOOKUP(A765, Sheet1!A:A, Sheet1!C:F)</f>
        <v>32.895000000000003</v>
      </c>
      <c r="H765">
        <v>9.5223999999999993</v>
      </c>
      <c r="I765">
        <v>15.749000000000001</v>
      </c>
      <c r="J765">
        <v>34.78</v>
      </c>
    </row>
    <row r="766" spans="1:10" x14ac:dyDescent="0.3">
      <c r="A766" t="str" cm="1">
        <f t="array" ref="A766">IF(ROW()&lt;=COUNTA(Sheet1!A:A), INDEX(Sheet1!A:A, ROW()),
INDEX(Sheet4!A:A, ROW()-COUNTA(Sheet1!A:A)))</f>
        <v>Al7.2Co23.2Cr23.2Fe23.2Ni23.2</v>
      </c>
      <c r="B766" s="10" t="str">
        <f>_xlfn.XLOOKUP(A766, Sheet4!A:A, Sheet4!C:C)</f>
        <v>IM</v>
      </c>
      <c r="C766" s="10">
        <v>-1</v>
      </c>
      <c r="D766" s="10">
        <f>_xlfn.XLOOKUP(A766, Sheet2!A:A, Sheet2!B:B)</f>
        <v>7.8719999999999999</v>
      </c>
      <c r="E766" s="10">
        <f>_xlfn.XLOOKUP(A766, Sheet1!A:A, Sheet1!G:G)</f>
        <v>-1</v>
      </c>
      <c r="F766" s="10">
        <f t="shared" si="11"/>
        <v>-1</v>
      </c>
      <c r="G766" cm="1">
        <f t="array" ref="G766:J766">_xlfn.XLOOKUP(A766, Sheet1!A:A, Sheet1!C:F)</f>
        <v>32.9</v>
      </c>
      <c r="H766">
        <v>9.5</v>
      </c>
      <c r="I766">
        <v>15.7</v>
      </c>
      <c r="J766">
        <v>34.799999999999997</v>
      </c>
    </row>
    <row r="767" spans="1:10" x14ac:dyDescent="0.3">
      <c r="A767" t="str" cm="1">
        <f t="array" ref="A767">IF(ROW()&lt;=COUNTA(Sheet1!A:A), INDEX(Sheet1!A:A, ROW()),
INDEX(Sheet4!A:A, ROW()-COUNTA(Sheet1!A:A)))</f>
        <v>Al7.2069Cr9.6072Fe12.998Co34.049Ni36.138</v>
      </c>
      <c r="B767" s="10">
        <f>_xlfn.XLOOKUP(A767, Sheet4!A:A, Sheet4!C:C)</f>
        <v>0</v>
      </c>
      <c r="C767" s="10">
        <v>-1</v>
      </c>
      <c r="D767" s="10">
        <f>_xlfn.XLOOKUP(A767, Sheet2!A:A, Sheet2!B:B)</f>
        <v>8.5107999999999997</v>
      </c>
      <c r="E767" s="10">
        <f>_xlfn.XLOOKUP(A767, Sheet1!A:A, Sheet1!G:G)</f>
        <v>-1</v>
      </c>
      <c r="F767" s="10">
        <f t="shared" si="11"/>
        <v>-1</v>
      </c>
      <c r="G767" cm="1">
        <f t="array" ref="G767:J767">_xlfn.XLOOKUP(A767, Sheet1!A:A, Sheet1!C:F)</f>
        <v>23.2</v>
      </c>
      <c r="H767">
        <v>23.2</v>
      </c>
      <c r="I767">
        <v>23.2</v>
      </c>
      <c r="J767">
        <v>23.2</v>
      </c>
    </row>
    <row r="768" spans="1:10" x14ac:dyDescent="0.3">
      <c r="A768" t="str" cm="1">
        <f t="array" ref="A768">IF(ROW()&lt;=COUNTA(Sheet1!A:A), INDEX(Sheet1!A:A, ROW()),
INDEX(Sheet4!A:A, ROW()-COUNTA(Sheet1!A:A)))</f>
        <v>Al7.2Cr9.6Fe13Co34Ni36.1</v>
      </c>
      <c r="B768" s="10">
        <f>_xlfn.XLOOKUP(A768, Sheet4!A:A, Sheet4!C:C)</f>
        <v>0</v>
      </c>
      <c r="C768" s="10">
        <v>-1</v>
      </c>
      <c r="D768" s="10">
        <f>_xlfn.XLOOKUP(A768, Sheet2!A:A, Sheet2!B:B)</f>
        <v>8.5105000000000004</v>
      </c>
      <c r="E768" s="10">
        <f>_xlfn.XLOOKUP(A768, Sheet1!A:A, Sheet1!G:G)</f>
        <v>-1</v>
      </c>
      <c r="F768" s="10">
        <f t="shared" si="11"/>
        <v>-1</v>
      </c>
      <c r="G768" cm="1">
        <f t="array" ref="G768:J768">_xlfn.XLOOKUP(A768, Sheet1!A:A, Sheet1!C:F)</f>
        <v>34.048999999999999</v>
      </c>
      <c r="H768">
        <v>9.6072000000000006</v>
      </c>
      <c r="I768">
        <v>12.997999999999999</v>
      </c>
      <c r="J768">
        <v>36.137999999999998</v>
      </c>
    </row>
    <row r="769" spans="1:10" x14ac:dyDescent="0.3">
      <c r="A769" t="str" cm="1">
        <f t="array" ref="A769">IF(ROW()&lt;=COUNTA(Sheet1!A:A), INDEX(Sheet1!A:A, ROW()),
INDEX(Sheet4!A:A, ROW()-COUNTA(Sheet1!A:A)))</f>
        <v>Al0.3CoFeNiCr0.7</v>
      </c>
      <c r="B769" s="10">
        <f>_xlfn.XLOOKUP(A769, Sheet4!A:A, Sheet4!C:C)</f>
        <v>0</v>
      </c>
      <c r="C769" s="10">
        <v>-1</v>
      </c>
      <c r="D769" s="10">
        <f>_xlfn.XLOOKUP(A769, Sheet2!A:A, Sheet2!B:B)</f>
        <v>8.0250000000000004</v>
      </c>
      <c r="E769" s="10">
        <f>_xlfn.XLOOKUP(A769, Sheet1!A:A, Sheet1!G:G)</f>
        <v>-1</v>
      </c>
      <c r="F769" s="10">
        <f t="shared" si="11"/>
        <v>-1</v>
      </c>
      <c r="G769" cm="1">
        <f t="array" ref="G769:J769">_xlfn.XLOOKUP(A769, Sheet1!A:A, Sheet1!C:F)</f>
        <v>34</v>
      </c>
      <c r="H769">
        <v>9.6</v>
      </c>
      <c r="I769">
        <v>13</v>
      </c>
      <c r="J769">
        <v>36.1</v>
      </c>
    </row>
    <row r="770" spans="1:10" x14ac:dyDescent="0.3">
      <c r="A770" t="str" cm="1">
        <f t="array" ref="A770">IF(ROW()&lt;=COUNTA(Sheet1!A:A), INDEX(Sheet1!A:A, ROW()),
INDEX(Sheet4!A:A, ROW()-COUNTA(Sheet1!A:A)))</f>
        <v>Al7.6571Cr9.5984Fe26.587Co27.261Ni28.897</v>
      </c>
      <c r="B770" s="10">
        <f>_xlfn.XLOOKUP(A770, Sheet4!A:A, Sheet4!C:C)</f>
        <v>0</v>
      </c>
      <c r="C770" s="10">
        <v>-1</v>
      </c>
      <c r="D770" s="10">
        <f>_xlfn.XLOOKUP(A770, Sheet2!A:A, Sheet2!B:B)</f>
        <v>8.2757000000000005</v>
      </c>
      <c r="E770" s="10">
        <f>_xlfn.XLOOKUP(A770, Sheet1!A:A, Sheet1!G:G)</f>
        <v>-1</v>
      </c>
      <c r="F770" s="10">
        <f t="shared" si="11"/>
        <v>-1</v>
      </c>
      <c r="G770" cm="1">
        <f t="array" ref="G770:J770">_xlfn.XLOOKUP(A770, Sheet1!A:A, Sheet1!C:F)</f>
        <v>25</v>
      </c>
      <c r="H770">
        <v>17.5</v>
      </c>
      <c r="I770">
        <v>25</v>
      </c>
      <c r="J770">
        <v>25</v>
      </c>
    </row>
    <row r="771" spans="1:10" x14ac:dyDescent="0.3">
      <c r="A771" t="str" cm="1">
        <f t="array" ref="A771">IF(ROW()&lt;=COUNTA(Sheet1!A:A), INDEX(Sheet1!A:A, ROW()),
INDEX(Sheet4!A:A, ROW()-COUNTA(Sheet1!A:A)))</f>
        <v>Al7.6864Cr9.7668Fe18.702Co31.106Ni32.739</v>
      </c>
      <c r="B771" s="10">
        <f>_xlfn.XLOOKUP(A771, Sheet4!A:A, Sheet4!C:C)</f>
        <v>0</v>
      </c>
      <c r="C771" s="10">
        <v>-1</v>
      </c>
      <c r="D771" s="10">
        <f>_xlfn.XLOOKUP(A771, Sheet2!A:A, Sheet2!B:B)</f>
        <v>8.3862000000000005</v>
      </c>
      <c r="E771" s="10">
        <f>_xlfn.XLOOKUP(A771, Sheet1!A:A, Sheet1!G:G)</f>
        <v>-1</v>
      </c>
      <c r="F771" s="10">
        <f t="shared" ref="F771:F834" si="12">IF(OR(C771=1, E771=1), 1,
   IF(OR(C771=0, E771=0), 0,
      -1))</f>
        <v>-1</v>
      </c>
      <c r="G771" cm="1">
        <f t="array" ref="G771:J771">_xlfn.XLOOKUP(A771, Sheet1!A:A, Sheet1!C:F)</f>
        <v>27.260999999999999</v>
      </c>
      <c r="H771">
        <v>9.5983999999999998</v>
      </c>
      <c r="I771">
        <v>26.587</v>
      </c>
      <c r="J771">
        <v>28.896999999999998</v>
      </c>
    </row>
    <row r="772" spans="1:10" x14ac:dyDescent="0.3">
      <c r="A772" t="str" cm="1">
        <f t="array" ref="A772">IF(ROW()&lt;=COUNTA(Sheet1!A:A), INDEX(Sheet1!A:A, ROW()),
INDEX(Sheet4!A:A, ROW()-COUNTA(Sheet1!A:A)))</f>
        <v>Al7.7Cr9.6Fe26.6Co27.3Ni28.9</v>
      </c>
      <c r="B772" s="10">
        <f>_xlfn.XLOOKUP(A772, Sheet4!A:A, Sheet4!C:C)</f>
        <v>0</v>
      </c>
      <c r="C772" s="10">
        <v>-1</v>
      </c>
      <c r="D772" s="10">
        <f>_xlfn.XLOOKUP(A772, Sheet2!A:A, Sheet2!B:B)</f>
        <v>8.2736999999999998</v>
      </c>
      <c r="E772" s="10">
        <f>_xlfn.XLOOKUP(A772, Sheet1!A:A, Sheet1!G:G)</f>
        <v>-1</v>
      </c>
      <c r="F772" s="10">
        <f t="shared" si="12"/>
        <v>-1</v>
      </c>
      <c r="G772" cm="1">
        <f t="array" ref="G772:J772">_xlfn.XLOOKUP(A772, Sheet1!A:A, Sheet1!C:F)</f>
        <v>31.106000000000002</v>
      </c>
      <c r="H772">
        <v>9.7667999999999999</v>
      </c>
      <c r="I772">
        <v>18.702000000000002</v>
      </c>
      <c r="J772">
        <v>32.738999999999997</v>
      </c>
    </row>
    <row r="773" spans="1:10" x14ac:dyDescent="0.3">
      <c r="A773" t="str" cm="1">
        <f t="array" ref="A773">IF(ROW()&lt;=COUNTA(Sheet1!A:A), INDEX(Sheet1!A:A, ROW()),
INDEX(Sheet4!A:A, ROW()-COUNTA(Sheet1!A:A)))</f>
        <v>Al7.7Cr9.8Fe18.7Co31.1Ni32.7</v>
      </c>
      <c r="B773" s="10">
        <f>_xlfn.XLOOKUP(A773, Sheet4!A:A, Sheet4!C:C)</f>
        <v>0</v>
      </c>
      <c r="C773" s="10">
        <v>-1</v>
      </c>
      <c r="D773" s="10">
        <f>_xlfn.XLOOKUP(A773, Sheet2!A:A, Sheet2!B:B)</f>
        <v>8.3840000000000003</v>
      </c>
      <c r="E773" s="10">
        <f>_xlfn.XLOOKUP(A773, Sheet1!A:A, Sheet1!G:G)</f>
        <v>-1</v>
      </c>
      <c r="F773" s="10">
        <f t="shared" si="12"/>
        <v>-1</v>
      </c>
      <c r="G773" cm="1">
        <f t="array" ref="G773:J773">_xlfn.XLOOKUP(A773, Sheet1!A:A, Sheet1!C:F)</f>
        <v>27.3</v>
      </c>
      <c r="H773">
        <v>9.6</v>
      </c>
      <c r="I773">
        <v>26.6</v>
      </c>
      <c r="J773">
        <v>28.9</v>
      </c>
    </row>
    <row r="774" spans="1:10" x14ac:dyDescent="0.3">
      <c r="A774" t="str" cm="1">
        <f t="array" ref="A774">IF(ROW()&lt;=COUNTA(Sheet1!A:A), INDEX(Sheet1!A:A, ROW()),
INDEX(Sheet4!A:A, ROW()-COUNTA(Sheet1!A:A)))</f>
        <v>Al7.7981Cr9.8581Fe22.204Co29.129Ni31.011</v>
      </c>
      <c r="B774" s="10">
        <f>_xlfn.XLOOKUP(A774, Sheet4!A:A, Sheet4!C:C)</f>
        <v>0</v>
      </c>
      <c r="C774" s="10">
        <v>-1</v>
      </c>
      <c r="D774" s="10">
        <f>_xlfn.XLOOKUP(A774, Sheet2!A:A, Sheet2!B:B)</f>
        <v>8.3244000000000007</v>
      </c>
      <c r="E774" s="10">
        <f>_xlfn.XLOOKUP(A774, Sheet1!A:A, Sheet1!G:G)</f>
        <v>-1</v>
      </c>
      <c r="F774" s="10">
        <f t="shared" si="12"/>
        <v>-1</v>
      </c>
      <c r="G774" cm="1">
        <f t="array" ref="G774:J774">_xlfn.XLOOKUP(A774, Sheet1!A:A, Sheet1!C:F)</f>
        <v>31.1</v>
      </c>
      <c r="H774">
        <v>9.8000000000000007</v>
      </c>
      <c r="I774">
        <v>18.7</v>
      </c>
      <c r="J774">
        <v>32.700000000000003</v>
      </c>
    </row>
    <row r="775" spans="1:10" x14ac:dyDescent="0.3">
      <c r="A775" t="str" cm="1">
        <f t="array" ref="A775">IF(ROW()&lt;=COUNTA(Sheet1!A:A), INDEX(Sheet1!A:A, ROW()),
INDEX(Sheet4!A:A, ROW()-COUNTA(Sheet1!A:A)))</f>
        <v>Al7.8Cr9.9Fe22.2Co29.1Ni31</v>
      </c>
      <c r="B775" s="10">
        <f>_xlfn.XLOOKUP(A775, Sheet4!A:A, Sheet4!C:C)</f>
        <v>0</v>
      </c>
      <c r="C775" s="10">
        <v>-1</v>
      </c>
      <c r="D775" s="10">
        <f>_xlfn.XLOOKUP(A775, Sheet2!A:A, Sheet2!B:B)</f>
        <v>8.3230000000000004</v>
      </c>
      <c r="E775" s="10">
        <f>_xlfn.XLOOKUP(A775, Sheet1!A:A, Sheet1!G:G)</f>
        <v>-1</v>
      </c>
      <c r="F775" s="10">
        <f t="shared" si="12"/>
        <v>-1</v>
      </c>
      <c r="G775" cm="1">
        <f t="array" ref="G775:J775">_xlfn.XLOOKUP(A775, Sheet1!A:A, Sheet1!C:F)</f>
        <v>29.129000000000001</v>
      </c>
      <c r="H775">
        <v>9.8581000000000003</v>
      </c>
      <c r="I775">
        <v>22.204000000000001</v>
      </c>
      <c r="J775">
        <v>31.010999999999999</v>
      </c>
    </row>
    <row r="776" spans="1:10" x14ac:dyDescent="0.3">
      <c r="A776" t="str" cm="1">
        <f t="array" ref="A776">IF(ROW()&lt;=COUNTA(Sheet1!A:A), INDEX(Sheet1!A:A, ROW()),
INDEX(Sheet4!A:A, ROW()-COUNTA(Sheet1!A:A)))</f>
        <v>Al7.9Cr10.1Fe37.3Co21.5Ni23.2</v>
      </c>
      <c r="B776" s="10">
        <f>_xlfn.XLOOKUP(A776, Sheet4!A:A, Sheet4!C:C)</f>
        <v>0</v>
      </c>
      <c r="C776" s="10">
        <v>-1</v>
      </c>
      <c r="D776" s="10">
        <f>_xlfn.XLOOKUP(A776, Sheet2!A:A, Sheet2!B:B)</f>
        <v>8.0820000000000007</v>
      </c>
      <c r="E776" s="10">
        <f>_xlfn.XLOOKUP(A776, Sheet1!A:A, Sheet1!G:G)</f>
        <v>-1</v>
      </c>
      <c r="F776" s="10">
        <f t="shared" si="12"/>
        <v>-1</v>
      </c>
      <c r="G776" cm="1">
        <f t="array" ref="G776:J776">_xlfn.XLOOKUP(A776, Sheet1!A:A, Sheet1!C:F)</f>
        <v>29.1</v>
      </c>
      <c r="H776">
        <v>9.9</v>
      </c>
      <c r="I776">
        <v>22.2</v>
      </c>
      <c r="J776">
        <v>31</v>
      </c>
    </row>
    <row r="777" spans="1:10" x14ac:dyDescent="0.3">
      <c r="A777" t="str" cm="1">
        <f t="array" ref="A777">IF(ROW()&lt;=COUNTA(Sheet1!A:A), INDEX(Sheet1!A:A, ROW()),
INDEX(Sheet4!A:A, ROW()-COUNTA(Sheet1!A:A)))</f>
        <v>Al7.9214Cr10.128Fe37.308Co21.456Ni23.187</v>
      </c>
      <c r="B777" s="10">
        <f>_xlfn.XLOOKUP(A777, Sheet4!A:A, Sheet4!C:C)</f>
        <v>0</v>
      </c>
      <c r="C777" s="10">
        <v>-1</v>
      </c>
      <c r="D777" s="10">
        <f>_xlfn.XLOOKUP(A777, Sheet2!A:A, Sheet2!B:B)</f>
        <v>8.0797000000000008</v>
      </c>
      <c r="E777" s="10">
        <f>_xlfn.XLOOKUP(A777, Sheet1!A:A, Sheet1!G:G)</f>
        <v>-1</v>
      </c>
      <c r="F777" s="10">
        <f t="shared" si="12"/>
        <v>-1</v>
      </c>
      <c r="G777" cm="1">
        <f t="array" ref="G777:J777">_xlfn.XLOOKUP(A777, Sheet1!A:A, Sheet1!C:F)</f>
        <v>21.5</v>
      </c>
      <c r="H777">
        <v>10.1</v>
      </c>
      <c r="I777">
        <v>37.299999999999997</v>
      </c>
      <c r="J777">
        <v>23.2</v>
      </c>
    </row>
    <row r="778" spans="1:10" x14ac:dyDescent="0.3">
      <c r="A778" t="str" cm="1">
        <f t="array" ref="A778">IF(ROW()&lt;=COUNTA(Sheet1!A:A), INDEX(Sheet1!A:A, ROW()),
INDEX(Sheet4!A:A, ROW()-COUNTA(Sheet1!A:A)))</f>
        <v>Al8.2Cr11.1Fe9.5Co34.7Ni36.5</v>
      </c>
      <c r="B778" s="10">
        <f>_xlfn.XLOOKUP(A778, Sheet4!A:A, Sheet4!C:C)</f>
        <v>0</v>
      </c>
      <c r="C778" s="10">
        <v>-1</v>
      </c>
      <c r="D778" s="10">
        <f>_xlfn.XLOOKUP(A778, Sheet2!A:A, Sheet2!B:B)</f>
        <v>8.4450000000000003</v>
      </c>
      <c r="E778" s="10">
        <f>_xlfn.XLOOKUP(A778, Sheet1!A:A, Sheet1!G:G)</f>
        <v>-1</v>
      </c>
      <c r="F778" s="10">
        <f t="shared" si="12"/>
        <v>-1</v>
      </c>
      <c r="G778" cm="1">
        <f t="array" ref="G778:J778">_xlfn.XLOOKUP(A778, Sheet1!A:A, Sheet1!C:F)</f>
        <v>21.456</v>
      </c>
      <c r="H778">
        <v>10.128</v>
      </c>
      <c r="I778">
        <v>37.308</v>
      </c>
      <c r="J778">
        <v>23.187000000000001</v>
      </c>
    </row>
    <row r="779" spans="1:10" x14ac:dyDescent="0.3">
      <c r="A779" t="str" cm="1">
        <f t="array" ref="A779">IF(ROW()&lt;=COUNTA(Sheet1!A:A), INDEX(Sheet1!A:A, ROW()),
INDEX(Sheet4!A:A, ROW()-COUNTA(Sheet1!A:A)))</f>
        <v>Al8.2174Cr11.089Fe9.5353Co34.671Ni36.488</v>
      </c>
      <c r="B779" s="10">
        <f>_xlfn.XLOOKUP(A779, Sheet4!A:A, Sheet4!C:C)</f>
        <v>0</v>
      </c>
      <c r="C779" s="10">
        <v>-1</v>
      </c>
      <c r="D779" s="10">
        <f>_xlfn.XLOOKUP(A779, Sheet2!A:A, Sheet2!B:B)</f>
        <v>8.4437999999999995</v>
      </c>
      <c r="E779" s="10">
        <f>_xlfn.XLOOKUP(A779, Sheet1!A:A, Sheet1!G:G)</f>
        <v>-1</v>
      </c>
      <c r="F779" s="10">
        <f t="shared" si="12"/>
        <v>-1</v>
      </c>
      <c r="G779" cm="1">
        <f t="array" ref="G779:J779">_xlfn.XLOOKUP(A779, Sheet1!A:A, Sheet1!C:F)</f>
        <v>34.700000000000003</v>
      </c>
      <c r="H779">
        <v>11.1</v>
      </c>
      <c r="I779">
        <v>9.5</v>
      </c>
      <c r="J779">
        <v>36.5</v>
      </c>
    </row>
    <row r="780" spans="1:10" x14ac:dyDescent="0.3">
      <c r="A780" t="str" cm="1">
        <f t="array" ref="A780">IF(ROW()&lt;=COUNTA(Sheet1!A:A), INDEX(Sheet1!A:A, ROW()),
INDEX(Sheet4!A:A, ROW()-COUNTA(Sheet1!A:A)))</f>
        <v>Al8.4Cr11.3Fe16.2Co31.1Ni33</v>
      </c>
      <c r="B780" s="10">
        <f>_xlfn.XLOOKUP(A780, Sheet4!A:A, Sheet4!C:C)</f>
        <v>0</v>
      </c>
      <c r="C780" s="10">
        <v>-1</v>
      </c>
      <c r="D780" s="10">
        <f>_xlfn.XLOOKUP(A780, Sheet2!A:A, Sheet2!B:B)</f>
        <v>8.3249999999999993</v>
      </c>
      <c r="E780" s="10">
        <f>_xlfn.XLOOKUP(A780, Sheet1!A:A, Sheet1!G:G)</f>
        <v>-1</v>
      </c>
      <c r="F780" s="10">
        <f t="shared" si="12"/>
        <v>-1</v>
      </c>
      <c r="G780" cm="1">
        <f t="array" ref="G780:J780">_xlfn.XLOOKUP(A780, Sheet1!A:A, Sheet1!C:F)</f>
        <v>34.670999999999999</v>
      </c>
      <c r="H780">
        <v>11.089</v>
      </c>
      <c r="I780">
        <v>9.5352999999999994</v>
      </c>
      <c r="J780">
        <v>36.488</v>
      </c>
    </row>
    <row r="781" spans="1:10" x14ac:dyDescent="0.3">
      <c r="A781" t="str" cm="1">
        <f t="array" ref="A781">IF(ROW()&lt;=COUNTA(Sheet1!A:A), INDEX(Sheet1!A:A, ROW()),
INDEX(Sheet4!A:A, ROW()-COUNTA(Sheet1!A:A)))</f>
        <v>Al8.4Cr11.1Fe11.2Co33.7Ni35.6</v>
      </c>
      <c r="B781" s="10">
        <f>_xlfn.XLOOKUP(A781, Sheet4!A:A, Sheet4!C:C)</f>
        <v>0</v>
      </c>
      <c r="C781" s="10">
        <v>-1</v>
      </c>
      <c r="D781" s="10">
        <f>_xlfn.XLOOKUP(A781, Sheet2!A:A, Sheet2!B:B)</f>
        <v>8.407</v>
      </c>
      <c r="E781" s="10">
        <f>_xlfn.XLOOKUP(A781, Sheet1!A:A, Sheet1!G:G)</f>
        <v>-1</v>
      </c>
      <c r="F781" s="10">
        <f t="shared" si="12"/>
        <v>-1</v>
      </c>
      <c r="G781" cm="1">
        <f t="array" ref="G781:J781">_xlfn.XLOOKUP(A781, Sheet1!A:A, Sheet1!C:F)</f>
        <v>31.1</v>
      </c>
      <c r="H781">
        <v>11.3</v>
      </c>
      <c r="I781">
        <v>16.2</v>
      </c>
      <c r="J781">
        <v>33</v>
      </c>
    </row>
    <row r="782" spans="1:10" x14ac:dyDescent="0.3">
      <c r="A782" t="str" cm="1">
        <f t="array" ref="A782">IF(ROW()&lt;=COUNTA(Sheet1!A:A), INDEX(Sheet1!A:A, ROW()),
INDEX(Sheet4!A:A, ROW()-COUNTA(Sheet1!A:A)))</f>
        <v>Al8.4326Cr11.117Fe11.233Co33.655Ni35.562</v>
      </c>
      <c r="B782" s="10">
        <f>_xlfn.XLOOKUP(A782, Sheet4!A:A, Sheet4!C:C)</f>
        <v>0</v>
      </c>
      <c r="C782" s="10">
        <v>-1</v>
      </c>
      <c r="D782" s="10">
        <f>_xlfn.XLOOKUP(A782, Sheet2!A:A, Sheet2!B:B)</f>
        <v>8.4038000000000004</v>
      </c>
      <c r="E782" s="10">
        <f>_xlfn.XLOOKUP(A782, Sheet1!A:A, Sheet1!G:G)</f>
        <v>-1</v>
      </c>
      <c r="F782" s="10">
        <f t="shared" si="12"/>
        <v>-1</v>
      </c>
      <c r="G782" cm="1">
        <f t="array" ref="G782:J782">_xlfn.XLOOKUP(A782, Sheet1!A:A, Sheet1!C:F)</f>
        <v>33.700000000000003</v>
      </c>
      <c r="H782">
        <v>11.1</v>
      </c>
      <c r="I782">
        <v>11.2</v>
      </c>
      <c r="J782">
        <v>35.6</v>
      </c>
    </row>
    <row r="783" spans="1:10" x14ac:dyDescent="0.3">
      <c r="A783" t="str" cm="1">
        <f t="array" ref="A783">IF(ROW()&lt;=COUNTA(Sheet1!A:A), INDEX(Sheet1!A:A, ROW()),
INDEX(Sheet4!A:A, ROW()-COUNTA(Sheet1!A:A)))</f>
        <v>Al8.4353Cr11.298Fe16.225Co31.074Ni32.968</v>
      </c>
      <c r="B783" s="10">
        <f>_xlfn.XLOOKUP(A783, Sheet4!A:A, Sheet4!C:C)</f>
        <v>0</v>
      </c>
      <c r="C783" s="10">
        <v>-1</v>
      </c>
      <c r="D783" s="10">
        <f>_xlfn.XLOOKUP(A783, Sheet2!A:A, Sheet2!B:B)</f>
        <v>8.3224</v>
      </c>
      <c r="E783" s="10">
        <f>_xlfn.XLOOKUP(A783, Sheet1!A:A, Sheet1!G:G)</f>
        <v>-1</v>
      </c>
      <c r="F783" s="10">
        <f t="shared" si="12"/>
        <v>-1</v>
      </c>
      <c r="G783" cm="1">
        <f t="array" ref="G783:J783">_xlfn.XLOOKUP(A783, Sheet1!A:A, Sheet1!C:F)</f>
        <v>33.655000000000001</v>
      </c>
      <c r="H783">
        <v>11.117000000000001</v>
      </c>
      <c r="I783">
        <v>11.233000000000001</v>
      </c>
      <c r="J783">
        <v>35.561999999999998</v>
      </c>
    </row>
    <row r="784" spans="1:10" x14ac:dyDescent="0.3">
      <c r="A784" t="str" cm="1">
        <f t="array" ref="A784">IF(ROW()&lt;=COUNTA(Sheet1!A:A), INDEX(Sheet1!A:A, ROW()),
INDEX(Sheet4!A:A, ROW()-COUNTA(Sheet1!A:A)))</f>
        <v>Al0.375CoCrFeNi</v>
      </c>
      <c r="B784" s="10" t="str">
        <f>_xlfn.XLOOKUP(A784, Sheet4!A:A, Sheet4!C:C)</f>
        <v>FCC</v>
      </c>
      <c r="C784" s="10">
        <v>0</v>
      </c>
      <c r="D784" s="10">
        <f>_xlfn.XLOOKUP(A784, Sheet2!A:A, Sheet2!B:B)</f>
        <v>7.8</v>
      </c>
      <c r="E784" s="10">
        <f>_xlfn.XLOOKUP(A784, Sheet1!A:A, Sheet1!G:G)</f>
        <v>-1</v>
      </c>
      <c r="F784" s="10">
        <f t="shared" si="12"/>
        <v>0</v>
      </c>
      <c r="G784" cm="1">
        <f t="array" ref="G784:J784">_xlfn.XLOOKUP(A784, Sheet1!A:A, Sheet1!C:F)</f>
        <v>31.074000000000002</v>
      </c>
      <c r="H784">
        <v>11.298</v>
      </c>
      <c r="I784">
        <v>16.225000000000001</v>
      </c>
      <c r="J784">
        <v>32.968000000000004</v>
      </c>
    </row>
    <row r="785" spans="1:10" x14ac:dyDescent="0.3">
      <c r="A785" t="str" cm="1">
        <f t="array" ref="A785">IF(ROW()&lt;=COUNTA(Sheet1!A:A), INDEX(Sheet1!A:A, ROW()),
INDEX(Sheet4!A:A, ROW()-COUNTA(Sheet1!A:A)))</f>
        <v>Al0.375CoCrFeNi</v>
      </c>
      <c r="B785" s="10" t="str">
        <f>_xlfn.XLOOKUP(A785, Sheet4!A:A, Sheet4!C:C)</f>
        <v>FCC</v>
      </c>
      <c r="C785" s="10">
        <v>0</v>
      </c>
      <c r="D785" s="10">
        <f>_xlfn.XLOOKUP(A785, Sheet2!A:A, Sheet2!B:B)</f>
        <v>7.8</v>
      </c>
      <c r="E785" s="10">
        <f>_xlfn.XLOOKUP(A785, Sheet1!A:A, Sheet1!G:G)</f>
        <v>-1</v>
      </c>
      <c r="F785" s="10">
        <f t="shared" si="12"/>
        <v>0</v>
      </c>
      <c r="G785" cm="1">
        <f t="array" ref="G785:J785">_xlfn.XLOOKUP(A785, Sheet1!A:A, Sheet1!C:F)</f>
        <v>31.074000000000002</v>
      </c>
      <c r="H785">
        <v>11.298</v>
      </c>
      <c r="I785">
        <v>16.225000000000001</v>
      </c>
      <c r="J785">
        <v>32.968000000000004</v>
      </c>
    </row>
    <row r="786" spans="1:10" x14ac:dyDescent="0.3">
      <c r="A786" t="str" cm="1">
        <f t="array" ref="A786">IF(ROW()&lt;=COUNTA(Sheet1!A:A), INDEX(Sheet1!A:A, ROW()),
INDEX(Sheet4!A:A, ROW()-COUNTA(Sheet1!A:A)))</f>
        <v>CoCrFeNiAl0.38</v>
      </c>
      <c r="B786" s="10">
        <f>_xlfn.XLOOKUP(A786, Sheet4!A:A, Sheet4!C:C)</f>
        <v>0</v>
      </c>
      <c r="C786" s="10">
        <v>-1</v>
      </c>
      <c r="D786" s="10">
        <f>_xlfn.XLOOKUP(A786, Sheet2!A:A, Sheet2!B:B)</f>
        <v>7.7945000000000002</v>
      </c>
      <c r="E786" s="10">
        <f>_xlfn.XLOOKUP(A786, Sheet1!A:A, Sheet1!G:G)</f>
        <v>-1</v>
      </c>
      <c r="F786" s="10">
        <f t="shared" si="12"/>
        <v>-1</v>
      </c>
      <c r="G786" cm="1">
        <f t="array" ref="G786:J786">_xlfn.XLOOKUP(A786, Sheet1!A:A, Sheet1!C:F)</f>
        <v>22.85714286</v>
      </c>
      <c r="H786">
        <v>22.85714286</v>
      </c>
      <c r="I786">
        <v>22.85714286</v>
      </c>
      <c r="J786">
        <v>22.85714286</v>
      </c>
    </row>
    <row r="787" spans="1:10" x14ac:dyDescent="0.3">
      <c r="A787" t="str" cm="1">
        <f t="array" ref="A787">IF(ROW()&lt;=COUNTA(Sheet1!A:A), INDEX(Sheet1!A:A, ROW()),
INDEX(Sheet4!A:A, ROW()-COUNTA(Sheet1!A:A)))</f>
        <v>Al8.6895Cr10.442Fe32.126Co23.472Ni25.271</v>
      </c>
      <c r="B787" s="10">
        <f>_xlfn.XLOOKUP(A787, Sheet4!A:A, Sheet4!C:C)</f>
        <v>0</v>
      </c>
      <c r="C787" s="10">
        <v>-1</v>
      </c>
      <c r="D787" s="10">
        <f>_xlfn.XLOOKUP(A787, Sheet2!A:A, Sheet2!B:B)</f>
        <v>8.0968</v>
      </c>
      <c r="E787" s="10">
        <f>_xlfn.XLOOKUP(A787, Sheet1!A:A, Sheet1!G:G)</f>
        <v>-1</v>
      </c>
      <c r="F787" s="10">
        <f t="shared" si="12"/>
        <v>-1</v>
      </c>
      <c r="G787" cm="1">
        <f t="array" ref="G787:J787">_xlfn.XLOOKUP(A787, Sheet1!A:A, Sheet1!C:F)</f>
        <v>22.85714286</v>
      </c>
      <c r="H787">
        <v>22.85714286</v>
      </c>
      <c r="I787">
        <v>22.85714286</v>
      </c>
      <c r="J787">
        <v>22.85714286</v>
      </c>
    </row>
    <row r="788" spans="1:10" x14ac:dyDescent="0.3">
      <c r="A788" t="str" cm="1">
        <f t="array" ref="A788">IF(ROW()&lt;=COUNTA(Sheet1!A:A), INDEX(Sheet1!A:A, ROW()),
INDEX(Sheet4!A:A, ROW()-COUNTA(Sheet1!A:A)))</f>
        <v>Al8.7Cr10.4Fe32.1Co23.5Ni25.3</v>
      </c>
      <c r="B788" s="10">
        <f>_xlfn.XLOOKUP(A788, Sheet4!A:A, Sheet4!C:C)</f>
        <v>0</v>
      </c>
      <c r="C788" s="10">
        <v>-1</v>
      </c>
      <c r="D788" s="10">
        <f>_xlfn.XLOOKUP(A788, Sheet2!A:A, Sheet2!B:B)</f>
        <v>8.0980000000000008</v>
      </c>
      <c r="E788" s="10">
        <f>_xlfn.XLOOKUP(A788, Sheet1!A:A, Sheet1!G:G)</f>
        <v>-1</v>
      </c>
      <c r="F788" s="10">
        <f t="shared" si="12"/>
        <v>-1</v>
      </c>
      <c r="G788" cm="1">
        <f t="array" ref="G788:J788">_xlfn.XLOOKUP(A788, Sheet1!A:A, Sheet1!C:F)</f>
        <v>22.831050229999999</v>
      </c>
      <c r="H788">
        <v>22.831050229999999</v>
      </c>
      <c r="I788">
        <v>22.831050229999999</v>
      </c>
      <c r="J788">
        <v>22.831050229999999</v>
      </c>
    </row>
    <row r="789" spans="1:10" x14ac:dyDescent="0.3">
      <c r="A789" t="str" cm="1">
        <f t="array" ref="A789">IF(ROW()&lt;=COUNTA(Sheet1!A:A), INDEX(Sheet1!A:A, ROW()),
INDEX(Sheet4!A:A, ROW()-COUNTA(Sheet1!A:A)))</f>
        <v>Al8.7Cr10.9Fe27.2Co25.7Ni27.5</v>
      </c>
      <c r="B789" s="10">
        <f>_xlfn.XLOOKUP(A789, Sheet4!A:A, Sheet4!C:C)</f>
        <v>0</v>
      </c>
      <c r="C789" s="10">
        <v>-1</v>
      </c>
      <c r="D789" s="10">
        <f>_xlfn.XLOOKUP(A789, Sheet2!A:A, Sheet2!B:B)</f>
        <v>8.1539999999999999</v>
      </c>
      <c r="E789" s="10">
        <f>_xlfn.XLOOKUP(A789, Sheet1!A:A, Sheet1!G:G)</f>
        <v>-1</v>
      </c>
      <c r="F789" s="10">
        <f t="shared" si="12"/>
        <v>-1</v>
      </c>
      <c r="G789" cm="1">
        <f t="array" ref="G789:J789">_xlfn.XLOOKUP(A789, Sheet1!A:A, Sheet1!C:F)</f>
        <v>23.472000000000001</v>
      </c>
      <c r="H789">
        <v>10.442</v>
      </c>
      <c r="I789">
        <v>32.125999999999998</v>
      </c>
      <c r="J789">
        <v>25.271000000000001</v>
      </c>
    </row>
    <row r="790" spans="1:10" x14ac:dyDescent="0.3">
      <c r="A790" t="str" cm="1">
        <f t="array" ref="A790">IF(ROW()&lt;=COUNTA(Sheet1!A:A), INDEX(Sheet1!A:A, ROW()),
INDEX(Sheet4!A:A, ROW()-COUNTA(Sheet1!A:A)))</f>
        <v>Al8.7167Cr10.894Fe27.204Co25.722Ni27.464</v>
      </c>
      <c r="B790" s="10">
        <f>_xlfn.XLOOKUP(A790, Sheet4!A:A, Sheet4!C:C)</f>
        <v>0</v>
      </c>
      <c r="C790" s="10">
        <v>-1</v>
      </c>
      <c r="D790" s="10">
        <f>_xlfn.XLOOKUP(A790, Sheet2!A:A, Sheet2!B:B)</f>
        <v>8.1527999999999992</v>
      </c>
      <c r="E790" s="10">
        <f>_xlfn.XLOOKUP(A790, Sheet1!A:A, Sheet1!G:G)</f>
        <v>-1</v>
      </c>
      <c r="F790" s="10">
        <f t="shared" si="12"/>
        <v>-1</v>
      </c>
      <c r="G790" cm="1">
        <f t="array" ref="G790:J790">_xlfn.XLOOKUP(A790, Sheet1!A:A, Sheet1!C:F)</f>
        <v>23.5</v>
      </c>
      <c r="H790">
        <v>10.4</v>
      </c>
      <c r="I790">
        <v>32.1</v>
      </c>
      <c r="J790">
        <v>25.3</v>
      </c>
    </row>
    <row r="791" spans="1:10" x14ac:dyDescent="0.3">
      <c r="A791" t="str" cm="1">
        <f t="array" ref="A791">IF(ROW()&lt;=COUNTA(Sheet1!A:A), INDEX(Sheet1!A:A, ROW()),
INDEX(Sheet4!A:A, ROW()-COUNTA(Sheet1!A:A)))</f>
        <v>Al8.7665Cr11.071Fe13.554Co32.427Ni34.182</v>
      </c>
      <c r="B791" s="10">
        <f>_xlfn.XLOOKUP(A791, Sheet4!A:A, Sheet4!C:C)</f>
        <v>0</v>
      </c>
      <c r="C791" s="10">
        <v>-1</v>
      </c>
      <c r="D791" s="10">
        <f>_xlfn.XLOOKUP(A791, Sheet2!A:A, Sheet2!B:B)</f>
        <v>8.3482000000000003</v>
      </c>
      <c r="E791" s="10">
        <f>_xlfn.XLOOKUP(A791, Sheet1!A:A, Sheet1!G:G)</f>
        <v>-1</v>
      </c>
      <c r="F791" s="10">
        <f t="shared" si="12"/>
        <v>-1</v>
      </c>
      <c r="G791" cm="1">
        <f t="array" ref="G791:J791">_xlfn.XLOOKUP(A791, Sheet1!A:A, Sheet1!C:F)</f>
        <v>25.7</v>
      </c>
      <c r="H791">
        <v>10.9</v>
      </c>
      <c r="I791">
        <v>27.2</v>
      </c>
      <c r="J791">
        <v>27.5</v>
      </c>
    </row>
    <row r="792" spans="1:10" x14ac:dyDescent="0.3">
      <c r="A792" t="str" cm="1">
        <f t="array" ref="A792">IF(ROW()&lt;=COUNTA(Sheet1!A:A), INDEX(Sheet1!A:A, ROW()),
INDEX(Sheet4!A:A, ROW()-COUNTA(Sheet1!A:A)))</f>
        <v>Al8.7869Cr11.363Fe19.584Co29.085Ni31.181</v>
      </c>
      <c r="B792" s="10">
        <f>_xlfn.XLOOKUP(A792, Sheet4!A:A, Sheet4!C:C)</f>
        <v>0</v>
      </c>
      <c r="C792" s="10">
        <v>-1</v>
      </c>
      <c r="D792" s="10">
        <f>_xlfn.XLOOKUP(A792, Sheet2!A:A, Sheet2!B:B)</f>
        <v>8.2478999999999996</v>
      </c>
      <c r="E792" s="10">
        <f>_xlfn.XLOOKUP(A792, Sheet1!A:A, Sheet1!G:G)</f>
        <v>-1</v>
      </c>
      <c r="F792" s="10">
        <f t="shared" si="12"/>
        <v>-1</v>
      </c>
      <c r="G792" cm="1">
        <f t="array" ref="G792:J792">_xlfn.XLOOKUP(A792, Sheet1!A:A, Sheet1!C:F)</f>
        <v>25.722000000000001</v>
      </c>
      <c r="H792">
        <v>10.894</v>
      </c>
      <c r="I792">
        <v>27.204000000000001</v>
      </c>
      <c r="J792">
        <v>27.463999999999999</v>
      </c>
    </row>
    <row r="793" spans="1:10" x14ac:dyDescent="0.3">
      <c r="A793" t="str" cm="1">
        <f t="array" ref="A793">IF(ROW()&lt;=COUNTA(Sheet1!A:A), INDEX(Sheet1!A:A, ROW()),
INDEX(Sheet4!A:A, ROW()-COUNTA(Sheet1!A:A)))</f>
        <v>Al8.8Cr11.4Fe19.6Co29.1Ni31.2</v>
      </c>
      <c r="B793" s="10">
        <f>_xlfn.XLOOKUP(A793, Sheet4!A:A, Sheet4!C:C)</f>
        <v>0</v>
      </c>
      <c r="C793" s="10">
        <v>-1</v>
      </c>
      <c r="D793" s="10">
        <f>_xlfn.XLOOKUP(A793, Sheet2!A:A, Sheet2!B:B)</f>
        <v>8.2468000000000004</v>
      </c>
      <c r="E793" s="10">
        <f>_xlfn.XLOOKUP(A793, Sheet1!A:A, Sheet1!G:G)</f>
        <v>-1</v>
      </c>
      <c r="F793" s="10">
        <f t="shared" si="12"/>
        <v>-1</v>
      </c>
      <c r="G793" cm="1">
        <f t="array" ref="G793:J793">_xlfn.XLOOKUP(A793, Sheet1!A:A, Sheet1!C:F)</f>
        <v>32.427</v>
      </c>
      <c r="H793">
        <v>11.071</v>
      </c>
      <c r="I793">
        <v>13.554</v>
      </c>
      <c r="J793">
        <v>34.182000000000002</v>
      </c>
    </row>
    <row r="794" spans="1:10" x14ac:dyDescent="0.3">
      <c r="A794" t="str" cm="1">
        <f t="array" ref="A794">IF(ROW()&lt;=COUNTA(Sheet1!A:A), INDEX(Sheet1!A:A, ROW()),
INDEX(Sheet4!A:A, ROW()-COUNTA(Sheet1!A:A)))</f>
        <v>Al8.8Cr11.1Fe13.6Co32.4Ni34.2</v>
      </c>
      <c r="B794" s="10">
        <f>_xlfn.XLOOKUP(A794, Sheet4!A:A, Sheet4!C:C)</f>
        <v>0</v>
      </c>
      <c r="C794" s="10">
        <v>-1</v>
      </c>
      <c r="D794" s="10">
        <f>_xlfn.XLOOKUP(A794, Sheet2!A:A, Sheet2!B:B)</f>
        <v>8.3457000000000008</v>
      </c>
      <c r="E794" s="10">
        <f>_xlfn.XLOOKUP(A794, Sheet1!A:A, Sheet1!G:G)</f>
        <v>-1</v>
      </c>
      <c r="F794" s="10">
        <f t="shared" si="12"/>
        <v>-1</v>
      </c>
      <c r="G794" cm="1">
        <f t="array" ref="G794:J794">_xlfn.XLOOKUP(A794, Sheet1!A:A, Sheet1!C:F)</f>
        <v>29.085000000000001</v>
      </c>
      <c r="H794">
        <v>11.363</v>
      </c>
      <c r="I794">
        <v>19.584</v>
      </c>
      <c r="J794">
        <v>31.181000000000001</v>
      </c>
    </row>
    <row r="795" spans="1:10" x14ac:dyDescent="0.3">
      <c r="A795" t="str" cm="1">
        <f t="array" ref="A795">IF(ROW()&lt;=COUNTA(Sheet1!A:A), INDEX(Sheet1!A:A, ROW()),
INDEX(Sheet4!A:A, ROW()-COUNTA(Sheet1!A:A)))</f>
        <v>Al8.8Cr11.2Fe37.8Co20.3Ni21.9</v>
      </c>
      <c r="B795" s="10">
        <f>_xlfn.XLOOKUP(A795, Sheet4!A:A, Sheet4!C:C)</f>
        <v>0</v>
      </c>
      <c r="C795" s="10">
        <v>-1</v>
      </c>
      <c r="D795" s="10">
        <f>_xlfn.XLOOKUP(A795, Sheet2!A:A, Sheet2!B:B)</f>
        <v>7.9770000000000003</v>
      </c>
      <c r="E795" s="10">
        <f>_xlfn.XLOOKUP(A795, Sheet1!A:A, Sheet1!G:G)</f>
        <v>-1</v>
      </c>
      <c r="F795" s="10">
        <f t="shared" si="12"/>
        <v>-1</v>
      </c>
      <c r="G795" cm="1">
        <f t="array" ref="G795:J795">_xlfn.XLOOKUP(A795, Sheet1!A:A, Sheet1!C:F)</f>
        <v>29.1</v>
      </c>
      <c r="H795">
        <v>11.4</v>
      </c>
      <c r="I795">
        <v>19.600000000000001</v>
      </c>
      <c r="J795">
        <v>31.2</v>
      </c>
    </row>
    <row r="796" spans="1:10" x14ac:dyDescent="0.3">
      <c r="A796" t="str" cm="1">
        <f t="array" ref="A796">IF(ROW()&lt;=COUNTA(Sheet1!A:A), INDEX(Sheet1!A:A, ROW()),
INDEX(Sheet4!A:A, ROW()-COUNTA(Sheet1!A:A)))</f>
        <v>Al8.8421Cr11.177Fe37.809Co20.277Ni21.895</v>
      </c>
      <c r="B796" s="10">
        <f>_xlfn.XLOOKUP(A796, Sheet4!A:A, Sheet4!C:C)</f>
        <v>0</v>
      </c>
      <c r="C796" s="10">
        <v>-1</v>
      </c>
      <c r="D796" s="10">
        <f>_xlfn.XLOOKUP(A796, Sheet2!A:A, Sheet2!B:B)</f>
        <v>7.9749999999999996</v>
      </c>
      <c r="E796" s="10">
        <f>_xlfn.XLOOKUP(A796, Sheet1!A:A, Sheet1!G:G)</f>
        <v>-1</v>
      </c>
      <c r="F796" s="10">
        <f t="shared" si="12"/>
        <v>-1</v>
      </c>
      <c r="G796" cm="1">
        <f t="array" ref="G796:J796">_xlfn.XLOOKUP(A796, Sheet1!A:A, Sheet1!C:F)</f>
        <v>32.4</v>
      </c>
      <c r="H796">
        <v>11.1</v>
      </c>
      <c r="I796">
        <v>13.6</v>
      </c>
      <c r="J796">
        <v>34.200000000000003</v>
      </c>
    </row>
    <row r="797" spans="1:10" x14ac:dyDescent="0.3">
      <c r="A797" t="str" cm="1">
        <f t="array" ref="A797">IF(ROW()&lt;=COUNTA(Sheet1!A:A), INDEX(Sheet1!A:A, ROW()),
INDEX(Sheet4!A:A, ROW()-COUNTA(Sheet1!A:A)))</f>
        <v>Al8.9787Cr11.057Fe22.843Co27.609Ni29.512</v>
      </c>
      <c r="B797" s="10">
        <f>_xlfn.XLOOKUP(A797, Sheet4!A:A, Sheet4!C:C)</f>
        <v>0</v>
      </c>
      <c r="C797" s="10">
        <v>-1</v>
      </c>
      <c r="D797" s="10">
        <f>_xlfn.XLOOKUP(A797, Sheet2!A:A, Sheet2!B:B)</f>
        <v>8.1963000000000008</v>
      </c>
      <c r="E797" s="10">
        <f>_xlfn.XLOOKUP(A797, Sheet1!A:A, Sheet1!G:G)</f>
        <v>-1</v>
      </c>
      <c r="F797" s="10">
        <f t="shared" si="12"/>
        <v>-1</v>
      </c>
      <c r="G797" cm="1">
        <f t="array" ref="G797:J797">_xlfn.XLOOKUP(A797, Sheet1!A:A, Sheet1!C:F)</f>
        <v>20.3</v>
      </c>
      <c r="H797">
        <v>11.2</v>
      </c>
      <c r="I797">
        <v>37.799999999999997</v>
      </c>
      <c r="J797">
        <v>21.9</v>
      </c>
    </row>
    <row r="798" spans="1:10" x14ac:dyDescent="0.3">
      <c r="A798" t="str" cm="1">
        <f t="array" ref="A798">IF(ROW()&lt;=COUNTA(Sheet1!A:A), INDEX(Sheet1!A:A, ROW()),
INDEX(Sheet4!A:A, ROW()-COUNTA(Sheet1!A:A)))</f>
        <v>Al9Cr11.1Fe22.8Co27.6Ni29.5</v>
      </c>
      <c r="B798" s="10">
        <f>_xlfn.XLOOKUP(A798, Sheet4!A:A, Sheet4!C:C)</f>
        <v>0</v>
      </c>
      <c r="C798" s="10">
        <v>-1</v>
      </c>
      <c r="D798" s="10">
        <f>_xlfn.XLOOKUP(A798, Sheet2!A:A, Sheet2!B:B)</f>
        <v>8.1940000000000008</v>
      </c>
      <c r="E798" s="10">
        <f>_xlfn.XLOOKUP(A798, Sheet1!A:A, Sheet1!G:G)</f>
        <v>-1</v>
      </c>
      <c r="F798" s="10">
        <f t="shared" si="12"/>
        <v>-1</v>
      </c>
      <c r="G798" cm="1">
        <f t="array" ref="G798:J798">_xlfn.XLOOKUP(A798, Sheet1!A:A, Sheet1!C:F)</f>
        <v>20.277000000000001</v>
      </c>
      <c r="H798">
        <v>11.177</v>
      </c>
      <c r="I798">
        <v>37.808999999999997</v>
      </c>
      <c r="J798">
        <v>21.895</v>
      </c>
    </row>
    <row r="799" spans="1:10" x14ac:dyDescent="0.3">
      <c r="A799" t="str" cm="1">
        <f t="array" ref="A799">IF(ROW()&lt;=COUNTA(Sheet1!A:A), INDEX(Sheet1!A:A, ROW()),
INDEX(Sheet4!A:A, ROW()-COUNTA(Sheet1!A:A)))</f>
        <v>Al0.4CoCrFeNi</v>
      </c>
      <c r="B799" s="10" t="str">
        <f>_xlfn.XLOOKUP(A799, Sheet4!A:A, Sheet4!C:C)</f>
        <v>FCC</v>
      </c>
      <c r="C799" s="10">
        <v>0</v>
      </c>
      <c r="D799" s="10">
        <f>_xlfn.XLOOKUP(A799, Sheet2!A:A, Sheet2!B:B)</f>
        <v>7.7727000000000004</v>
      </c>
      <c r="E799" s="10">
        <f>_xlfn.XLOOKUP(A799, Sheet1!A:A, Sheet1!G:G)</f>
        <v>-1</v>
      </c>
      <c r="F799" s="10">
        <f t="shared" si="12"/>
        <v>0</v>
      </c>
      <c r="G799" cm="1">
        <f t="array" ref="G799:J799">_xlfn.XLOOKUP(A799, Sheet1!A:A, Sheet1!C:F)</f>
        <v>27.609000000000002</v>
      </c>
      <c r="H799">
        <v>11.057</v>
      </c>
      <c r="I799">
        <v>22.843</v>
      </c>
      <c r="J799">
        <v>29.512</v>
      </c>
    </row>
    <row r="800" spans="1:10" x14ac:dyDescent="0.3">
      <c r="A800" t="str" cm="1">
        <f t="array" ref="A800">IF(ROW()&lt;=COUNTA(Sheet1!A:A), INDEX(Sheet1!A:A, ROW()),
INDEX(Sheet4!A:A, ROW()-COUNTA(Sheet1!A:A)))</f>
        <v>Al0.5Co1.5CrFeNi1.5</v>
      </c>
      <c r="B800" s="10">
        <f>_xlfn.XLOOKUP(A800, Sheet4!A:A, Sheet4!C:C)</f>
        <v>0</v>
      </c>
      <c r="C800" s="10">
        <v>-1</v>
      </c>
      <c r="D800" s="10">
        <f>_xlfn.XLOOKUP(A800, Sheet2!A:A, Sheet2!B:B)</f>
        <v>8</v>
      </c>
      <c r="E800" s="10">
        <f>_xlfn.XLOOKUP(A800, Sheet1!A:A, Sheet1!G:G)</f>
        <v>-1</v>
      </c>
      <c r="F800" s="10">
        <f t="shared" si="12"/>
        <v>-1</v>
      </c>
      <c r="G800" cm="1">
        <f t="array" ref="G800:J800">_xlfn.XLOOKUP(A800, Sheet1!A:A, Sheet1!C:F)</f>
        <v>27.6</v>
      </c>
      <c r="H800">
        <v>11.1</v>
      </c>
      <c r="I800">
        <v>22.8</v>
      </c>
      <c r="J800">
        <v>29.5</v>
      </c>
    </row>
    <row r="801" spans="1:10" x14ac:dyDescent="0.3">
      <c r="A801" t="str" cm="1">
        <f t="array" ref="A801">IF(ROW()&lt;=COUNTA(Sheet1!A:A), INDEX(Sheet1!A:A, ROW()),
INDEX(Sheet4!A:A, ROW()-COUNTA(Sheet1!A:A)))</f>
        <v>Al9.1Co22.7Cr22.7Fe22.7Ni22.7</v>
      </c>
      <c r="B801" s="10" t="str">
        <f>_xlfn.XLOOKUP(A801, Sheet4!A:A, Sheet4!C:C)</f>
        <v>FCC</v>
      </c>
      <c r="C801" s="10">
        <v>0</v>
      </c>
      <c r="D801" s="10">
        <f>_xlfn.XLOOKUP(A801, Sheet2!A:A, Sheet2!B:B)</f>
        <v>7.7717999999999998</v>
      </c>
      <c r="E801" s="10">
        <f>_xlfn.XLOOKUP(A801, Sheet1!A:A, Sheet1!G:G)</f>
        <v>-1</v>
      </c>
      <c r="F801" s="10">
        <f t="shared" si="12"/>
        <v>0</v>
      </c>
      <c r="G801" cm="1">
        <f t="array" ref="G801:J801">_xlfn.XLOOKUP(A801, Sheet1!A:A, Sheet1!C:F)</f>
        <v>22.727272729999999</v>
      </c>
      <c r="H801">
        <v>22.727272729999999</v>
      </c>
      <c r="I801">
        <v>22.727272729999999</v>
      </c>
      <c r="J801">
        <v>22.727272729999999</v>
      </c>
    </row>
    <row r="802" spans="1:10" x14ac:dyDescent="0.3">
      <c r="A802" t="str" cm="1">
        <f t="array" ref="A802">IF(ROW()&lt;=COUNTA(Sheet1!A:A), INDEX(Sheet1!A:A, ROW()),
INDEX(Sheet4!A:A, ROW()-COUNTA(Sheet1!A:A)))</f>
        <v>Al9.1Co22.7Cr22.7Fe22.7Ni22.7</v>
      </c>
      <c r="B802" s="10" t="str">
        <f>_xlfn.XLOOKUP(A802, Sheet4!A:A, Sheet4!C:C)</f>
        <v>FCC</v>
      </c>
      <c r="C802" s="10">
        <v>0</v>
      </c>
      <c r="D802" s="10">
        <f>_xlfn.XLOOKUP(A802, Sheet2!A:A, Sheet2!B:B)</f>
        <v>7.7717999999999998</v>
      </c>
      <c r="E802" s="10">
        <f>_xlfn.XLOOKUP(A802, Sheet1!A:A, Sheet1!G:G)</f>
        <v>-1</v>
      </c>
      <c r="F802" s="10">
        <f t="shared" si="12"/>
        <v>0</v>
      </c>
      <c r="G802" cm="1">
        <f t="array" ref="G802:J802">_xlfn.XLOOKUP(A802, Sheet1!A:A, Sheet1!C:F)</f>
        <v>22.727272729999999</v>
      </c>
      <c r="H802">
        <v>22.727272729999999</v>
      </c>
      <c r="I802">
        <v>22.727272729999999</v>
      </c>
      <c r="J802">
        <v>22.727272729999999</v>
      </c>
    </row>
    <row r="803" spans="1:10" x14ac:dyDescent="0.3">
      <c r="A803" t="str" cm="1">
        <f t="array" ref="A803">IF(ROW()&lt;=COUNTA(Sheet1!A:A), INDEX(Sheet1!A:A, ROW()),
INDEX(Sheet4!A:A, ROW()-COUNTA(Sheet1!A:A)))</f>
        <v>Al0.41NiCoFeCr</v>
      </c>
      <c r="B803" s="10">
        <f>_xlfn.XLOOKUP(A803, Sheet4!A:A, Sheet4!C:C)</f>
        <v>0</v>
      </c>
      <c r="C803" s="10">
        <v>-1</v>
      </c>
      <c r="D803" s="10">
        <f>_xlfn.XLOOKUP(A803, Sheet2!A:A, Sheet2!B:B)</f>
        <v>7.7618999999999998</v>
      </c>
      <c r="E803" s="10">
        <f>_xlfn.XLOOKUP(A803, Sheet1!A:A, Sheet1!G:G)</f>
        <v>-1</v>
      </c>
      <c r="F803" s="10">
        <f t="shared" si="12"/>
        <v>-1</v>
      </c>
      <c r="G803" cm="1">
        <f t="array" ref="G803:J803">_xlfn.XLOOKUP(A803, Sheet1!A:A, Sheet1!C:F)</f>
        <v>27.272727270000001</v>
      </c>
      <c r="H803">
        <v>18.18181818</v>
      </c>
      <c r="I803">
        <v>18.18181818</v>
      </c>
      <c r="J803">
        <v>27.272727270000001</v>
      </c>
    </row>
    <row r="804" spans="1:10" x14ac:dyDescent="0.3">
      <c r="A804" t="str" cm="1">
        <f t="array" ref="A804">IF(ROW()&lt;=COUNTA(Sheet1!A:A), INDEX(Sheet1!A:A, ROW()),
INDEX(Sheet4!A:A, ROW()-COUNTA(Sheet1!A:A)))</f>
        <v>Al9.38Ni22.66Co22.66Fe22.66Cr22.66</v>
      </c>
      <c r="B804" s="10" t="str">
        <f>_xlfn.XLOOKUP(A804, Sheet4!A:A, Sheet4!C:C)</f>
        <v>FCC+BCC</v>
      </c>
      <c r="C804" s="10">
        <v>-1</v>
      </c>
      <c r="D804" s="10">
        <f>_xlfn.XLOOKUP(A804, Sheet2!A:A, Sheet2!B:B)</f>
        <v>7.7576000000000001</v>
      </c>
      <c r="E804" s="10">
        <f>_xlfn.XLOOKUP(A804, Sheet1!A:A, Sheet1!G:G)</f>
        <v>-1</v>
      </c>
      <c r="F804" s="10">
        <f t="shared" si="12"/>
        <v>-1</v>
      </c>
      <c r="G804" cm="1">
        <f t="array" ref="G804:J804">_xlfn.XLOOKUP(A804, Sheet1!A:A, Sheet1!C:F)</f>
        <v>22.7</v>
      </c>
      <c r="H804">
        <v>22.7</v>
      </c>
      <c r="I804">
        <v>22.7</v>
      </c>
      <c r="J804">
        <v>22.7</v>
      </c>
    </row>
    <row r="805" spans="1:10" x14ac:dyDescent="0.3">
      <c r="A805" t="str" cm="1">
        <f t="array" ref="A805">IF(ROW()&lt;=COUNTA(Sheet1!A:A), INDEX(Sheet1!A:A, ROW()),
INDEX(Sheet4!A:A, ROW()-COUNTA(Sheet1!A:A)))</f>
        <v>Al9.3896Cr20.213Fe27.362Co19.0Ni24.035</v>
      </c>
      <c r="B805" s="10">
        <f>_xlfn.XLOOKUP(A805, Sheet4!A:A, Sheet4!C:C)</f>
        <v>0</v>
      </c>
      <c r="C805" s="10">
        <v>-1</v>
      </c>
      <c r="D805" s="10">
        <f>_xlfn.XLOOKUP(A805, Sheet2!A:A, Sheet2!B:B)</f>
        <v>7.7969999999999997</v>
      </c>
      <c r="E805" s="10">
        <f>_xlfn.XLOOKUP(A805, Sheet1!A:A, Sheet1!G:G)</f>
        <v>-1</v>
      </c>
      <c r="F805" s="10">
        <f t="shared" si="12"/>
        <v>-1</v>
      </c>
      <c r="G805" cm="1">
        <f t="array" ref="G805:J805">_xlfn.XLOOKUP(A805, Sheet1!A:A, Sheet1!C:F)</f>
        <v>22.7</v>
      </c>
      <c r="H805">
        <v>22.7</v>
      </c>
      <c r="I805">
        <v>22.7</v>
      </c>
      <c r="J805">
        <v>22.7</v>
      </c>
    </row>
    <row r="806" spans="1:10" x14ac:dyDescent="0.3">
      <c r="A806" t="str" cm="1">
        <f t="array" ref="A806">IF(ROW()&lt;=COUNTA(Sheet1!A:A), INDEX(Sheet1!A:A, ROW()),
INDEX(Sheet4!A:A, ROW()-COUNTA(Sheet1!A:A)))</f>
        <v>Al9.4Cr20.2Fe27.4Co19Ni24</v>
      </c>
      <c r="B806" s="10">
        <f>_xlfn.XLOOKUP(A806, Sheet4!A:A, Sheet4!C:C)</f>
        <v>0</v>
      </c>
      <c r="C806" s="10">
        <v>-1</v>
      </c>
      <c r="D806" s="10">
        <f>_xlfn.XLOOKUP(A806, Sheet2!A:A, Sheet2!B:B)</f>
        <v>7.7960000000000003</v>
      </c>
      <c r="E806" s="10">
        <f>_xlfn.XLOOKUP(A806, Sheet1!A:A, Sheet1!G:G)</f>
        <v>-1</v>
      </c>
      <c r="F806" s="10">
        <f t="shared" si="12"/>
        <v>-1</v>
      </c>
      <c r="G806" cm="1">
        <f t="array" ref="G806:J806">_xlfn.XLOOKUP(A806, Sheet1!A:A, Sheet1!C:F)</f>
        <v>22.675736959999998</v>
      </c>
      <c r="H806">
        <v>22.675736959999998</v>
      </c>
      <c r="I806">
        <v>22.675736959999998</v>
      </c>
      <c r="J806">
        <v>22.675736959999998</v>
      </c>
    </row>
    <row r="807" spans="1:10" x14ac:dyDescent="0.3">
      <c r="A807" t="str" cm="1">
        <f t="array" ref="A807">IF(ROW()&lt;=COUNTA(Sheet1!A:A), INDEX(Sheet1!A:A, ROW()),
INDEX(Sheet4!A:A, ROW()-COUNTA(Sheet1!A:A)))</f>
        <v>Al9.5Cr12.8Fe8.3Co33.7Ni35.6</v>
      </c>
      <c r="B807" s="10">
        <f>_xlfn.XLOOKUP(A807, Sheet4!A:A, Sheet4!C:C)</f>
        <v>0</v>
      </c>
      <c r="C807" s="10">
        <v>-1</v>
      </c>
      <c r="D807" s="10">
        <f>_xlfn.XLOOKUP(A807, Sheet2!A:A, Sheet2!B:B)</f>
        <v>8.3183000000000007</v>
      </c>
      <c r="E807" s="10">
        <f>_xlfn.XLOOKUP(A807, Sheet1!A:A, Sheet1!G:G)</f>
        <v>-1</v>
      </c>
      <c r="F807" s="10">
        <f t="shared" si="12"/>
        <v>-1</v>
      </c>
      <c r="G807" cm="1">
        <f t="array" ref="G807:J807">_xlfn.XLOOKUP(A807, Sheet1!A:A, Sheet1!C:F)</f>
        <v>22.66</v>
      </c>
      <c r="H807">
        <v>22.66</v>
      </c>
      <c r="I807">
        <v>22.66</v>
      </c>
      <c r="J807">
        <v>22.66</v>
      </c>
    </row>
    <row r="808" spans="1:10" x14ac:dyDescent="0.3">
      <c r="A808" t="str" cm="1">
        <f t="array" ref="A808">IF(ROW()&lt;=COUNTA(Sheet1!A:A), INDEX(Sheet1!A:A, ROW()),
INDEX(Sheet4!A:A, ROW()-COUNTA(Sheet1!A:A)))</f>
        <v>Al9.5441Cr12.808Fe8.2933Co33.722Ni35.633</v>
      </c>
      <c r="B808" s="10">
        <f>_xlfn.XLOOKUP(A808, Sheet4!A:A, Sheet4!C:C)</f>
        <v>0</v>
      </c>
      <c r="C808" s="10">
        <v>-1</v>
      </c>
      <c r="D808" s="10">
        <f>_xlfn.XLOOKUP(A808, Sheet2!A:A, Sheet2!B:B)</f>
        <v>8.3164999999999996</v>
      </c>
      <c r="E808" s="10">
        <f>_xlfn.XLOOKUP(A808, Sheet1!A:A, Sheet1!G:G)</f>
        <v>-1</v>
      </c>
      <c r="F808" s="10">
        <f t="shared" si="12"/>
        <v>-1</v>
      </c>
      <c r="G808" cm="1">
        <f t="array" ref="G808:J808">_xlfn.XLOOKUP(A808, Sheet1!A:A, Sheet1!C:F)</f>
        <v>19</v>
      </c>
      <c r="H808">
        <v>20.213000000000001</v>
      </c>
      <c r="I808">
        <v>27.361999999999998</v>
      </c>
      <c r="J808">
        <v>24.035</v>
      </c>
    </row>
    <row r="809" spans="1:10" x14ac:dyDescent="0.3">
      <c r="A809" t="str" cm="1">
        <f t="array" ref="A809">IF(ROW()&lt;=COUNTA(Sheet1!A:A), INDEX(Sheet1!A:A, ROW()),
INDEX(Sheet4!A:A, ROW()-COUNTA(Sheet1!A:A)))</f>
        <v>Al9.6Cr18.3Fe24.6Co20.8Ni26.7</v>
      </c>
      <c r="B809" s="10">
        <f>_xlfn.XLOOKUP(A809, Sheet4!A:A, Sheet4!C:C)</f>
        <v>0</v>
      </c>
      <c r="C809" s="10">
        <v>-1</v>
      </c>
      <c r="D809" s="10">
        <f>_xlfn.XLOOKUP(A809, Sheet2!A:A, Sheet2!B:B)</f>
        <v>7.8959999999999999</v>
      </c>
      <c r="E809" s="10">
        <f>_xlfn.XLOOKUP(A809, Sheet1!A:A, Sheet1!G:G)</f>
        <v>-1</v>
      </c>
      <c r="F809" s="10">
        <f t="shared" si="12"/>
        <v>-1</v>
      </c>
      <c r="G809" cm="1">
        <f t="array" ref="G809:J809">_xlfn.XLOOKUP(A809, Sheet1!A:A, Sheet1!C:F)</f>
        <v>19</v>
      </c>
      <c r="H809">
        <v>20.2</v>
      </c>
      <c r="I809">
        <v>27.4</v>
      </c>
      <c r="J809">
        <v>24</v>
      </c>
    </row>
    <row r="810" spans="1:10" x14ac:dyDescent="0.3">
      <c r="A810" t="str" cm="1">
        <f t="array" ref="A810">IF(ROW()&lt;=COUNTA(Sheet1!A:A), INDEX(Sheet1!A:A, ROW()),
INDEX(Sheet4!A:A, ROW()-COUNTA(Sheet1!A:A)))</f>
        <v>Al9.6Cr12.9Fe10Co32.9Ni34.6</v>
      </c>
      <c r="B810" s="10">
        <f>_xlfn.XLOOKUP(A810, Sheet4!A:A, Sheet4!C:C)</f>
        <v>0</v>
      </c>
      <c r="C810" s="10">
        <v>-1</v>
      </c>
      <c r="D810" s="10">
        <f>_xlfn.XLOOKUP(A810, Sheet2!A:A, Sheet2!B:B)</f>
        <v>8.2829999999999995</v>
      </c>
      <c r="E810" s="10">
        <f>_xlfn.XLOOKUP(A810, Sheet1!A:A, Sheet1!G:G)</f>
        <v>-1</v>
      </c>
      <c r="F810" s="10">
        <f t="shared" si="12"/>
        <v>-1</v>
      </c>
      <c r="G810" cm="1">
        <f t="array" ref="G810:J810">_xlfn.XLOOKUP(A810, Sheet1!A:A, Sheet1!C:F)</f>
        <v>33.700000000000003</v>
      </c>
      <c r="H810">
        <v>12.8</v>
      </c>
      <c r="I810">
        <v>8.3000000000000007</v>
      </c>
      <c r="J810">
        <v>35.6</v>
      </c>
    </row>
    <row r="811" spans="1:10" x14ac:dyDescent="0.3">
      <c r="A811" t="str" cm="1">
        <f t="array" ref="A811">IF(ROW()&lt;=COUNTA(Sheet1!A:A), INDEX(Sheet1!A:A, ROW()),
INDEX(Sheet4!A:A, ROW()-COUNTA(Sheet1!A:A)))</f>
        <v>Al9.6049Cr12.858Fe10.028Co32.873Ni34.635</v>
      </c>
      <c r="B811" s="10">
        <f>_xlfn.XLOOKUP(A811, Sheet4!A:A, Sheet4!C:C)</f>
        <v>0</v>
      </c>
      <c r="C811" s="10">
        <v>-1</v>
      </c>
      <c r="D811" s="10">
        <f>_xlfn.XLOOKUP(A811, Sheet2!A:A, Sheet2!B:B)</f>
        <v>8.2840000000000007</v>
      </c>
      <c r="E811" s="10">
        <f>_xlfn.XLOOKUP(A811, Sheet1!A:A, Sheet1!G:G)</f>
        <v>-1</v>
      </c>
      <c r="F811" s="10">
        <f t="shared" si="12"/>
        <v>-1</v>
      </c>
      <c r="G811" cm="1">
        <f t="array" ref="G811:J811">_xlfn.XLOOKUP(A811, Sheet1!A:A, Sheet1!C:F)</f>
        <v>33.722000000000001</v>
      </c>
      <c r="H811">
        <v>12.808</v>
      </c>
      <c r="I811">
        <v>8.2933000000000003</v>
      </c>
      <c r="J811">
        <v>35.633000000000003</v>
      </c>
    </row>
    <row r="812" spans="1:10" x14ac:dyDescent="0.3">
      <c r="A812" t="str" cm="1">
        <f t="array" ref="A812">IF(ROW()&lt;=COUNTA(Sheet1!A:A), INDEX(Sheet1!A:A, ROW()),
INDEX(Sheet4!A:A, ROW()-COUNTA(Sheet1!A:A)))</f>
        <v>Al9.6282Cr18.265Fe24.56Co20.832Ni26.716</v>
      </c>
      <c r="B812" s="10">
        <f>_xlfn.XLOOKUP(A812, Sheet4!A:A, Sheet4!C:C)</f>
        <v>0</v>
      </c>
      <c r="C812" s="10">
        <v>-1</v>
      </c>
      <c r="D812" s="10">
        <f>_xlfn.XLOOKUP(A812, Sheet2!A:A, Sheet2!B:B)</f>
        <v>7.8959000000000001</v>
      </c>
      <c r="E812" s="10">
        <f>_xlfn.XLOOKUP(A812, Sheet1!A:A, Sheet1!G:G)</f>
        <v>-1</v>
      </c>
      <c r="F812" s="10">
        <f t="shared" si="12"/>
        <v>-1</v>
      </c>
      <c r="G812" cm="1">
        <f t="array" ref="G812:J812">_xlfn.XLOOKUP(A812, Sheet1!A:A, Sheet1!C:F)</f>
        <v>20.8</v>
      </c>
      <c r="H812">
        <v>18.3</v>
      </c>
      <c r="I812">
        <v>24.6</v>
      </c>
      <c r="J812">
        <v>26.7</v>
      </c>
    </row>
    <row r="813" spans="1:10" x14ac:dyDescent="0.3">
      <c r="A813" t="str" cm="1">
        <f t="array" ref="A813">IF(ROW()&lt;=COUNTA(Sheet1!A:A), INDEX(Sheet1!A:A, ROW()),
INDEX(Sheet4!A:A, ROW()-COUNTA(Sheet1!A:A)))</f>
        <v>Al9.667Cr11.726Fe33.005Co22.094Ni23.508</v>
      </c>
      <c r="B813" s="10">
        <f>_xlfn.XLOOKUP(A813, Sheet4!A:A, Sheet4!C:C)</f>
        <v>0</v>
      </c>
      <c r="C813" s="10">
        <v>-1</v>
      </c>
      <c r="D813" s="10">
        <f>_xlfn.XLOOKUP(A813, Sheet2!A:A, Sheet2!B:B)</f>
        <v>7.9732000000000003</v>
      </c>
      <c r="E813" s="10">
        <f>_xlfn.XLOOKUP(A813, Sheet1!A:A, Sheet1!G:G)</f>
        <v>-1</v>
      </c>
      <c r="F813" s="10">
        <f t="shared" si="12"/>
        <v>-1</v>
      </c>
      <c r="G813" cm="1">
        <f t="array" ref="G813:J813">_xlfn.XLOOKUP(A813, Sheet1!A:A, Sheet1!C:F)</f>
        <v>32.9</v>
      </c>
      <c r="H813">
        <v>12.9</v>
      </c>
      <c r="I813">
        <v>10</v>
      </c>
      <c r="J813">
        <v>34.6</v>
      </c>
    </row>
    <row r="814" spans="1:10" x14ac:dyDescent="0.3">
      <c r="A814" t="str" cm="1">
        <f t="array" ref="A814">IF(ROW()&lt;=COUNTA(Sheet1!A:A), INDEX(Sheet1!A:A, ROW()),
INDEX(Sheet4!A:A, ROW()-COUNTA(Sheet1!A:A)))</f>
        <v>Al9.6848Cr12.735Fe23.761Co26.034Ni27.785</v>
      </c>
      <c r="B814" s="10">
        <f>_xlfn.XLOOKUP(A814, Sheet4!A:A, Sheet4!C:C)</f>
        <v>0</v>
      </c>
      <c r="C814" s="10">
        <v>-1</v>
      </c>
      <c r="D814" s="10">
        <f>_xlfn.XLOOKUP(A814, Sheet2!A:A, Sheet2!B:B)</f>
        <v>8.0770999999999997</v>
      </c>
      <c r="E814" s="10">
        <f>_xlfn.XLOOKUP(A814, Sheet1!A:A, Sheet1!G:G)</f>
        <v>-1</v>
      </c>
      <c r="F814" s="10">
        <f t="shared" si="12"/>
        <v>-1</v>
      </c>
      <c r="G814" cm="1">
        <f t="array" ref="G814:J814">_xlfn.XLOOKUP(A814, Sheet1!A:A, Sheet1!C:F)</f>
        <v>32.872999999999998</v>
      </c>
      <c r="H814">
        <v>12.858000000000001</v>
      </c>
      <c r="I814">
        <v>10.028</v>
      </c>
      <c r="J814">
        <v>34.634999999999998</v>
      </c>
    </row>
    <row r="815" spans="1:10" x14ac:dyDescent="0.3">
      <c r="A815" t="str" cm="1">
        <f t="array" ref="A815">IF(ROW()&lt;=COUNTA(Sheet1!A:A), INDEX(Sheet1!A:A, ROW()),
INDEX(Sheet4!A:A, ROW()-COUNTA(Sheet1!A:A)))</f>
        <v>Al9.7Cr11.7Fe33Co22.1Ni23.5</v>
      </c>
      <c r="B815" s="10">
        <f>_xlfn.XLOOKUP(A815, Sheet4!A:A, Sheet4!C:C)</f>
        <v>0</v>
      </c>
      <c r="C815" s="10">
        <v>-1</v>
      </c>
      <c r="D815" s="10">
        <f>_xlfn.XLOOKUP(A815, Sheet2!A:A, Sheet2!B:B)</f>
        <v>7.9720000000000004</v>
      </c>
      <c r="E815" s="10">
        <f>_xlfn.XLOOKUP(A815, Sheet1!A:A, Sheet1!G:G)</f>
        <v>-1</v>
      </c>
      <c r="F815" s="10">
        <f t="shared" si="12"/>
        <v>-1</v>
      </c>
      <c r="G815" cm="1">
        <f t="array" ref="G815:J815">_xlfn.XLOOKUP(A815, Sheet1!A:A, Sheet1!C:F)</f>
        <v>20.832000000000001</v>
      </c>
      <c r="H815">
        <v>18.265000000000001</v>
      </c>
      <c r="I815">
        <v>24.56</v>
      </c>
      <c r="J815">
        <v>26.716000000000001</v>
      </c>
    </row>
    <row r="816" spans="1:10" x14ac:dyDescent="0.3">
      <c r="A816" t="str" cm="1">
        <f t="array" ref="A816">IF(ROW()&lt;=COUNTA(Sheet1!A:A), INDEX(Sheet1!A:A, ROW()),
INDEX(Sheet4!A:A, ROW()-COUNTA(Sheet1!A:A)))</f>
        <v>Al9.7Cr12.7Fe23.8Co26Ni27.8</v>
      </c>
      <c r="B816" s="10">
        <f>_xlfn.XLOOKUP(A816, Sheet4!A:A, Sheet4!C:C)</f>
        <v>0</v>
      </c>
      <c r="C816" s="10">
        <v>-1</v>
      </c>
      <c r="D816" s="10">
        <f>_xlfn.XLOOKUP(A816, Sheet2!A:A, Sheet2!B:B)</f>
        <v>8.077</v>
      </c>
      <c r="E816" s="10">
        <f>_xlfn.XLOOKUP(A816, Sheet1!A:A, Sheet1!G:G)</f>
        <v>-1</v>
      </c>
      <c r="F816" s="10">
        <f t="shared" si="12"/>
        <v>-1</v>
      </c>
      <c r="G816" cm="1">
        <f t="array" ref="G816:J816">_xlfn.XLOOKUP(A816, Sheet1!A:A, Sheet1!C:F)</f>
        <v>22.094000000000001</v>
      </c>
      <c r="H816">
        <v>11.726000000000001</v>
      </c>
      <c r="I816">
        <v>33.005000000000003</v>
      </c>
      <c r="J816">
        <v>23.507999999999999</v>
      </c>
    </row>
    <row r="817" spans="1:10" x14ac:dyDescent="0.3">
      <c r="A817" t="str" cm="1">
        <f t="array" ref="A817">IF(ROW()&lt;=COUNTA(Sheet1!A:A), INDEX(Sheet1!A:A, ROW()),
INDEX(Sheet4!A:A, ROW()-COUNTA(Sheet1!A:A)))</f>
        <v>Al9.7732Cr16.414Fe22.097Co23.063Ni28.652</v>
      </c>
      <c r="B817" s="10">
        <f>_xlfn.XLOOKUP(A817, Sheet4!A:A, Sheet4!C:C)</f>
        <v>0</v>
      </c>
      <c r="C817" s="10">
        <v>-1</v>
      </c>
      <c r="D817" s="10">
        <f>_xlfn.XLOOKUP(A817, Sheet2!A:A, Sheet2!B:B)</f>
        <v>7.9866999999999999</v>
      </c>
      <c r="E817" s="10">
        <f>_xlfn.XLOOKUP(A817, Sheet1!A:A, Sheet1!G:G)</f>
        <v>-1</v>
      </c>
      <c r="F817" s="10">
        <f t="shared" si="12"/>
        <v>-1</v>
      </c>
      <c r="G817" cm="1">
        <f t="array" ref="G817:J817">_xlfn.XLOOKUP(A817, Sheet1!A:A, Sheet1!C:F)</f>
        <v>26.033999999999999</v>
      </c>
      <c r="H817">
        <v>12.734999999999999</v>
      </c>
      <c r="I817">
        <v>23.760999999999999</v>
      </c>
      <c r="J817">
        <v>27.785</v>
      </c>
    </row>
    <row r="818" spans="1:10" x14ac:dyDescent="0.3">
      <c r="A818" t="str" cm="1">
        <f t="array" ref="A818">IF(ROW()&lt;=COUNTA(Sheet1!A:A), INDEX(Sheet1!A:A, ROW()),
INDEX(Sheet4!A:A, ROW()-COUNTA(Sheet1!A:A)))</f>
        <v>Al9.8Cr16.4Fe22.1Co23.1Ni28.7</v>
      </c>
      <c r="B818" s="10">
        <f>_xlfn.XLOOKUP(A818, Sheet4!A:A, Sheet4!C:C)</f>
        <v>0</v>
      </c>
      <c r="C818" s="10">
        <v>-1</v>
      </c>
      <c r="D818" s="10">
        <f>_xlfn.XLOOKUP(A818, Sheet2!A:A, Sheet2!B:B)</f>
        <v>7.9870000000000001</v>
      </c>
      <c r="E818" s="10">
        <f>_xlfn.XLOOKUP(A818, Sheet1!A:A, Sheet1!G:G)</f>
        <v>-1</v>
      </c>
      <c r="F818" s="10">
        <f t="shared" si="12"/>
        <v>-1</v>
      </c>
      <c r="G818" cm="1">
        <f t="array" ref="G818:J818">_xlfn.XLOOKUP(A818, Sheet1!A:A, Sheet1!C:F)</f>
        <v>22.1</v>
      </c>
      <c r="H818">
        <v>11.7</v>
      </c>
      <c r="I818">
        <v>33</v>
      </c>
      <c r="J818">
        <v>23.5</v>
      </c>
    </row>
    <row r="819" spans="1:10" x14ac:dyDescent="0.3">
      <c r="A819" t="str" cm="1">
        <f t="array" ref="A819">IF(ROW()&lt;=COUNTA(Sheet1!A:A), INDEX(Sheet1!A:A, ROW()),
INDEX(Sheet4!A:A, ROW()-COUNTA(Sheet1!A:A)))</f>
        <v>Al9.8Cr12.6Fe38.1Co18.9Ni20.5</v>
      </c>
      <c r="B819" s="10">
        <f>_xlfn.XLOOKUP(A819, Sheet4!A:A, Sheet4!C:C)</f>
        <v>0</v>
      </c>
      <c r="C819" s="10">
        <v>-1</v>
      </c>
      <c r="D819" s="10">
        <f>_xlfn.XLOOKUP(A819, Sheet2!A:A, Sheet2!B:B)</f>
        <v>7.8569000000000004</v>
      </c>
      <c r="E819" s="10">
        <f>_xlfn.XLOOKUP(A819, Sheet1!A:A, Sheet1!G:G)</f>
        <v>-1</v>
      </c>
      <c r="F819" s="10">
        <f t="shared" si="12"/>
        <v>-1</v>
      </c>
      <c r="G819" cm="1">
        <f t="array" ref="G819:J819">_xlfn.XLOOKUP(A819, Sheet1!A:A, Sheet1!C:F)</f>
        <v>26</v>
      </c>
      <c r="H819">
        <v>12.7</v>
      </c>
      <c r="I819">
        <v>23.8</v>
      </c>
      <c r="J819">
        <v>27.8</v>
      </c>
    </row>
    <row r="820" spans="1:10" x14ac:dyDescent="0.3">
      <c r="A820" t="str" cm="1">
        <f t="array" ref="A820">IF(ROW()&lt;=COUNTA(Sheet1!A:A), INDEX(Sheet1!A:A, ROW()),
INDEX(Sheet4!A:A, ROW()-COUNTA(Sheet1!A:A)))</f>
        <v>Al9.835Cr12.612Fe38.097Co18.913Ni20.543</v>
      </c>
      <c r="B820" s="10">
        <f>_xlfn.XLOOKUP(A820, Sheet4!A:A, Sheet4!C:C)</f>
        <v>0</v>
      </c>
      <c r="C820" s="10">
        <v>-1</v>
      </c>
      <c r="D820" s="10">
        <f>_xlfn.XLOOKUP(A820, Sheet2!A:A, Sheet2!B:B)</f>
        <v>7.8559999999999999</v>
      </c>
      <c r="E820" s="10">
        <f>_xlfn.XLOOKUP(A820, Sheet1!A:A, Sheet1!G:G)</f>
        <v>-1</v>
      </c>
      <c r="F820" s="10">
        <f t="shared" si="12"/>
        <v>-1</v>
      </c>
      <c r="G820" cm="1">
        <f t="array" ref="G820:J820">_xlfn.XLOOKUP(A820, Sheet1!A:A, Sheet1!C:F)</f>
        <v>23.062999999999999</v>
      </c>
      <c r="H820">
        <v>16.414000000000001</v>
      </c>
      <c r="I820">
        <v>22.097000000000001</v>
      </c>
      <c r="J820">
        <v>28.652000000000001</v>
      </c>
    </row>
    <row r="821" spans="1:10" x14ac:dyDescent="0.3">
      <c r="A821" t="str" cm="1">
        <f t="array" ref="A821">IF(ROW()&lt;=COUNTA(Sheet1!A:A), INDEX(Sheet1!A:A, ROW()),
INDEX(Sheet4!A:A, ROW()-COUNTA(Sheet1!A:A)))</f>
        <v>Al9.8532Cr12.823Fe20.152Co27.474Ni29.697</v>
      </c>
      <c r="B821" s="10">
        <f>_xlfn.XLOOKUP(A821, Sheet4!A:A, Sheet4!C:C)</f>
        <v>0</v>
      </c>
      <c r="C821" s="10">
        <v>-1</v>
      </c>
      <c r="D821" s="10">
        <f>_xlfn.XLOOKUP(A821, Sheet2!A:A, Sheet2!B:B)</f>
        <v>8.1196000000000002</v>
      </c>
      <c r="E821" s="10">
        <f>_xlfn.XLOOKUP(A821, Sheet1!A:A, Sheet1!G:G)</f>
        <v>-1</v>
      </c>
      <c r="F821" s="10">
        <f t="shared" si="12"/>
        <v>-1</v>
      </c>
      <c r="G821" cm="1">
        <f t="array" ref="G821:J821">_xlfn.XLOOKUP(A821, Sheet1!A:A, Sheet1!C:F)</f>
        <v>23.1</v>
      </c>
      <c r="H821">
        <v>16.399999999999999</v>
      </c>
      <c r="I821">
        <v>22.1</v>
      </c>
      <c r="J821">
        <v>28.7</v>
      </c>
    </row>
    <row r="822" spans="1:10" x14ac:dyDescent="0.3">
      <c r="A822" t="str" cm="1">
        <f t="array" ref="A822">IF(ROW()&lt;=COUNTA(Sheet1!A:A), INDEX(Sheet1!A:A, ROW()),
INDEX(Sheet4!A:A, ROW()-COUNTA(Sheet1!A:A)))</f>
        <v>Al9.8771Cr12.282Fe27.989Co23.9Ni25.953</v>
      </c>
      <c r="B822" s="10">
        <f>_xlfn.XLOOKUP(A822, Sheet4!A:A, Sheet4!C:C)</f>
        <v>0</v>
      </c>
      <c r="C822" s="10">
        <v>-1</v>
      </c>
      <c r="D822" s="10">
        <f>_xlfn.XLOOKUP(A822, Sheet2!A:A, Sheet2!B:B)</f>
        <v>8.0185999999999993</v>
      </c>
      <c r="E822" s="10">
        <f>_xlfn.XLOOKUP(A822, Sheet1!A:A, Sheet1!G:G)</f>
        <v>-1</v>
      </c>
      <c r="F822" s="10">
        <f t="shared" si="12"/>
        <v>-1</v>
      </c>
      <c r="G822" cm="1">
        <f t="array" ref="G822:J822">_xlfn.XLOOKUP(A822, Sheet1!A:A, Sheet1!C:F)</f>
        <v>18.899999999999999</v>
      </c>
      <c r="H822">
        <v>12.6</v>
      </c>
      <c r="I822">
        <v>38.1</v>
      </c>
      <c r="J822">
        <v>20.5</v>
      </c>
    </row>
    <row r="823" spans="1:10" x14ac:dyDescent="0.3">
      <c r="A823" t="str" cm="1">
        <f t="array" ref="A823">IF(ROW()&lt;=COUNTA(Sheet1!A:A), INDEX(Sheet1!A:A, ROW()),
INDEX(Sheet4!A:A, ROW()-COUNTA(Sheet1!A:A)))</f>
        <v>Al9.8828Cr13.003Fe11.871Co31.91Ni33.333</v>
      </c>
      <c r="B823" s="10">
        <f>_xlfn.XLOOKUP(A823, Sheet4!A:A, Sheet4!C:C)</f>
        <v>0</v>
      </c>
      <c r="C823" s="10">
        <v>-1</v>
      </c>
      <c r="D823" s="10">
        <f>_xlfn.XLOOKUP(A823, Sheet2!A:A, Sheet2!B:B)</f>
        <v>8.2316000000000003</v>
      </c>
      <c r="E823" s="10">
        <f>_xlfn.XLOOKUP(A823, Sheet1!A:A, Sheet1!G:G)</f>
        <v>-1</v>
      </c>
      <c r="F823" s="10">
        <f t="shared" si="12"/>
        <v>-1</v>
      </c>
      <c r="G823" cm="1">
        <f t="array" ref="G823:J823">_xlfn.XLOOKUP(A823, Sheet1!A:A, Sheet1!C:F)</f>
        <v>18.913</v>
      </c>
      <c r="H823">
        <v>12.612</v>
      </c>
      <c r="I823">
        <v>38.097000000000001</v>
      </c>
      <c r="J823">
        <v>20.542999999999999</v>
      </c>
    </row>
    <row r="824" spans="1:10" x14ac:dyDescent="0.3">
      <c r="A824" t="str" cm="1">
        <f t="array" ref="A824">IF(ROW()&lt;=COUNTA(Sheet1!A:A), INDEX(Sheet1!A:A, ROW()),
INDEX(Sheet4!A:A, ROW()-COUNTA(Sheet1!A:A)))</f>
        <v>Al9.9Cr12.3Fe28Co23.9Ni26</v>
      </c>
      <c r="B824" s="10">
        <f>_xlfn.XLOOKUP(A824, Sheet4!A:A, Sheet4!C:C)</f>
        <v>0</v>
      </c>
      <c r="C824" s="10">
        <v>-1</v>
      </c>
      <c r="D824" s="10">
        <f>_xlfn.XLOOKUP(A824, Sheet2!A:A, Sheet2!B:B)</f>
        <v>8.0180000000000007</v>
      </c>
      <c r="E824" s="10">
        <f>_xlfn.XLOOKUP(A824, Sheet1!A:A, Sheet1!G:G)</f>
        <v>-1</v>
      </c>
      <c r="F824" s="10">
        <f t="shared" si="12"/>
        <v>-1</v>
      </c>
      <c r="G824" cm="1">
        <f t="array" ref="G824:J824">_xlfn.XLOOKUP(A824, Sheet1!A:A, Sheet1!C:F)</f>
        <v>27.474</v>
      </c>
      <c r="H824">
        <v>12.823</v>
      </c>
      <c r="I824">
        <v>20.152000000000001</v>
      </c>
      <c r="J824">
        <v>29.696999999999999</v>
      </c>
    </row>
    <row r="825" spans="1:10" x14ac:dyDescent="0.3">
      <c r="A825" t="str" cm="1">
        <f t="array" ref="A825">IF(ROW()&lt;=COUNTA(Sheet1!A:A), INDEX(Sheet1!A:A, ROW()),
INDEX(Sheet4!A:A, ROW()-COUNTA(Sheet1!A:A)))</f>
        <v>Al9.9Cr12.8Fe20.2Co27.5Ni29.7</v>
      </c>
      <c r="B825" s="10">
        <f>_xlfn.XLOOKUP(A825, Sheet4!A:A, Sheet4!C:C)</f>
        <v>0</v>
      </c>
      <c r="C825" s="10">
        <v>-1</v>
      </c>
      <c r="D825" s="10">
        <f>_xlfn.XLOOKUP(A825, Sheet2!A:A, Sheet2!B:B)</f>
        <v>8.1179000000000006</v>
      </c>
      <c r="E825" s="10">
        <f>_xlfn.XLOOKUP(A825, Sheet1!A:A, Sheet1!G:G)</f>
        <v>-1</v>
      </c>
      <c r="F825" s="10">
        <f t="shared" si="12"/>
        <v>-1</v>
      </c>
      <c r="G825" cm="1">
        <f t="array" ref="G825:J825">_xlfn.XLOOKUP(A825, Sheet1!A:A, Sheet1!C:F)</f>
        <v>23.9</v>
      </c>
      <c r="H825">
        <v>12.282</v>
      </c>
      <c r="I825">
        <v>27.989000000000001</v>
      </c>
      <c r="J825">
        <v>25.952999999999999</v>
      </c>
    </row>
    <row r="826" spans="1:10" x14ac:dyDescent="0.3">
      <c r="A826" t="str" cm="1">
        <f t="array" ref="A826">IF(ROW()&lt;=COUNTA(Sheet1!A:A), INDEX(Sheet1!A:A, ROW()),
INDEX(Sheet4!A:A, ROW()-COUNTA(Sheet1!A:A)))</f>
        <v>Al9.9Cr13Fe11.9Co31.9Ni33.3</v>
      </c>
      <c r="B826" s="10">
        <f>_xlfn.XLOOKUP(A826, Sheet4!A:A, Sheet4!C:C)</f>
        <v>0</v>
      </c>
      <c r="C826" s="10">
        <v>-1</v>
      </c>
      <c r="D826" s="10">
        <f>_xlfn.XLOOKUP(A826, Sheet2!A:A, Sheet2!B:B)</f>
        <v>8.23</v>
      </c>
      <c r="E826" s="10">
        <f>_xlfn.XLOOKUP(A826, Sheet1!A:A, Sheet1!G:G)</f>
        <v>-1</v>
      </c>
      <c r="F826" s="10">
        <f t="shared" si="12"/>
        <v>-1</v>
      </c>
      <c r="G826" cm="1">
        <f t="array" ref="G826:J826">_xlfn.XLOOKUP(A826, Sheet1!A:A, Sheet1!C:F)</f>
        <v>31.91</v>
      </c>
      <c r="H826">
        <v>13.003</v>
      </c>
      <c r="I826">
        <v>11.871</v>
      </c>
      <c r="J826">
        <v>33.332999999999998</v>
      </c>
    </row>
    <row r="827" spans="1:10" x14ac:dyDescent="0.3">
      <c r="A827" t="str" cm="1">
        <f t="array" ref="A827">IF(ROW()&lt;=COUNTA(Sheet1!A:A), INDEX(Sheet1!A:A, ROW()),
INDEX(Sheet4!A:A, ROW()-COUNTA(Sheet1!A:A)))</f>
        <v>Al0.44CoCrFeNi</v>
      </c>
      <c r="B827" s="10" t="str">
        <f>_xlfn.XLOOKUP(A827, Sheet4!A:A, Sheet4!C:C)</f>
        <v>IM</v>
      </c>
      <c r="C827" s="10">
        <v>-1</v>
      </c>
      <c r="D827" s="10">
        <f>_xlfn.XLOOKUP(A827, Sheet2!A:A, Sheet2!B:B)</f>
        <v>7.7297000000000002</v>
      </c>
      <c r="E827" s="10">
        <f>_xlfn.XLOOKUP(A827, Sheet1!A:A, Sheet1!G:G)</f>
        <v>-1</v>
      </c>
      <c r="F827" s="10">
        <f t="shared" si="12"/>
        <v>-1</v>
      </c>
      <c r="G827" cm="1">
        <f t="array" ref="G827:J827">_xlfn.XLOOKUP(A827, Sheet1!A:A, Sheet1!C:F)</f>
        <v>23.9</v>
      </c>
      <c r="H827">
        <v>12.3</v>
      </c>
      <c r="I827">
        <v>28</v>
      </c>
      <c r="J827">
        <v>26</v>
      </c>
    </row>
    <row r="828" spans="1:10" x14ac:dyDescent="0.3">
      <c r="A828" t="str" cm="1">
        <f t="array" ref="A828">IF(ROW()&lt;=COUNTA(Sheet1!A:A), INDEX(Sheet1!A:A, ROW()),
INDEX(Sheet4!A:A, ROW()-COUNTA(Sheet1!A:A)))</f>
        <v>Fe36Co21Cr18Ni15Al10</v>
      </c>
      <c r="B828" s="10" t="str">
        <f>_xlfn.XLOOKUP(A828, Sheet4!A:A, Sheet4!C:C)</f>
        <v>IM</v>
      </c>
      <c r="C828" s="10">
        <v>-1</v>
      </c>
      <c r="D828" s="10">
        <f>_xlfn.XLOOKUP(A828, Sheet2!A:A, Sheet2!B:B)</f>
        <v>7.65</v>
      </c>
      <c r="E828" s="10">
        <f>_xlfn.XLOOKUP(A828, Sheet1!A:A, Sheet1!G:G)</f>
        <v>-1</v>
      </c>
      <c r="F828" s="10">
        <f t="shared" si="12"/>
        <v>-1</v>
      </c>
      <c r="G828" cm="1">
        <f t="array" ref="G828:J828">_xlfn.XLOOKUP(A828, Sheet1!A:A, Sheet1!C:F)</f>
        <v>27.5</v>
      </c>
      <c r="H828">
        <v>12.8</v>
      </c>
      <c r="I828">
        <v>20.2</v>
      </c>
      <c r="J828">
        <v>29.7</v>
      </c>
    </row>
    <row r="829" spans="1:10" x14ac:dyDescent="0.3">
      <c r="A829" t="str" cm="1">
        <f t="array" ref="A829">IF(ROW()&lt;=COUNTA(Sheet1!A:A), INDEX(Sheet1!A:A, ROW()),
INDEX(Sheet4!A:A, ROW()-COUNTA(Sheet1!A:A)))</f>
        <v>Al10Co30Cr20Fe35Ni5</v>
      </c>
      <c r="B829" s="10">
        <f>_xlfn.XLOOKUP(A829, Sheet4!A:A, Sheet4!C:C)</f>
        <v>0</v>
      </c>
      <c r="C829" s="10">
        <v>-1</v>
      </c>
      <c r="D829" s="10">
        <f>_xlfn.XLOOKUP(A829, Sheet2!A:A, Sheet2!B:B)</f>
        <v>7.5</v>
      </c>
      <c r="E829" s="10">
        <f>_xlfn.XLOOKUP(A829, Sheet1!A:A, Sheet1!G:G)</f>
        <v>-1</v>
      </c>
      <c r="F829" s="10">
        <f t="shared" si="12"/>
        <v>-1</v>
      </c>
      <c r="G829" cm="1">
        <f t="array" ref="G829:J829">_xlfn.XLOOKUP(A829, Sheet1!A:A, Sheet1!C:F)</f>
        <v>31.9</v>
      </c>
      <c r="H829">
        <v>13</v>
      </c>
      <c r="I829">
        <v>11.9</v>
      </c>
      <c r="J829">
        <v>33.299999999999997</v>
      </c>
    </row>
    <row r="830" spans="1:10" x14ac:dyDescent="0.3">
      <c r="A830" t="str" cm="1">
        <f t="array" ref="A830">IF(ROW()&lt;=COUNTA(Sheet1!A:A), INDEX(Sheet1!A:A, ROW()),
INDEX(Sheet4!A:A, ROW()-COUNTA(Sheet1!A:A)))</f>
        <v>Al10.1Cr13Fe16.9Co29.3Ni30.7</v>
      </c>
      <c r="B830" s="10">
        <f>_xlfn.XLOOKUP(A830, Sheet4!A:A, Sheet4!C:C)</f>
        <v>0</v>
      </c>
      <c r="C830" s="10">
        <v>-1</v>
      </c>
      <c r="D830" s="10">
        <f>_xlfn.XLOOKUP(A830, Sheet2!A:A, Sheet2!B:B)</f>
        <v>8.1419999999999995</v>
      </c>
      <c r="E830" s="10">
        <f>_xlfn.XLOOKUP(A830, Sheet1!A:A, Sheet1!G:G)</f>
        <v>-1</v>
      </c>
      <c r="F830" s="10">
        <f t="shared" si="12"/>
        <v>-1</v>
      </c>
      <c r="G830" cm="1">
        <f t="array" ref="G830:J830">_xlfn.XLOOKUP(A830, Sheet1!A:A, Sheet1!C:F)</f>
        <v>22.522522519999999</v>
      </c>
      <c r="H830">
        <v>22.522522519999999</v>
      </c>
      <c r="I830">
        <v>22.522522519999999</v>
      </c>
      <c r="J830">
        <v>22.522522519999999</v>
      </c>
    </row>
    <row r="831" spans="1:10" x14ac:dyDescent="0.3">
      <c r="A831" t="str" cm="1">
        <f t="array" ref="A831">IF(ROW()&lt;=COUNTA(Sheet1!A:A), INDEX(Sheet1!A:A, ROW()),
INDEX(Sheet4!A:A, ROW()-COUNTA(Sheet1!A:A)))</f>
        <v>Al0.45CoCrFeNi</v>
      </c>
      <c r="B831" s="10">
        <f>_xlfn.XLOOKUP(A831, Sheet4!A:A, Sheet4!C:C)</f>
        <v>0</v>
      </c>
      <c r="C831" s="10">
        <v>-1</v>
      </c>
      <c r="D831" s="10">
        <f>_xlfn.XLOOKUP(A831, Sheet2!A:A, Sheet2!B:B)</f>
        <v>7.7191000000000001</v>
      </c>
      <c r="E831" s="10">
        <f>_xlfn.XLOOKUP(A831, Sheet1!A:A, Sheet1!G:G)</f>
        <v>-1</v>
      </c>
      <c r="F831" s="10">
        <f t="shared" si="12"/>
        <v>-1</v>
      </c>
      <c r="G831" cm="1">
        <f t="array" ref="G831:J831">_xlfn.XLOOKUP(A831, Sheet1!A:A, Sheet1!C:F)</f>
        <v>21</v>
      </c>
      <c r="H831">
        <v>18</v>
      </c>
      <c r="I831">
        <v>36</v>
      </c>
      <c r="J831">
        <v>15</v>
      </c>
    </row>
    <row r="832" spans="1:10" x14ac:dyDescent="0.3">
      <c r="A832" t="str" cm="1">
        <f t="array" ref="A832">IF(ROW()&lt;=COUNTA(Sheet1!A:A), INDEX(Sheet1!A:A, ROW()),
INDEX(Sheet4!A:A, ROW()-COUNTA(Sheet1!A:A)))</f>
        <v>Al10.122Cr13.018Fe16.891Co29.286Ni30.683</v>
      </c>
      <c r="B832" s="10">
        <f>_xlfn.XLOOKUP(A832, Sheet4!A:A, Sheet4!C:C)</f>
        <v>0</v>
      </c>
      <c r="C832" s="10">
        <v>-1</v>
      </c>
      <c r="D832" s="10">
        <f>_xlfn.XLOOKUP(A832, Sheet2!A:A, Sheet2!B:B)</f>
        <v>8.1401000000000003</v>
      </c>
      <c r="E832" s="10">
        <f>_xlfn.XLOOKUP(A832, Sheet1!A:A, Sheet1!G:G)</f>
        <v>-1</v>
      </c>
      <c r="F832" s="10">
        <f t="shared" si="12"/>
        <v>-1</v>
      </c>
      <c r="G832" cm="1">
        <f t="array" ref="G832:J832">_xlfn.XLOOKUP(A832, Sheet1!A:A, Sheet1!C:F)</f>
        <v>30</v>
      </c>
      <c r="H832">
        <v>20</v>
      </c>
      <c r="I832">
        <v>35</v>
      </c>
      <c r="J832">
        <v>5</v>
      </c>
    </row>
    <row r="833" spans="1:10" x14ac:dyDescent="0.3">
      <c r="A833" t="str" cm="1">
        <f t="array" ref="A833">IF(ROW()&lt;=COUNTA(Sheet1!A:A), INDEX(Sheet1!A:A, ROW()),
INDEX(Sheet4!A:A, ROW()-COUNTA(Sheet1!A:A)))</f>
        <v>Al10.155Cr12.844Fe13.963Co30.707Ni32.331</v>
      </c>
      <c r="B833" s="10">
        <f>_xlfn.XLOOKUP(A833, Sheet4!A:A, Sheet4!C:C)</f>
        <v>0</v>
      </c>
      <c r="C833" s="10">
        <v>-1</v>
      </c>
      <c r="D833" s="10">
        <f>_xlfn.XLOOKUP(A833, Sheet2!A:A, Sheet2!B:B)</f>
        <v>8.1890999999999998</v>
      </c>
      <c r="E833" s="10">
        <f>_xlfn.XLOOKUP(A833, Sheet1!A:A, Sheet1!G:G)</f>
        <v>-1</v>
      </c>
      <c r="F833" s="10">
        <f t="shared" si="12"/>
        <v>-1</v>
      </c>
      <c r="G833" cm="1">
        <f t="array" ref="G833:J833">_xlfn.XLOOKUP(A833, Sheet1!A:A, Sheet1!C:F)</f>
        <v>29.3</v>
      </c>
      <c r="H833">
        <v>13</v>
      </c>
      <c r="I833">
        <v>16.899999999999999</v>
      </c>
      <c r="J833">
        <v>30.7</v>
      </c>
    </row>
    <row r="834" spans="1:10" x14ac:dyDescent="0.3">
      <c r="A834" t="str" cm="1">
        <f t="array" ref="A834">IF(ROW()&lt;=COUNTA(Sheet1!A:A), INDEX(Sheet1!A:A, ROW()),
INDEX(Sheet4!A:A, ROW()-COUNTA(Sheet1!A:A)))</f>
        <v>Al10.2Cr12.8Fe14Co30.7Ni32.3</v>
      </c>
      <c r="B834" s="10">
        <f>_xlfn.XLOOKUP(A834, Sheet4!A:A, Sheet4!C:C)</f>
        <v>0</v>
      </c>
      <c r="C834" s="10">
        <v>-1</v>
      </c>
      <c r="D834" s="10">
        <f>_xlfn.XLOOKUP(A834, Sheet2!A:A, Sheet2!B:B)</f>
        <v>8.1869999999999994</v>
      </c>
      <c r="E834" s="10">
        <f>_xlfn.XLOOKUP(A834, Sheet1!A:A, Sheet1!G:G)</f>
        <v>-1</v>
      </c>
      <c r="F834" s="10">
        <f t="shared" si="12"/>
        <v>-1</v>
      </c>
      <c r="G834" cm="1">
        <f t="array" ref="G834:J834">_xlfn.XLOOKUP(A834, Sheet1!A:A, Sheet1!C:F)</f>
        <v>22.47191011</v>
      </c>
      <c r="H834">
        <v>22.47191011</v>
      </c>
      <c r="I834">
        <v>22.47191011</v>
      </c>
      <c r="J834">
        <v>22.47191011</v>
      </c>
    </row>
    <row r="835" spans="1:10" x14ac:dyDescent="0.3">
      <c r="A835" t="str" cm="1">
        <f t="array" ref="A835">IF(ROW()&lt;=COUNTA(Sheet1!A:A), INDEX(Sheet1!A:A, ROW()),
INDEX(Sheet4!A:A, ROW()-COUNTA(Sheet1!A:A)))</f>
        <v>Al10.4Cr20.2Fe27.4Co18.5Ni23.5</v>
      </c>
      <c r="B835" s="10">
        <f>_xlfn.XLOOKUP(A835, Sheet4!A:A, Sheet4!C:C)</f>
        <v>0</v>
      </c>
      <c r="C835" s="10">
        <v>-1</v>
      </c>
      <c r="D835" s="10">
        <f>_xlfn.XLOOKUP(A835, Sheet2!A:A, Sheet2!B:B)</f>
        <v>7.7309999999999999</v>
      </c>
      <c r="E835" s="10">
        <f>_xlfn.XLOOKUP(A835, Sheet1!A:A, Sheet1!G:G)</f>
        <v>-1</v>
      </c>
      <c r="F835" s="10">
        <f t="shared" ref="F835:F898" si="13">IF(OR(C835=1, E835=1), 1,
   IF(OR(C835=0, E835=0), 0,
      -1))</f>
        <v>-1</v>
      </c>
      <c r="G835" cm="1">
        <f t="array" ref="G835:J835">_xlfn.XLOOKUP(A835, Sheet1!A:A, Sheet1!C:F)</f>
        <v>29.286000000000001</v>
      </c>
      <c r="H835">
        <v>13.018000000000001</v>
      </c>
      <c r="I835">
        <v>16.890999999999998</v>
      </c>
      <c r="J835">
        <v>30.683</v>
      </c>
    </row>
    <row r="836" spans="1:10" x14ac:dyDescent="0.3">
      <c r="A836" t="str" cm="1">
        <f t="array" ref="A836">IF(ROW()&lt;=COUNTA(Sheet1!A:A), INDEX(Sheet1!A:A, ROW()),
INDEX(Sheet4!A:A, ROW()-COUNTA(Sheet1!A:A)))</f>
        <v>Al10.412Cr20.185Fe27.394Co18.526Ni23.484</v>
      </c>
      <c r="B836" s="10">
        <f>_xlfn.XLOOKUP(A836, Sheet4!A:A, Sheet4!C:C)</f>
        <v>0</v>
      </c>
      <c r="C836" s="10">
        <v>-1</v>
      </c>
      <c r="D836" s="10">
        <f>_xlfn.XLOOKUP(A836, Sheet2!A:A, Sheet2!B:B)</f>
        <v>7.7305999999999999</v>
      </c>
      <c r="E836" s="10">
        <f>_xlfn.XLOOKUP(A836, Sheet1!A:A, Sheet1!G:G)</f>
        <v>-1</v>
      </c>
      <c r="F836" s="10">
        <f t="shared" si="13"/>
        <v>-1</v>
      </c>
      <c r="G836" cm="1">
        <f t="array" ref="G836:J836">_xlfn.XLOOKUP(A836, Sheet1!A:A, Sheet1!C:F)</f>
        <v>30.707000000000001</v>
      </c>
      <c r="H836">
        <v>12.843999999999999</v>
      </c>
      <c r="I836">
        <v>13.962999999999999</v>
      </c>
      <c r="J836">
        <v>32.331000000000003</v>
      </c>
    </row>
    <row r="837" spans="1:10" x14ac:dyDescent="0.3">
      <c r="A837" t="str" cm="1">
        <f t="array" ref="A837">IF(ROW()&lt;=COUNTA(Sheet1!A:A), INDEX(Sheet1!A:A, ROW()),
INDEX(Sheet4!A:A, ROW()-COUNTA(Sheet1!A:A)))</f>
        <v>Al0.6CoCrFeNi2.1</v>
      </c>
      <c r="B837" s="10">
        <f>_xlfn.XLOOKUP(A837, Sheet4!A:A, Sheet4!C:C)</f>
        <v>0</v>
      </c>
      <c r="C837" s="10">
        <v>-1</v>
      </c>
      <c r="D837" s="10">
        <f>_xlfn.XLOOKUP(A837, Sheet2!A:A, Sheet2!B:B)</f>
        <v>8.0350999999999999</v>
      </c>
      <c r="E837" s="10">
        <f>_xlfn.XLOOKUP(A837, Sheet1!A:A, Sheet1!G:G)</f>
        <v>-1</v>
      </c>
      <c r="F837" s="10">
        <f t="shared" si="13"/>
        <v>-1</v>
      </c>
      <c r="G837" cm="1">
        <f t="array" ref="G837:J837">_xlfn.XLOOKUP(A837, Sheet1!A:A, Sheet1!C:F)</f>
        <v>30.7</v>
      </c>
      <c r="H837">
        <v>12.8</v>
      </c>
      <c r="I837">
        <v>14</v>
      </c>
      <c r="J837">
        <v>32.299999999999997</v>
      </c>
    </row>
    <row r="838" spans="1:10" x14ac:dyDescent="0.3">
      <c r="A838" t="str" cm="1">
        <f t="array" ref="A838">IF(ROW()&lt;=COUNTA(Sheet1!A:A), INDEX(Sheet1!A:A, ROW()),
INDEX(Sheet4!A:A, ROW()-COUNTA(Sheet1!A:A)))</f>
        <v>Al10.6Cr13.5Fe33.1Co20.6Ni22.3</v>
      </c>
      <c r="B838" s="10">
        <f>_xlfn.XLOOKUP(A838, Sheet4!A:A, Sheet4!C:C)</f>
        <v>0</v>
      </c>
      <c r="C838" s="10">
        <v>-1</v>
      </c>
      <c r="D838" s="10">
        <f>_xlfn.XLOOKUP(A838, Sheet2!A:A, Sheet2!B:B)</f>
        <v>7.8521000000000001</v>
      </c>
      <c r="E838" s="10">
        <f>_xlfn.XLOOKUP(A838, Sheet1!A:A, Sheet1!G:G)</f>
        <v>-1</v>
      </c>
      <c r="F838" s="10">
        <f t="shared" si="13"/>
        <v>-1</v>
      </c>
      <c r="G838" cm="1">
        <f t="array" ref="G838:J838">_xlfn.XLOOKUP(A838, Sheet1!A:A, Sheet1!C:F)</f>
        <v>18.5</v>
      </c>
      <c r="H838">
        <v>20.2</v>
      </c>
      <c r="I838">
        <v>27.4</v>
      </c>
      <c r="J838">
        <v>23.5</v>
      </c>
    </row>
    <row r="839" spans="1:10" x14ac:dyDescent="0.3">
      <c r="A839" t="str" cm="1">
        <f t="array" ref="A839">IF(ROW()&lt;=COUNTA(Sheet1!A:A), INDEX(Sheet1!A:A, ROW()),
INDEX(Sheet4!A:A, ROW()-COUNTA(Sheet1!A:A)))</f>
        <v>Al10.592Cr13.489Fe33.053Co20.608Ni22.258</v>
      </c>
      <c r="B839" s="10">
        <f>_xlfn.XLOOKUP(A839, Sheet4!A:A, Sheet4!C:C)</f>
        <v>0</v>
      </c>
      <c r="C839" s="10">
        <v>-1</v>
      </c>
      <c r="D839" s="10">
        <f>_xlfn.XLOOKUP(A839, Sheet2!A:A, Sheet2!B:B)</f>
        <v>7.8518999999999997</v>
      </c>
      <c r="E839" s="10">
        <f>_xlfn.XLOOKUP(A839, Sheet1!A:A, Sheet1!G:G)</f>
        <v>-1</v>
      </c>
      <c r="F839" s="10">
        <f t="shared" si="13"/>
        <v>-1</v>
      </c>
      <c r="G839" cm="1">
        <f t="array" ref="G839:J839">_xlfn.XLOOKUP(A839, Sheet1!A:A, Sheet1!C:F)</f>
        <v>18.526</v>
      </c>
      <c r="H839">
        <v>20.184999999999999</v>
      </c>
      <c r="I839">
        <v>27.393999999999998</v>
      </c>
      <c r="J839">
        <v>23.484000000000002</v>
      </c>
    </row>
    <row r="840" spans="1:10" x14ac:dyDescent="0.3">
      <c r="A840" t="str" cm="1">
        <f t="array" ref="A840">IF(ROW()&lt;=COUNTA(Sheet1!A:A), INDEX(Sheet1!A:A, ROW()),
INDEX(Sheet4!A:A, ROW()-COUNTA(Sheet1!A:A)))</f>
        <v>Al10.8Cr18.4Fe24.4Co20.5Ni25.9</v>
      </c>
      <c r="B840" s="10">
        <f>_xlfn.XLOOKUP(A840, Sheet4!A:A, Sheet4!C:C)</f>
        <v>0</v>
      </c>
      <c r="C840" s="10">
        <v>-1</v>
      </c>
      <c r="D840" s="10">
        <f>_xlfn.XLOOKUP(A840, Sheet2!A:A, Sheet2!B:B)</f>
        <v>7.8150000000000004</v>
      </c>
      <c r="E840" s="10">
        <f>_xlfn.XLOOKUP(A840, Sheet1!A:A, Sheet1!G:G)</f>
        <v>-1</v>
      </c>
      <c r="F840" s="10">
        <f t="shared" si="13"/>
        <v>-1</v>
      </c>
      <c r="G840" cm="1">
        <f t="array" ref="G840:J840">_xlfn.XLOOKUP(A840, Sheet1!A:A, Sheet1!C:F)</f>
        <v>17.543859650000002</v>
      </c>
      <c r="H840">
        <v>17.543859650000002</v>
      </c>
      <c r="I840">
        <v>17.543859650000002</v>
      </c>
      <c r="J840">
        <v>36.842105259999997</v>
      </c>
    </row>
    <row r="841" spans="1:10" x14ac:dyDescent="0.3">
      <c r="A841" t="str" cm="1">
        <f t="array" ref="A841">IF(ROW()&lt;=COUNTA(Sheet1!A:A), INDEX(Sheet1!A:A, ROW()),
INDEX(Sheet4!A:A, ROW()-COUNTA(Sheet1!A:A)))</f>
        <v>Al10.81Cr18.377Fe24.397Co20.538Ni25.877</v>
      </c>
      <c r="B841" s="10">
        <f>_xlfn.XLOOKUP(A841, Sheet4!A:A, Sheet4!C:C)</f>
        <v>0</v>
      </c>
      <c r="C841" s="10">
        <v>-1</v>
      </c>
      <c r="D841" s="10">
        <f>_xlfn.XLOOKUP(A841, Sheet2!A:A, Sheet2!B:B)</f>
        <v>7.8148999999999997</v>
      </c>
      <c r="E841" s="10">
        <f>_xlfn.XLOOKUP(A841, Sheet1!A:A, Sheet1!G:G)</f>
        <v>-1</v>
      </c>
      <c r="F841" s="10">
        <f t="shared" si="13"/>
        <v>-1</v>
      </c>
      <c r="G841" cm="1">
        <f t="array" ref="G841:J841">_xlfn.XLOOKUP(A841, Sheet1!A:A, Sheet1!C:F)</f>
        <v>20.6</v>
      </c>
      <c r="H841">
        <v>13.5</v>
      </c>
      <c r="I841">
        <v>33.1</v>
      </c>
      <c r="J841">
        <v>22.3</v>
      </c>
    </row>
    <row r="842" spans="1:10" x14ac:dyDescent="0.3">
      <c r="A842" t="str" cm="1">
        <f t="array" ref="A842">IF(ROW()&lt;=COUNTA(Sheet1!A:A), INDEX(Sheet1!A:A, ROW()),
INDEX(Sheet4!A:A, ROW()-COUNTA(Sheet1!A:A)))</f>
        <v>Al11.1Cr15Fe7.5Co32.5Ni33.9</v>
      </c>
      <c r="B842" s="10">
        <f>_xlfn.XLOOKUP(A842, Sheet4!A:A, Sheet4!C:C)</f>
        <v>0</v>
      </c>
      <c r="C842" s="10">
        <v>-1</v>
      </c>
      <c r="D842" s="10">
        <f>_xlfn.XLOOKUP(A842, Sheet2!A:A, Sheet2!B:B)</f>
        <v>8.1479999999999997</v>
      </c>
      <c r="E842" s="10">
        <f>_xlfn.XLOOKUP(A842, Sheet1!A:A, Sheet1!G:G)</f>
        <v>-1</v>
      </c>
      <c r="F842" s="10">
        <f t="shared" si="13"/>
        <v>-1</v>
      </c>
      <c r="G842" cm="1">
        <f t="array" ref="G842:J842">_xlfn.XLOOKUP(A842, Sheet1!A:A, Sheet1!C:F)</f>
        <v>20.608000000000001</v>
      </c>
      <c r="H842">
        <v>13.489000000000001</v>
      </c>
      <c r="I842">
        <v>33.052999999999997</v>
      </c>
      <c r="J842">
        <v>22.257999999999999</v>
      </c>
    </row>
    <row r="843" spans="1:10" x14ac:dyDescent="0.3">
      <c r="A843" t="str" cm="1">
        <f t="array" ref="A843">IF(ROW()&lt;=COUNTA(Sheet1!A:A), INDEX(Sheet1!A:A, ROW()),
INDEX(Sheet4!A:A, ROW()-COUNTA(Sheet1!A:A)))</f>
        <v>Al11.11Cr14.989Fe7.4726Co32.5Ni33.929</v>
      </c>
      <c r="B843" s="10">
        <f>_xlfn.XLOOKUP(A843, Sheet4!A:A, Sheet4!C:C)</f>
        <v>0</v>
      </c>
      <c r="C843" s="10">
        <v>-1</v>
      </c>
      <c r="D843" s="10">
        <f>_xlfn.XLOOKUP(A843, Sheet2!A:A, Sheet2!B:B)</f>
        <v>8.1483000000000008</v>
      </c>
      <c r="E843" s="10">
        <f>_xlfn.XLOOKUP(A843, Sheet1!A:A, Sheet1!G:G)</f>
        <v>-1</v>
      </c>
      <c r="F843" s="10">
        <f t="shared" si="13"/>
        <v>-1</v>
      </c>
      <c r="G843" cm="1">
        <f t="array" ref="G843:J843">_xlfn.XLOOKUP(A843, Sheet1!A:A, Sheet1!C:F)</f>
        <v>20.5</v>
      </c>
      <c r="H843">
        <v>18.399999999999999</v>
      </c>
      <c r="I843">
        <v>24.4</v>
      </c>
      <c r="J843">
        <v>25.9</v>
      </c>
    </row>
    <row r="844" spans="1:10" x14ac:dyDescent="0.3">
      <c r="A844" t="str" cm="1">
        <f t="array" ref="A844">IF(ROW()&lt;=COUNTA(Sheet1!A:A), INDEX(Sheet1!A:A, ROW()),
INDEX(Sheet4!A:A, ROW()-COUNTA(Sheet1!A:A)))</f>
        <v>Al0.5CoCrFeNi</v>
      </c>
      <c r="B844" s="10" t="str">
        <f>_xlfn.XLOOKUP(A844, Sheet4!A:A, Sheet4!C:C)</f>
        <v>FCC+BCC</v>
      </c>
      <c r="C844" s="10">
        <v>-1</v>
      </c>
      <c r="D844" s="10">
        <f>_xlfn.XLOOKUP(A844, Sheet2!A:A, Sheet2!B:B)</f>
        <v>7.6666999999999996</v>
      </c>
      <c r="E844" s="10">
        <f>_xlfn.XLOOKUP(A844, Sheet1!A:A, Sheet1!G:G)</f>
        <v>-1</v>
      </c>
      <c r="F844" s="10">
        <f t="shared" si="13"/>
        <v>-1</v>
      </c>
      <c r="G844" cm="1">
        <f t="array" ref="G844:J844">_xlfn.XLOOKUP(A844, Sheet1!A:A, Sheet1!C:F)</f>
        <v>20.538</v>
      </c>
      <c r="H844">
        <v>18.376999999999999</v>
      </c>
      <c r="I844">
        <v>24.396999999999998</v>
      </c>
      <c r="J844">
        <v>25.876999999999999</v>
      </c>
    </row>
    <row r="845" spans="1:10" x14ac:dyDescent="0.3">
      <c r="A845" t="str" cm="1">
        <f t="array" ref="A845">IF(ROW()&lt;=COUNTA(Sheet1!A:A), INDEX(Sheet1!A:A, ROW()),
INDEX(Sheet4!A:A, ROW()-COUNTA(Sheet1!A:A)))</f>
        <v>Al0.5CoCrFeNi</v>
      </c>
      <c r="B845" s="10" t="str">
        <f>_xlfn.XLOOKUP(A845, Sheet4!A:A, Sheet4!C:C)</f>
        <v>FCC+BCC</v>
      </c>
      <c r="C845" s="10">
        <v>-1</v>
      </c>
      <c r="D845" s="10">
        <f>_xlfn.XLOOKUP(A845, Sheet2!A:A, Sheet2!B:B)</f>
        <v>7.6666999999999996</v>
      </c>
      <c r="E845" s="10">
        <f>_xlfn.XLOOKUP(A845, Sheet1!A:A, Sheet1!G:G)</f>
        <v>-1</v>
      </c>
      <c r="F845" s="10">
        <f t="shared" si="13"/>
        <v>-1</v>
      </c>
      <c r="G845" cm="1">
        <f t="array" ref="G845:J845">_xlfn.XLOOKUP(A845, Sheet1!A:A, Sheet1!C:F)</f>
        <v>20.538</v>
      </c>
      <c r="H845">
        <v>18.376999999999999</v>
      </c>
      <c r="I845">
        <v>24.396999999999998</v>
      </c>
      <c r="J845">
        <v>25.876999999999999</v>
      </c>
    </row>
    <row r="846" spans="1:10" x14ac:dyDescent="0.3">
      <c r="A846" t="str" cm="1">
        <f t="array" ref="A846">IF(ROW()&lt;=COUNTA(Sheet1!A:A), INDEX(Sheet1!A:A, ROW()),
INDEX(Sheet4!A:A, ROW()-COUNTA(Sheet1!A:A)))</f>
        <v>Al11.183Cr13.881Fe28.258Co22.564Ni24.113</v>
      </c>
      <c r="B846" s="10">
        <f>_xlfn.XLOOKUP(A846, Sheet4!A:A, Sheet4!C:C)</f>
        <v>0</v>
      </c>
      <c r="C846" s="10">
        <v>-1</v>
      </c>
      <c r="D846" s="10">
        <f>_xlfn.XLOOKUP(A846, Sheet2!A:A, Sheet2!B:B)</f>
        <v>7.8711000000000002</v>
      </c>
      <c r="E846" s="10">
        <f>_xlfn.XLOOKUP(A846, Sheet1!A:A, Sheet1!G:G)</f>
        <v>-1</v>
      </c>
      <c r="F846" s="10">
        <f t="shared" si="13"/>
        <v>-1</v>
      </c>
      <c r="G846" cm="1">
        <f t="array" ref="G846:J846">_xlfn.XLOOKUP(A846, Sheet1!A:A, Sheet1!C:F)</f>
        <v>32.5</v>
      </c>
      <c r="H846">
        <v>15</v>
      </c>
      <c r="I846">
        <v>7.5</v>
      </c>
      <c r="J846">
        <v>33.9</v>
      </c>
    </row>
    <row r="847" spans="1:10" x14ac:dyDescent="0.3">
      <c r="A847" t="str" cm="1">
        <f t="array" ref="A847">IF(ROW()&lt;=COUNTA(Sheet1!A:A), INDEX(Sheet1!A:A, ROW()),
INDEX(Sheet4!A:A, ROW()-COUNTA(Sheet1!A:A)))</f>
        <v>Al11.2Cr13.9Fe28.3Co22.6Ni24.1</v>
      </c>
      <c r="B847" s="10">
        <f>_xlfn.XLOOKUP(A847, Sheet4!A:A, Sheet4!C:C)</f>
        <v>0</v>
      </c>
      <c r="C847" s="10">
        <v>-1</v>
      </c>
      <c r="D847" s="10">
        <f>_xlfn.XLOOKUP(A847, Sheet2!A:A, Sheet2!B:B)</f>
        <v>7.8700999999999999</v>
      </c>
      <c r="E847" s="10">
        <f>_xlfn.XLOOKUP(A847, Sheet1!A:A, Sheet1!G:G)</f>
        <v>-1</v>
      </c>
      <c r="F847" s="10">
        <f t="shared" si="13"/>
        <v>-1</v>
      </c>
      <c r="G847" cm="1">
        <f t="array" ref="G847:J847">_xlfn.XLOOKUP(A847, Sheet1!A:A, Sheet1!C:F)</f>
        <v>32.5</v>
      </c>
      <c r="H847">
        <v>14.989000000000001</v>
      </c>
      <c r="I847">
        <v>7.4725999999999999</v>
      </c>
      <c r="J847">
        <v>33.929000000000002</v>
      </c>
    </row>
    <row r="848" spans="1:10" x14ac:dyDescent="0.3">
      <c r="A848" t="str" cm="1">
        <f t="array" ref="A848">IF(ROW()&lt;=COUNTA(Sheet1!A:A), INDEX(Sheet1!A:A, ROW()),
INDEX(Sheet4!A:A, ROW()-COUNTA(Sheet1!A:A)))</f>
        <v>Al11.2Co22.2Cr22.2Fe22.2Ni22.2</v>
      </c>
      <c r="B848" s="10" t="str">
        <f>_xlfn.XLOOKUP(A848, Sheet4!A:A, Sheet4!C:C)</f>
        <v>FCC</v>
      </c>
      <c r="C848" s="10">
        <v>0</v>
      </c>
      <c r="D848" s="10">
        <f>_xlfn.XLOOKUP(A848, Sheet2!A:A, Sheet2!B:B)</f>
        <v>7.6619999999999999</v>
      </c>
      <c r="E848" s="10">
        <f>_xlfn.XLOOKUP(A848, Sheet1!A:A, Sheet1!G:G)</f>
        <v>-1</v>
      </c>
      <c r="F848" s="10">
        <f t="shared" si="13"/>
        <v>0</v>
      </c>
      <c r="G848" cm="1">
        <f t="array" ref="G848:J848">_xlfn.XLOOKUP(A848, Sheet1!A:A, Sheet1!C:F)</f>
        <v>22.222222219999999</v>
      </c>
      <c r="H848">
        <v>22.222222219999999</v>
      </c>
      <c r="I848">
        <v>22.222222219999999</v>
      </c>
      <c r="J848">
        <v>22.222222219999999</v>
      </c>
    </row>
    <row r="849" spans="1:10" x14ac:dyDescent="0.3">
      <c r="A849" t="str" cm="1">
        <f t="array" ref="A849">IF(ROW()&lt;=COUNTA(Sheet1!A:A), INDEX(Sheet1!A:A, ROW()),
INDEX(Sheet4!A:A, ROW()-COUNTA(Sheet1!A:A)))</f>
        <v>Al11.278Cr14.008Fe38.29Co17.496Ni18.927</v>
      </c>
      <c r="B849" s="10">
        <f>_xlfn.XLOOKUP(A849, Sheet4!A:A, Sheet4!C:C)</f>
        <v>0</v>
      </c>
      <c r="C849" s="10">
        <v>-1</v>
      </c>
      <c r="D849" s="10">
        <f>_xlfn.XLOOKUP(A849, Sheet2!A:A, Sheet2!B:B)</f>
        <v>7.7093999999999996</v>
      </c>
      <c r="E849" s="10">
        <f>_xlfn.XLOOKUP(A849, Sheet1!A:A, Sheet1!G:G)</f>
        <v>-1</v>
      </c>
      <c r="F849" s="10">
        <f t="shared" si="13"/>
        <v>-1</v>
      </c>
      <c r="G849" cm="1">
        <f t="array" ref="G849:J849">_xlfn.XLOOKUP(A849, Sheet1!A:A, Sheet1!C:F)</f>
        <v>22.222222219999999</v>
      </c>
      <c r="H849">
        <v>22.222222219999999</v>
      </c>
      <c r="I849">
        <v>22.222222219999999</v>
      </c>
      <c r="J849">
        <v>22.222222219999999</v>
      </c>
    </row>
    <row r="850" spans="1:10" x14ac:dyDescent="0.3">
      <c r="A850" t="str" cm="1">
        <f t="array" ref="A850">IF(ROW()&lt;=COUNTA(Sheet1!A:A), INDEX(Sheet1!A:A, ROW()),
INDEX(Sheet4!A:A, ROW()-COUNTA(Sheet1!A:A)))</f>
        <v>Al11.3Cr14Fe38.3Co17.5Ni18.9</v>
      </c>
      <c r="B850" s="10">
        <f>_xlfn.XLOOKUP(A850, Sheet4!A:A, Sheet4!C:C)</f>
        <v>0</v>
      </c>
      <c r="C850" s="10">
        <v>-1</v>
      </c>
      <c r="D850" s="10">
        <f>_xlfn.XLOOKUP(A850, Sheet2!A:A, Sheet2!B:B)</f>
        <v>7.7080000000000002</v>
      </c>
      <c r="E850" s="10">
        <f>_xlfn.XLOOKUP(A850, Sheet1!A:A, Sheet1!G:G)</f>
        <v>-1</v>
      </c>
      <c r="F850" s="10">
        <f t="shared" si="13"/>
        <v>-1</v>
      </c>
      <c r="G850" cm="1">
        <f t="array" ref="G850:J850">_xlfn.XLOOKUP(A850, Sheet1!A:A, Sheet1!C:F)</f>
        <v>22.564</v>
      </c>
      <c r="H850">
        <v>13.881</v>
      </c>
      <c r="I850">
        <v>28.257999999999999</v>
      </c>
      <c r="J850">
        <v>24.113</v>
      </c>
    </row>
    <row r="851" spans="1:10" x14ac:dyDescent="0.3">
      <c r="A851" t="str" cm="1">
        <f t="array" ref="A851">IF(ROW()&lt;=COUNTA(Sheet1!A:A), INDEX(Sheet1!A:A, ROW()),
INDEX(Sheet4!A:A, ROW()-COUNTA(Sheet1!A:A)))</f>
        <v>Al11.3Cr16.5Fe22.2Co22.1Ni27.9</v>
      </c>
      <c r="B851" s="10">
        <f>_xlfn.XLOOKUP(A851, Sheet4!A:A, Sheet4!C:C)</f>
        <v>0</v>
      </c>
      <c r="C851" s="10">
        <v>-1</v>
      </c>
      <c r="D851" s="10">
        <f>_xlfn.XLOOKUP(A851, Sheet2!A:A, Sheet2!B:B)</f>
        <v>7.8840000000000003</v>
      </c>
      <c r="E851" s="10">
        <f>_xlfn.XLOOKUP(A851, Sheet1!A:A, Sheet1!G:G)</f>
        <v>-1</v>
      </c>
      <c r="F851" s="10">
        <f t="shared" si="13"/>
        <v>-1</v>
      </c>
      <c r="G851" cm="1">
        <f t="array" ref="G851:J851">_xlfn.XLOOKUP(A851, Sheet1!A:A, Sheet1!C:F)</f>
        <v>22.6</v>
      </c>
      <c r="H851">
        <v>13.9</v>
      </c>
      <c r="I851">
        <v>28.3</v>
      </c>
      <c r="J851">
        <v>24.1</v>
      </c>
    </row>
    <row r="852" spans="1:10" x14ac:dyDescent="0.3">
      <c r="A852" t="str" cm="1">
        <f t="array" ref="A852">IF(ROW()&lt;=COUNTA(Sheet1!A:A), INDEX(Sheet1!A:A, ROW()),
INDEX(Sheet4!A:A, ROW()-COUNTA(Sheet1!A:A)))</f>
        <v>Al11.3Cr14.5Fe24Co24.1Ni26.1</v>
      </c>
      <c r="B852" s="10">
        <f>_xlfn.XLOOKUP(A852, Sheet4!A:A, Sheet4!C:C)</f>
        <v>0</v>
      </c>
      <c r="C852" s="10">
        <v>-1</v>
      </c>
      <c r="D852" s="10">
        <f>_xlfn.XLOOKUP(A852, Sheet2!A:A, Sheet2!B:B)</f>
        <v>7.9080000000000004</v>
      </c>
      <c r="E852" s="10">
        <f>_xlfn.XLOOKUP(A852, Sheet1!A:A, Sheet1!G:G)</f>
        <v>-1</v>
      </c>
      <c r="F852" s="10">
        <f t="shared" si="13"/>
        <v>-1</v>
      </c>
      <c r="G852" cm="1">
        <f t="array" ref="G852:J852">_xlfn.XLOOKUP(A852, Sheet1!A:A, Sheet1!C:F)</f>
        <v>22.2</v>
      </c>
      <c r="H852">
        <v>22.2</v>
      </c>
      <c r="I852">
        <v>22.2</v>
      </c>
      <c r="J852">
        <v>22.2</v>
      </c>
    </row>
    <row r="853" spans="1:10" x14ac:dyDescent="0.3">
      <c r="A853" t="str" cm="1">
        <f t="array" ref="A853">IF(ROW()&lt;=COUNTA(Sheet1!A:A), INDEX(Sheet1!A:A, ROW()),
INDEX(Sheet4!A:A, ROW()-COUNTA(Sheet1!A:A)))</f>
        <v>Al11.309Cr14.476Fe24.036Co24.116Ni26.063</v>
      </c>
      <c r="B853" s="10">
        <f>_xlfn.XLOOKUP(A853, Sheet4!A:A, Sheet4!C:C)</f>
        <v>0</v>
      </c>
      <c r="C853" s="10">
        <v>-1</v>
      </c>
      <c r="D853" s="10">
        <f>_xlfn.XLOOKUP(A853, Sheet2!A:A, Sheet2!B:B)</f>
        <v>7.9074</v>
      </c>
      <c r="E853" s="10">
        <f>_xlfn.XLOOKUP(A853, Sheet1!A:A, Sheet1!G:G)</f>
        <v>-1</v>
      </c>
      <c r="F853" s="10">
        <f t="shared" si="13"/>
        <v>-1</v>
      </c>
      <c r="G853" cm="1">
        <f t="array" ref="G853:J853">_xlfn.XLOOKUP(A853, Sheet1!A:A, Sheet1!C:F)</f>
        <v>17.495999999999999</v>
      </c>
      <c r="H853">
        <v>14.007999999999999</v>
      </c>
      <c r="I853">
        <v>38.29</v>
      </c>
      <c r="J853">
        <v>18.927</v>
      </c>
    </row>
    <row r="854" spans="1:10" x14ac:dyDescent="0.3">
      <c r="A854" t="str" cm="1">
        <f t="array" ref="A854">IF(ROW()&lt;=COUNTA(Sheet1!A:A), INDEX(Sheet1!A:A, ROW()),
INDEX(Sheet4!A:A, ROW()-COUNTA(Sheet1!A:A)))</f>
        <v>Al11.336Cr16.507Fe22.153Co22.128Ni27.876</v>
      </c>
      <c r="B854" s="10">
        <f>_xlfn.XLOOKUP(A854, Sheet4!A:A, Sheet4!C:C)</f>
        <v>0</v>
      </c>
      <c r="C854" s="10">
        <v>-1</v>
      </c>
      <c r="D854" s="10">
        <f>_xlfn.XLOOKUP(A854, Sheet2!A:A, Sheet2!B:B)</f>
        <v>7.8818999999999999</v>
      </c>
      <c r="E854" s="10">
        <f>_xlfn.XLOOKUP(A854, Sheet1!A:A, Sheet1!G:G)</f>
        <v>-1</v>
      </c>
      <c r="F854" s="10">
        <f t="shared" si="13"/>
        <v>-1</v>
      </c>
      <c r="G854" cm="1">
        <f t="array" ref="G854:J854">_xlfn.XLOOKUP(A854, Sheet1!A:A, Sheet1!C:F)</f>
        <v>17.5</v>
      </c>
      <c r="H854">
        <v>14</v>
      </c>
      <c r="I854">
        <v>38.299999999999997</v>
      </c>
      <c r="J854">
        <v>18.899999999999999</v>
      </c>
    </row>
    <row r="855" spans="1:10" x14ac:dyDescent="0.3">
      <c r="A855" t="str" cm="1">
        <f t="array" ref="A855">IF(ROW()&lt;=COUNTA(Sheet1!A:A), INDEX(Sheet1!A:A, ROW()),
INDEX(Sheet4!A:A, ROW()-COUNTA(Sheet1!A:A)))</f>
        <v>Al11.4Cr14.7Fe20.7Co25.8Ni27.3</v>
      </c>
      <c r="B855" s="10">
        <f>_xlfn.XLOOKUP(A855, Sheet4!A:A, Sheet4!C:C)</f>
        <v>0</v>
      </c>
      <c r="C855" s="10">
        <v>-1</v>
      </c>
      <c r="D855" s="10">
        <f>_xlfn.XLOOKUP(A855, Sheet2!A:A, Sheet2!B:B)</f>
        <v>7.9398999999999997</v>
      </c>
      <c r="E855" s="10">
        <f>_xlfn.XLOOKUP(A855, Sheet1!A:A, Sheet1!G:G)</f>
        <v>-1</v>
      </c>
      <c r="F855" s="10">
        <f t="shared" si="13"/>
        <v>-1</v>
      </c>
      <c r="G855" cm="1">
        <f t="array" ref="G855:J855">_xlfn.XLOOKUP(A855, Sheet1!A:A, Sheet1!C:F)</f>
        <v>22.1</v>
      </c>
      <c r="H855">
        <v>16.5</v>
      </c>
      <c r="I855">
        <v>22.2</v>
      </c>
      <c r="J855">
        <v>27.9</v>
      </c>
    </row>
    <row r="856" spans="1:10" x14ac:dyDescent="0.3">
      <c r="A856" t="str" cm="1">
        <f t="array" ref="A856">IF(ROW()&lt;=COUNTA(Sheet1!A:A), INDEX(Sheet1!A:A, ROW()),
INDEX(Sheet4!A:A, ROW()-COUNTA(Sheet1!A:A)))</f>
        <v>Al11.44Cr14.703Fe20.685Co25.831Ni27.341</v>
      </c>
      <c r="B856" s="10">
        <f>_xlfn.XLOOKUP(A856, Sheet4!A:A, Sheet4!C:C)</f>
        <v>0</v>
      </c>
      <c r="C856" s="10">
        <v>-1</v>
      </c>
      <c r="D856" s="10">
        <f>_xlfn.XLOOKUP(A856, Sheet2!A:A, Sheet2!B:B)</f>
        <v>7.9390999999999998</v>
      </c>
      <c r="E856" s="10">
        <f>_xlfn.XLOOKUP(A856, Sheet1!A:A, Sheet1!G:G)</f>
        <v>-1</v>
      </c>
      <c r="F856" s="10">
        <f t="shared" si="13"/>
        <v>-1</v>
      </c>
      <c r="G856" cm="1">
        <f t="array" ref="G856:J856">_xlfn.XLOOKUP(A856, Sheet1!A:A, Sheet1!C:F)</f>
        <v>24.1</v>
      </c>
      <c r="H856">
        <v>14.5</v>
      </c>
      <c r="I856">
        <v>24</v>
      </c>
      <c r="J856">
        <v>26.1</v>
      </c>
    </row>
    <row r="857" spans="1:10" x14ac:dyDescent="0.3">
      <c r="A857" t="str" cm="1">
        <f t="array" ref="A857">IF(ROW()&lt;=COUNTA(Sheet1!A:A), INDEX(Sheet1!A:A, ROW()),
INDEX(Sheet4!A:A, ROW()-COUNTA(Sheet1!A:A)))</f>
        <v>Al11.475Cr15.286Fe12.225Co29.632Ni31.382</v>
      </c>
      <c r="B857" s="10">
        <f>_xlfn.XLOOKUP(A857, Sheet4!A:A, Sheet4!C:C)</f>
        <v>0</v>
      </c>
      <c r="C857" s="10">
        <v>-1</v>
      </c>
      <c r="D857" s="10">
        <f>_xlfn.XLOOKUP(A857, Sheet2!A:A, Sheet2!B:B)</f>
        <v>8.0444999999999993</v>
      </c>
      <c r="E857" s="10">
        <f>_xlfn.XLOOKUP(A857, Sheet1!A:A, Sheet1!G:G)</f>
        <v>-1</v>
      </c>
      <c r="F857" s="10">
        <f t="shared" si="13"/>
        <v>-1</v>
      </c>
      <c r="G857" cm="1">
        <f t="array" ref="G857:J857">_xlfn.XLOOKUP(A857, Sheet1!A:A, Sheet1!C:F)</f>
        <v>24.116</v>
      </c>
      <c r="H857">
        <v>14.476000000000001</v>
      </c>
      <c r="I857">
        <v>24.036000000000001</v>
      </c>
      <c r="J857">
        <v>26.062999999999999</v>
      </c>
    </row>
    <row r="858" spans="1:10" x14ac:dyDescent="0.3">
      <c r="A858" t="str" cm="1">
        <f t="array" ref="A858">IF(ROW()&lt;=COUNTA(Sheet1!A:A), INDEX(Sheet1!A:A, ROW()),
INDEX(Sheet4!A:A, ROW()-COUNTA(Sheet1!A:A)))</f>
        <v>Al11.489Cr15.195Fe10.194Co30.599Ni32.523</v>
      </c>
      <c r="B858" s="10">
        <f>_xlfn.XLOOKUP(A858, Sheet4!A:A, Sheet4!C:C)</f>
        <v>0</v>
      </c>
      <c r="C858" s="10">
        <v>-1</v>
      </c>
      <c r="D858" s="10">
        <f>_xlfn.XLOOKUP(A858, Sheet2!A:A, Sheet2!B:B)</f>
        <v>8.0780999999999992</v>
      </c>
      <c r="E858" s="10">
        <f>_xlfn.XLOOKUP(A858, Sheet1!A:A, Sheet1!G:G)</f>
        <v>-1</v>
      </c>
      <c r="F858" s="10">
        <f t="shared" si="13"/>
        <v>-1</v>
      </c>
      <c r="G858" cm="1">
        <f t="array" ref="G858:J858">_xlfn.XLOOKUP(A858, Sheet1!A:A, Sheet1!C:F)</f>
        <v>22.128</v>
      </c>
      <c r="H858">
        <v>16.507000000000001</v>
      </c>
      <c r="I858">
        <v>22.152999999999999</v>
      </c>
      <c r="J858">
        <v>27.876000000000001</v>
      </c>
    </row>
    <row r="859" spans="1:10" x14ac:dyDescent="0.3">
      <c r="A859" t="str" cm="1">
        <f t="array" ref="A859">IF(ROW()&lt;=COUNTA(Sheet1!A:A), INDEX(Sheet1!A:A, ROW()),
INDEX(Sheet4!A:A, ROW()-COUNTA(Sheet1!A:A)))</f>
        <v>Al11.49Cr14.887Fe19.629Co23.856Ni30.138</v>
      </c>
      <c r="B859" s="10">
        <f>_xlfn.XLOOKUP(A859, Sheet4!A:A, Sheet4!C:C)</f>
        <v>0</v>
      </c>
      <c r="C859" s="10">
        <v>-1</v>
      </c>
      <c r="D859" s="10">
        <f>_xlfn.XLOOKUP(A859, Sheet2!A:A, Sheet2!B:B)</f>
        <v>7.9691000000000001</v>
      </c>
      <c r="E859" s="10">
        <f>_xlfn.XLOOKUP(A859, Sheet1!A:A, Sheet1!G:G)</f>
        <v>-1</v>
      </c>
      <c r="F859" s="10">
        <f t="shared" si="13"/>
        <v>-1</v>
      </c>
      <c r="G859" cm="1">
        <f t="array" ref="G859:J859">_xlfn.XLOOKUP(A859, Sheet1!A:A, Sheet1!C:F)</f>
        <v>25.8</v>
      </c>
      <c r="H859">
        <v>14.7</v>
      </c>
      <c r="I859">
        <v>20.7</v>
      </c>
      <c r="J859">
        <v>27.3</v>
      </c>
    </row>
    <row r="860" spans="1:10" x14ac:dyDescent="0.3">
      <c r="A860" t="str" cm="1">
        <f t="array" ref="A860">IF(ROW()&lt;=COUNTA(Sheet1!A:A), INDEX(Sheet1!A:A, ROW()),
INDEX(Sheet4!A:A, ROW()-COUNTA(Sheet1!A:A)))</f>
        <v>Al11.491Cr15.123Fe14.512Co28.594Ni30.28</v>
      </c>
      <c r="B860" s="10">
        <f>_xlfn.XLOOKUP(A860, Sheet4!A:A, Sheet4!C:C)</f>
        <v>0</v>
      </c>
      <c r="C860" s="10">
        <v>-1</v>
      </c>
      <c r="D860" s="10">
        <f>_xlfn.XLOOKUP(A860, Sheet2!A:A, Sheet2!B:B)</f>
        <v>8.0145</v>
      </c>
      <c r="E860" s="10">
        <f>_xlfn.XLOOKUP(A860, Sheet1!A:A, Sheet1!G:G)</f>
        <v>-1</v>
      </c>
      <c r="F860" s="10">
        <f t="shared" si="13"/>
        <v>-1</v>
      </c>
      <c r="G860" cm="1">
        <f t="array" ref="G860:J860">_xlfn.XLOOKUP(A860, Sheet1!A:A, Sheet1!C:F)</f>
        <v>25.831</v>
      </c>
      <c r="H860">
        <v>14.702999999999999</v>
      </c>
      <c r="I860">
        <v>20.684999999999999</v>
      </c>
      <c r="J860">
        <v>27.341000000000001</v>
      </c>
    </row>
    <row r="861" spans="1:10" x14ac:dyDescent="0.3">
      <c r="A861" t="str" cm="1">
        <f t="array" ref="A861">IF(ROW()&lt;=COUNTA(Sheet1!A:A), INDEX(Sheet1!A:A, ROW()),
INDEX(Sheet4!A:A, ROW()-COUNTA(Sheet1!A:A)))</f>
        <v>Al11.5Cr14.9Fe19.6Co23.9Ni30.1</v>
      </c>
      <c r="B861" s="10">
        <f>_xlfn.XLOOKUP(A861, Sheet4!A:A, Sheet4!C:C)</f>
        <v>0</v>
      </c>
      <c r="C861" s="10">
        <v>-1</v>
      </c>
      <c r="D861" s="10">
        <f>_xlfn.XLOOKUP(A861, Sheet2!A:A, Sheet2!B:B)</f>
        <v>7.968</v>
      </c>
      <c r="E861" s="10">
        <f>_xlfn.XLOOKUP(A861, Sheet1!A:A, Sheet1!G:G)</f>
        <v>-1</v>
      </c>
      <c r="F861" s="10">
        <f t="shared" si="13"/>
        <v>-1</v>
      </c>
      <c r="G861" cm="1">
        <f t="array" ref="G861:J861">_xlfn.XLOOKUP(A861, Sheet1!A:A, Sheet1!C:F)</f>
        <v>29.632000000000001</v>
      </c>
      <c r="H861">
        <v>15.286</v>
      </c>
      <c r="I861">
        <v>12.225</v>
      </c>
      <c r="J861">
        <v>31.382000000000001</v>
      </c>
    </row>
    <row r="862" spans="1:10" x14ac:dyDescent="0.3">
      <c r="A862" t="str" cm="1">
        <f t="array" ref="A862">IF(ROW()&lt;=COUNTA(Sheet1!A:A), INDEX(Sheet1!A:A, ROW()),
INDEX(Sheet4!A:A, ROW()-COUNTA(Sheet1!A:A)))</f>
        <v>Al11.5Cr15.1Fe14.5Co28.6Ni30.3</v>
      </c>
      <c r="B862" s="10">
        <f>_xlfn.XLOOKUP(A862, Sheet4!A:A, Sheet4!C:C)</f>
        <v>0</v>
      </c>
      <c r="C862" s="10">
        <v>-1</v>
      </c>
      <c r="D862" s="10">
        <f>_xlfn.XLOOKUP(A862, Sheet2!A:A, Sheet2!B:B)</f>
        <v>8.0150000000000006</v>
      </c>
      <c r="E862" s="10">
        <f>_xlfn.XLOOKUP(A862, Sheet1!A:A, Sheet1!G:G)</f>
        <v>-1</v>
      </c>
      <c r="F862" s="10">
        <f t="shared" si="13"/>
        <v>-1</v>
      </c>
      <c r="G862" cm="1">
        <f t="array" ref="G862:J862">_xlfn.XLOOKUP(A862, Sheet1!A:A, Sheet1!C:F)</f>
        <v>30.599</v>
      </c>
      <c r="H862">
        <v>15.195</v>
      </c>
      <c r="I862">
        <v>10.194000000000001</v>
      </c>
      <c r="J862">
        <v>32.523000000000003</v>
      </c>
    </row>
    <row r="863" spans="1:10" x14ac:dyDescent="0.3">
      <c r="A863" t="str" cm="1">
        <f t="array" ref="A863">IF(ROW()&lt;=COUNTA(Sheet1!A:A), INDEX(Sheet1!A:A, ROW()),
INDEX(Sheet4!A:A, ROW()-COUNTA(Sheet1!A:A)))</f>
        <v>Al11.5Cr15.3Fe12.2Co29.6Ni31.4</v>
      </c>
      <c r="B863" s="10">
        <f>_xlfn.XLOOKUP(A863, Sheet4!A:A, Sheet4!C:C)</f>
        <v>0</v>
      </c>
      <c r="C863" s="10">
        <v>-1</v>
      </c>
      <c r="D863" s="10">
        <f>_xlfn.XLOOKUP(A863, Sheet2!A:A, Sheet2!B:B)</f>
        <v>8.0429999999999993</v>
      </c>
      <c r="E863" s="10">
        <f>_xlfn.XLOOKUP(A863, Sheet1!A:A, Sheet1!G:G)</f>
        <v>-1</v>
      </c>
      <c r="F863" s="10">
        <f t="shared" si="13"/>
        <v>-1</v>
      </c>
      <c r="G863" cm="1">
        <f t="array" ref="G863:J863">_xlfn.XLOOKUP(A863, Sheet1!A:A, Sheet1!C:F)</f>
        <v>23.856000000000002</v>
      </c>
      <c r="H863">
        <v>14.887</v>
      </c>
      <c r="I863">
        <v>19.629000000000001</v>
      </c>
      <c r="J863">
        <v>30.138000000000002</v>
      </c>
    </row>
    <row r="864" spans="1:10" x14ac:dyDescent="0.3">
      <c r="A864" t="str" cm="1">
        <f t="array" ref="A864">IF(ROW()&lt;=COUNTA(Sheet1!A:A), INDEX(Sheet1!A:A, ROW()),
INDEX(Sheet4!A:A, ROW()-COUNTA(Sheet1!A:A)))</f>
        <v>Al11.5Cr15.2Fe10.2Co30.6Ni32.5</v>
      </c>
      <c r="B864" s="10">
        <f>_xlfn.XLOOKUP(A864, Sheet4!A:A, Sheet4!C:C)</f>
        <v>0</v>
      </c>
      <c r="C864" s="10">
        <v>-1</v>
      </c>
      <c r="D864" s="10">
        <f>_xlfn.XLOOKUP(A864, Sheet2!A:A, Sheet2!B:B)</f>
        <v>8.077</v>
      </c>
      <c r="E864" s="10">
        <f>_xlfn.XLOOKUP(A864, Sheet1!A:A, Sheet1!G:G)</f>
        <v>-1</v>
      </c>
      <c r="F864" s="10">
        <f t="shared" si="13"/>
        <v>-1</v>
      </c>
      <c r="G864" cm="1">
        <f t="array" ref="G864:J864">_xlfn.XLOOKUP(A864, Sheet1!A:A, Sheet1!C:F)</f>
        <v>28.594000000000001</v>
      </c>
      <c r="H864">
        <v>15.122999999999999</v>
      </c>
      <c r="I864">
        <v>14.512</v>
      </c>
      <c r="J864">
        <v>30.28</v>
      </c>
    </row>
    <row r="865" spans="1:10" x14ac:dyDescent="0.3">
      <c r="A865" t="str" cm="1">
        <f t="array" ref="A865">IF(ROW()&lt;=COUNTA(Sheet1!A:A), INDEX(Sheet1!A:A, ROW()),
INDEX(Sheet4!A:A, ROW()-COUNTA(Sheet1!A:A)))</f>
        <v>Al11.5Cr15Fe8.6Co31.7Ni33.2</v>
      </c>
      <c r="B865" s="10">
        <f>_xlfn.XLOOKUP(A865, Sheet4!A:A, Sheet4!C:C)</f>
        <v>0</v>
      </c>
      <c r="C865" s="10">
        <v>-1</v>
      </c>
      <c r="D865" s="10">
        <f>_xlfn.XLOOKUP(A865, Sheet2!A:A, Sheet2!B:B)</f>
        <v>8.1059999999999999</v>
      </c>
      <c r="E865" s="10">
        <f>_xlfn.XLOOKUP(A865, Sheet1!A:A, Sheet1!G:G)</f>
        <v>-1</v>
      </c>
      <c r="F865" s="10">
        <f t="shared" si="13"/>
        <v>-1</v>
      </c>
      <c r="G865" cm="1">
        <f t="array" ref="G865:J865">_xlfn.XLOOKUP(A865, Sheet1!A:A, Sheet1!C:F)</f>
        <v>23.9</v>
      </c>
      <c r="H865">
        <v>14.9</v>
      </c>
      <c r="I865">
        <v>19.600000000000001</v>
      </c>
      <c r="J865">
        <v>30.1</v>
      </c>
    </row>
    <row r="866" spans="1:10" x14ac:dyDescent="0.3">
      <c r="A866" t="str" cm="1">
        <f t="array" ref="A866">IF(ROW()&lt;=COUNTA(Sheet1!A:A), INDEX(Sheet1!A:A, ROW()),
INDEX(Sheet4!A:A, ROW()-COUNTA(Sheet1!A:A)))</f>
        <v>Al11.513Cr14.988Fe8.6088Co31.739Ni33.151</v>
      </c>
      <c r="B866" s="10">
        <f>_xlfn.XLOOKUP(A866, Sheet4!A:A, Sheet4!C:C)</f>
        <v>0</v>
      </c>
      <c r="C866" s="10">
        <v>-1</v>
      </c>
      <c r="D866" s="10">
        <f>_xlfn.XLOOKUP(A866, Sheet2!A:A, Sheet2!B:B)</f>
        <v>8.1050000000000004</v>
      </c>
      <c r="E866" s="10">
        <f>_xlfn.XLOOKUP(A866, Sheet1!A:A, Sheet1!G:G)</f>
        <v>-1</v>
      </c>
      <c r="F866" s="10">
        <f t="shared" si="13"/>
        <v>-1</v>
      </c>
      <c r="G866" cm="1">
        <f t="array" ref="G866:J866">_xlfn.XLOOKUP(A866, Sheet1!A:A, Sheet1!C:F)</f>
        <v>28.6</v>
      </c>
      <c r="H866">
        <v>15.1</v>
      </c>
      <c r="I866">
        <v>14.5</v>
      </c>
      <c r="J866">
        <v>30.3</v>
      </c>
    </row>
    <row r="867" spans="1:10" x14ac:dyDescent="0.3">
      <c r="A867" t="str" cm="1">
        <f t="array" ref="A867">IF(ROW()&lt;=COUNTA(Sheet1!A:A), INDEX(Sheet1!A:A, ROW()),
INDEX(Sheet4!A:A, ROW()-COUNTA(Sheet1!A:A)))</f>
        <v>Al11.579Cr14.938Fe17.222Co27.304Ni28.957</v>
      </c>
      <c r="B867" s="10">
        <f>_xlfn.XLOOKUP(A867, Sheet4!A:A, Sheet4!C:C)</f>
        <v>0</v>
      </c>
      <c r="C867" s="10">
        <v>-1</v>
      </c>
      <c r="D867" s="10">
        <f>_xlfn.XLOOKUP(A867, Sheet2!A:A, Sheet2!B:B)</f>
        <v>7.9744999999999999</v>
      </c>
      <c r="E867" s="10">
        <f>_xlfn.XLOOKUP(A867, Sheet1!A:A, Sheet1!G:G)</f>
        <v>-1</v>
      </c>
      <c r="F867" s="10">
        <f t="shared" si="13"/>
        <v>-1</v>
      </c>
      <c r="G867" cm="1">
        <f t="array" ref="G867:J867">_xlfn.XLOOKUP(A867, Sheet1!A:A, Sheet1!C:F)</f>
        <v>29.6</v>
      </c>
      <c r="H867">
        <v>15.3</v>
      </c>
      <c r="I867">
        <v>12.2</v>
      </c>
      <c r="J867">
        <v>31.4</v>
      </c>
    </row>
    <row r="868" spans="1:10" x14ac:dyDescent="0.3">
      <c r="A868" t="str" cm="1">
        <f t="array" ref="A868">IF(ROW()&lt;=COUNTA(Sheet1!A:A), INDEX(Sheet1!A:A, ROW()),
INDEX(Sheet4!A:A, ROW()-COUNTA(Sheet1!A:A)))</f>
        <v>Al11.6Cr14.9Fe17.2Co27.3Ni29</v>
      </c>
      <c r="B868" s="10">
        <f>_xlfn.XLOOKUP(A868, Sheet4!A:A, Sheet4!C:C)</f>
        <v>0</v>
      </c>
      <c r="C868" s="10">
        <v>-1</v>
      </c>
      <c r="D868" s="10">
        <f>_xlfn.XLOOKUP(A868, Sheet2!A:A, Sheet2!B:B)</f>
        <v>7.9749999999999996</v>
      </c>
      <c r="E868" s="10">
        <f>_xlfn.XLOOKUP(A868, Sheet1!A:A, Sheet1!G:G)</f>
        <v>-1</v>
      </c>
      <c r="F868" s="10">
        <f t="shared" si="13"/>
        <v>-1</v>
      </c>
      <c r="G868" cm="1">
        <f t="array" ref="G868:J868">_xlfn.XLOOKUP(A868, Sheet1!A:A, Sheet1!C:F)</f>
        <v>30.6</v>
      </c>
      <c r="H868">
        <v>15.2</v>
      </c>
      <c r="I868">
        <v>10.199999999999999</v>
      </c>
      <c r="J868">
        <v>32.5</v>
      </c>
    </row>
    <row r="869" spans="1:10" x14ac:dyDescent="0.3">
      <c r="A869" t="str" cm="1">
        <f t="array" ref="A869">IF(ROW()&lt;=COUNTA(Sheet1!A:A), INDEX(Sheet1!A:A, ROW()),
INDEX(Sheet4!A:A, ROW()-COUNTA(Sheet1!A:A)))</f>
        <v>Al11.765Cr14.973Fe33.455Co19.129Ni20.678</v>
      </c>
      <c r="B869" s="10">
        <f>_xlfn.XLOOKUP(A869, Sheet4!A:A, Sheet4!C:C)</f>
        <v>0</v>
      </c>
      <c r="C869" s="10">
        <v>-1</v>
      </c>
      <c r="D869" s="10">
        <f>_xlfn.XLOOKUP(A869, Sheet2!A:A, Sheet2!B:B)</f>
        <v>7.7171000000000003</v>
      </c>
      <c r="E869" s="10">
        <f>_xlfn.XLOOKUP(A869, Sheet1!A:A, Sheet1!G:G)</f>
        <v>-1</v>
      </c>
      <c r="F869" s="10">
        <f t="shared" si="13"/>
        <v>-1</v>
      </c>
      <c r="G869" cm="1">
        <f t="array" ref="G869:J869">_xlfn.XLOOKUP(A869, Sheet1!A:A, Sheet1!C:F)</f>
        <v>31.7</v>
      </c>
      <c r="H869">
        <v>15</v>
      </c>
      <c r="I869">
        <v>8.6</v>
      </c>
      <c r="J869">
        <v>33.200000000000003</v>
      </c>
    </row>
    <row r="870" spans="1:10" x14ac:dyDescent="0.3">
      <c r="A870" t="str" cm="1">
        <f t="array" ref="A870">IF(ROW()&lt;=COUNTA(Sheet1!A:A), INDEX(Sheet1!A:A, ROW()),
INDEX(Sheet4!A:A, ROW()-COUNTA(Sheet1!A:A)))</f>
        <v>Al11.8Cr15Fe33.5Co19.1Ni20.7</v>
      </c>
      <c r="B870" s="10">
        <f>_xlfn.XLOOKUP(A870, Sheet4!A:A, Sheet4!C:C)</f>
        <v>0</v>
      </c>
      <c r="C870" s="10">
        <v>-1</v>
      </c>
      <c r="D870" s="10">
        <f>_xlfn.XLOOKUP(A870, Sheet2!A:A, Sheet2!B:B)</f>
        <v>7.7153</v>
      </c>
      <c r="E870" s="10">
        <f>_xlfn.XLOOKUP(A870, Sheet1!A:A, Sheet1!G:G)</f>
        <v>-1</v>
      </c>
      <c r="F870" s="10">
        <f t="shared" si="13"/>
        <v>-1</v>
      </c>
      <c r="G870" cm="1">
        <f t="array" ref="G870:J870">_xlfn.XLOOKUP(A870, Sheet1!A:A, Sheet1!C:F)</f>
        <v>31.739000000000001</v>
      </c>
      <c r="H870">
        <v>14.988</v>
      </c>
      <c r="I870">
        <v>8.6088000000000005</v>
      </c>
      <c r="J870">
        <v>33.151000000000003</v>
      </c>
    </row>
    <row r="871" spans="1:10" x14ac:dyDescent="0.3">
      <c r="A871" t="str" cm="1">
        <f t="array" ref="A871">IF(ROW()&lt;=COUNTA(Sheet1!A:A), INDEX(Sheet1!A:A, ROW()),
INDEX(Sheet4!A:A, ROW()-COUNTA(Sheet1!A:A)))</f>
        <v>Al0.7CoCrFeNi2.1</v>
      </c>
      <c r="B871" s="10">
        <f>_xlfn.XLOOKUP(A871, Sheet4!A:A, Sheet4!C:C)</f>
        <v>0</v>
      </c>
      <c r="C871" s="10">
        <v>-1</v>
      </c>
      <c r="D871" s="10">
        <f>_xlfn.XLOOKUP(A871, Sheet2!A:A, Sheet2!B:B)</f>
        <v>7.9482999999999997</v>
      </c>
      <c r="E871" s="10">
        <f>_xlfn.XLOOKUP(A871, Sheet1!A:A, Sheet1!G:G)</f>
        <v>-1</v>
      </c>
      <c r="F871" s="10">
        <f t="shared" si="13"/>
        <v>-1</v>
      </c>
      <c r="G871" cm="1">
        <f t="array" ref="G871:J871">_xlfn.XLOOKUP(A871, Sheet1!A:A, Sheet1!C:F)</f>
        <v>27.303999999999998</v>
      </c>
      <c r="H871">
        <v>14.938000000000001</v>
      </c>
      <c r="I871">
        <v>17.222000000000001</v>
      </c>
      <c r="J871">
        <v>28.957000000000001</v>
      </c>
    </row>
    <row r="872" spans="1:10" x14ac:dyDescent="0.3">
      <c r="A872" t="str" cm="1">
        <f t="array" ref="A872">IF(ROW()&lt;=COUNTA(Sheet1!A:A), INDEX(Sheet1!A:A, ROW()),
INDEX(Sheet4!A:A, ROW()-COUNTA(Sheet1!A:A)))</f>
        <v>Al0.7CoCrFe2Ni</v>
      </c>
      <c r="B872" s="10">
        <f>_xlfn.XLOOKUP(A872, Sheet4!A:A, Sheet4!C:C)</f>
        <v>0</v>
      </c>
      <c r="C872" s="10">
        <v>-1</v>
      </c>
      <c r="D872" s="10">
        <f>_xlfn.XLOOKUP(A872, Sheet2!A:A, Sheet2!B:B)</f>
        <v>7.5613999999999999</v>
      </c>
      <c r="E872" s="10">
        <f>_xlfn.XLOOKUP(A872, Sheet1!A:A, Sheet1!G:G)</f>
        <v>-1</v>
      </c>
      <c r="F872" s="10">
        <f t="shared" si="13"/>
        <v>-1</v>
      </c>
      <c r="G872" cm="1">
        <f t="array" ref="G872:J872">_xlfn.XLOOKUP(A872, Sheet1!A:A, Sheet1!C:F)</f>
        <v>27.3</v>
      </c>
      <c r="H872">
        <v>14.9</v>
      </c>
      <c r="I872">
        <v>17.2</v>
      </c>
      <c r="J872">
        <v>29</v>
      </c>
    </row>
    <row r="873" spans="1:10" x14ac:dyDescent="0.3">
      <c r="A873" t="str" cm="1">
        <f t="array" ref="A873">IF(ROW()&lt;=COUNTA(Sheet1!A:A), INDEX(Sheet1!A:A, ROW()),
INDEX(Sheet4!A:A, ROW()-COUNTA(Sheet1!A:A)))</f>
        <v>Al0.7Ni1Co1Fe1.5Cr1.5</v>
      </c>
      <c r="B873" s="10">
        <f>_xlfn.XLOOKUP(A873, Sheet4!A:A, Sheet4!C:C)</f>
        <v>0</v>
      </c>
      <c r="C873" s="10">
        <v>-1</v>
      </c>
      <c r="D873" s="10">
        <f>_xlfn.XLOOKUP(A873, Sheet2!A:A, Sheet2!B:B)</f>
        <v>7.3860000000000001</v>
      </c>
      <c r="E873" s="10">
        <f>_xlfn.XLOOKUP(A873, Sheet1!A:A, Sheet1!G:G)</f>
        <v>-1</v>
      </c>
      <c r="F873" s="10">
        <f t="shared" si="13"/>
        <v>-1</v>
      </c>
      <c r="G873" cm="1">
        <f t="array" ref="G873:J873">_xlfn.XLOOKUP(A873, Sheet1!A:A, Sheet1!C:F)</f>
        <v>19.129000000000001</v>
      </c>
      <c r="H873">
        <v>14.973000000000001</v>
      </c>
      <c r="I873">
        <v>33.454999999999998</v>
      </c>
      <c r="J873">
        <v>20.678000000000001</v>
      </c>
    </row>
    <row r="874" spans="1:10" x14ac:dyDescent="0.3">
      <c r="A874" t="str" cm="1">
        <f t="array" ref="A874">IF(ROW()&lt;=COUNTA(Sheet1!A:A), INDEX(Sheet1!A:A, ROW()),
INDEX(Sheet4!A:A, ROW()-COUNTA(Sheet1!A:A)))</f>
        <v>Al0.7Ni1Co1Fe1Cr2</v>
      </c>
      <c r="B874" s="10">
        <f>_xlfn.XLOOKUP(A874, Sheet4!A:A, Sheet4!C:C)</f>
        <v>0</v>
      </c>
      <c r="C874" s="10">
        <v>-1</v>
      </c>
      <c r="D874" s="10">
        <f>_xlfn.XLOOKUP(A874, Sheet2!A:A, Sheet2!B:B)</f>
        <v>7.2104999999999997</v>
      </c>
      <c r="E874" s="10">
        <f>_xlfn.XLOOKUP(A874, Sheet1!A:A, Sheet1!G:G)</f>
        <v>-1</v>
      </c>
      <c r="F874" s="10">
        <f t="shared" si="13"/>
        <v>-1</v>
      </c>
      <c r="G874" cm="1">
        <f t="array" ref="G874:J874">_xlfn.XLOOKUP(A874, Sheet1!A:A, Sheet1!C:F)</f>
        <v>19.100000000000001</v>
      </c>
      <c r="H874">
        <v>15</v>
      </c>
      <c r="I874">
        <v>33.5</v>
      </c>
      <c r="J874">
        <v>20.7</v>
      </c>
    </row>
    <row r="875" spans="1:10" x14ac:dyDescent="0.3">
      <c r="A875" t="str" cm="1">
        <f t="array" ref="A875">IF(ROW()&lt;=COUNTA(Sheet1!A:A), INDEX(Sheet1!A:A, ROW()),
INDEX(Sheet4!A:A, ROW()-COUNTA(Sheet1!A:A)))</f>
        <v>Al12.3Cr15.7Fe28.6Co20.9Ni22.5</v>
      </c>
      <c r="B875" s="10">
        <f>_xlfn.XLOOKUP(A875, Sheet4!A:A, Sheet4!C:C)</f>
        <v>0</v>
      </c>
      <c r="C875" s="10">
        <v>-1</v>
      </c>
      <c r="D875" s="10">
        <f>_xlfn.XLOOKUP(A875, Sheet2!A:A, Sheet2!B:B)</f>
        <v>7.73</v>
      </c>
      <c r="E875" s="10">
        <f>_xlfn.XLOOKUP(A875, Sheet1!A:A, Sheet1!G:G)</f>
        <v>-1</v>
      </c>
      <c r="F875" s="10">
        <f t="shared" si="13"/>
        <v>-1</v>
      </c>
      <c r="G875" cm="1">
        <f t="array" ref="G875:J875">_xlfn.XLOOKUP(A875, Sheet1!A:A, Sheet1!C:F)</f>
        <v>17.241379309999999</v>
      </c>
      <c r="H875">
        <v>17.241379309999999</v>
      </c>
      <c r="I875">
        <v>17.241379309999999</v>
      </c>
      <c r="J875">
        <v>36.206896550000003</v>
      </c>
    </row>
    <row r="876" spans="1:10" x14ac:dyDescent="0.3">
      <c r="A876" t="str" cm="1">
        <f t="array" ref="A876">IF(ROW()&lt;=COUNTA(Sheet1!A:A), INDEX(Sheet1!A:A, ROW()),
INDEX(Sheet4!A:A, ROW()-COUNTA(Sheet1!A:A)))</f>
        <v>Al12.321Cr15.674Fe28.606Co20.923Ni22.476</v>
      </c>
      <c r="B876" s="10">
        <f>_xlfn.XLOOKUP(A876, Sheet4!A:A, Sheet4!C:C)</f>
        <v>0</v>
      </c>
      <c r="C876" s="10">
        <v>-1</v>
      </c>
      <c r="D876" s="10">
        <f>_xlfn.XLOOKUP(A876, Sheet2!A:A, Sheet2!B:B)</f>
        <v>7.7291999999999996</v>
      </c>
      <c r="E876" s="10">
        <f>_xlfn.XLOOKUP(A876, Sheet1!A:A, Sheet1!G:G)</f>
        <v>-1</v>
      </c>
      <c r="F876" s="10">
        <f t="shared" si="13"/>
        <v>-1</v>
      </c>
      <c r="G876" cm="1">
        <f t="array" ref="G876:J876">_xlfn.XLOOKUP(A876, Sheet1!A:A, Sheet1!C:F)</f>
        <v>17.543859650000002</v>
      </c>
      <c r="H876">
        <v>17.543859650000002</v>
      </c>
      <c r="I876">
        <v>35.087719300000003</v>
      </c>
      <c r="J876">
        <v>17.543859650000002</v>
      </c>
    </row>
    <row r="877" spans="1:10" x14ac:dyDescent="0.3">
      <c r="A877" t="str" cm="1">
        <f t="array" ref="A877">IF(ROW()&lt;=COUNTA(Sheet1!A:A), INDEX(Sheet1!A:A, ROW()),
INDEX(Sheet4!A:A, ROW()-COUNTA(Sheet1!A:A)))</f>
        <v>Al12.356Cr20.148Fe27.111Co17.769Ni22.616</v>
      </c>
      <c r="B877" s="10">
        <f>_xlfn.XLOOKUP(A877, Sheet4!A:A, Sheet4!C:C)</f>
        <v>0</v>
      </c>
      <c r="C877" s="10">
        <v>-1</v>
      </c>
      <c r="D877" s="10">
        <f>_xlfn.XLOOKUP(A877, Sheet2!A:A, Sheet2!B:B)</f>
        <v>7.6092000000000004</v>
      </c>
      <c r="E877" s="10">
        <f>_xlfn.XLOOKUP(A877, Sheet1!A:A, Sheet1!G:G)</f>
        <v>-1</v>
      </c>
      <c r="F877" s="10">
        <f t="shared" si="13"/>
        <v>-1</v>
      </c>
      <c r="G877" cm="1">
        <f t="array" ref="G877:J877">_xlfn.XLOOKUP(A877, Sheet1!A:A, Sheet1!C:F)</f>
        <v>17.543859650000002</v>
      </c>
      <c r="H877">
        <v>26.315789469999999</v>
      </c>
      <c r="I877">
        <v>26.315789469999999</v>
      </c>
      <c r="J877">
        <v>17.543859650000002</v>
      </c>
    </row>
    <row r="878" spans="1:10" x14ac:dyDescent="0.3">
      <c r="A878" t="str" cm="1">
        <f t="array" ref="A878">IF(ROW()&lt;=COUNTA(Sheet1!A:A), INDEX(Sheet1!A:A, ROW()),
INDEX(Sheet4!A:A, ROW()-COUNTA(Sheet1!A:A)))</f>
        <v>Al12.4Cr20.1Fe27.1Co17.8Ni22.6</v>
      </c>
      <c r="B878" s="10">
        <f>_xlfn.XLOOKUP(A878, Sheet4!A:A, Sheet4!C:C)</f>
        <v>0</v>
      </c>
      <c r="C878" s="10">
        <v>-1</v>
      </c>
      <c r="D878" s="10">
        <f>_xlfn.XLOOKUP(A878, Sheet2!A:A, Sheet2!B:B)</f>
        <v>7.6079999999999997</v>
      </c>
      <c r="E878" s="10">
        <f>_xlfn.XLOOKUP(A878, Sheet1!A:A, Sheet1!G:G)</f>
        <v>-1</v>
      </c>
      <c r="F878" s="10">
        <f t="shared" si="13"/>
        <v>-1</v>
      </c>
      <c r="G878" cm="1">
        <f t="array" ref="G878:J878">_xlfn.XLOOKUP(A878, Sheet1!A:A, Sheet1!C:F)</f>
        <v>17.543859650000002</v>
      </c>
      <c r="H878">
        <v>35.087719300000003</v>
      </c>
      <c r="I878">
        <v>17.543859650000002</v>
      </c>
      <c r="J878">
        <v>17.543859650000002</v>
      </c>
    </row>
    <row r="879" spans="1:10" x14ac:dyDescent="0.3">
      <c r="A879" t="str" cm="1">
        <f t="array" ref="A879">IF(ROW()&lt;=COUNTA(Sheet1!A:A), INDEX(Sheet1!A:A, ROW()),
INDEX(Sheet4!A:A, ROW()-COUNTA(Sheet1!A:A)))</f>
        <v>Al0.57NiCoFeCr</v>
      </c>
      <c r="B879" s="10">
        <f>_xlfn.XLOOKUP(A879, Sheet4!A:A, Sheet4!C:C)</f>
        <v>0</v>
      </c>
      <c r="C879" s="10">
        <v>-1</v>
      </c>
      <c r="D879" s="10">
        <f>_xlfn.XLOOKUP(A879, Sheet2!A:A, Sheet2!B:B)</f>
        <v>7.5952000000000002</v>
      </c>
      <c r="E879" s="10">
        <f>_xlfn.XLOOKUP(A879, Sheet1!A:A, Sheet1!G:G)</f>
        <v>-1</v>
      </c>
      <c r="F879" s="10">
        <f t="shared" si="13"/>
        <v>-1</v>
      </c>
      <c r="G879" cm="1">
        <f t="array" ref="G879:J879">_xlfn.XLOOKUP(A879, Sheet1!A:A, Sheet1!C:F)</f>
        <v>20.9</v>
      </c>
      <c r="H879">
        <v>15.7</v>
      </c>
      <c r="I879">
        <v>28.6</v>
      </c>
      <c r="J879">
        <v>22.5</v>
      </c>
    </row>
    <row r="880" spans="1:10" x14ac:dyDescent="0.3">
      <c r="A880" t="str" cm="1">
        <f t="array" ref="A880">IF(ROW()&lt;=COUNTA(Sheet1!A:A), INDEX(Sheet1!A:A, ROW()),
INDEX(Sheet4!A:A, ROW()-COUNTA(Sheet1!A:A)))</f>
        <v>Al12.5Ni21.88Co21.88Fe21.88Cr21.88</v>
      </c>
      <c r="B880" s="10" t="str">
        <f>_xlfn.XLOOKUP(A880, Sheet4!A:A, Sheet4!C:C)</f>
        <v>FCC+BCC</v>
      </c>
      <c r="C880" s="10">
        <v>-1</v>
      </c>
      <c r="D880" s="10">
        <f>_xlfn.XLOOKUP(A880, Sheet2!A:A, Sheet2!B:B)</f>
        <v>7.5938999999999997</v>
      </c>
      <c r="E880" s="10">
        <f>_xlfn.XLOOKUP(A880, Sheet1!A:A, Sheet1!G:G)</f>
        <v>-1</v>
      </c>
      <c r="F880" s="10">
        <f t="shared" si="13"/>
        <v>-1</v>
      </c>
      <c r="G880" cm="1">
        <f t="array" ref="G880:J880">_xlfn.XLOOKUP(A880, Sheet1!A:A, Sheet1!C:F)</f>
        <v>20.922999999999998</v>
      </c>
      <c r="H880">
        <v>15.673999999999999</v>
      </c>
      <c r="I880">
        <v>28.606000000000002</v>
      </c>
      <c r="J880">
        <v>22.475999999999999</v>
      </c>
    </row>
    <row r="881" spans="1:10" x14ac:dyDescent="0.3">
      <c r="A881" t="str" cm="1">
        <f t="array" ref="A881">IF(ROW()&lt;=COUNTA(Sheet1!A:A), INDEX(Sheet1!A:A, ROW()),
INDEX(Sheet4!A:A, ROW()-COUNTA(Sheet1!A:A)))</f>
        <v>AlCoCrFeNi4</v>
      </c>
      <c r="B881" s="10">
        <f>_xlfn.XLOOKUP(A881, Sheet4!A:A, Sheet4!C:C)</f>
        <v>0</v>
      </c>
      <c r="C881" s="10">
        <v>-1</v>
      </c>
      <c r="D881" s="10">
        <f>_xlfn.XLOOKUP(A881, Sheet2!A:A, Sheet2!B:B)</f>
        <v>8.25</v>
      </c>
      <c r="E881" s="10">
        <f>_xlfn.XLOOKUP(A881, Sheet1!A:A, Sheet1!G:G)</f>
        <v>-1</v>
      </c>
      <c r="F881" s="10">
        <f t="shared" si="13"/>
        <v>-1</v>
      </c>
      <c r="G881" cm="1">
        <f t="array" ref="G881:J881">_xlfn.XLOOKUP(A881, Sheet1!A:A, Sheet1!C:F)</f>
        <v>17.768999999999998</v>
      </c>
      <c r="H881">
        <v>20.148</v>
      </c>
      <c r="I881">
        <v>27.111000000000001</v>
      </c>
      <c r="J881">
        <v>22.616</v>
      </c>
    </row>
    <row r="882" spans="1:10" x14ac:dyDescent="0.3">
      <c r="A882" t="str" cm="1">
        <f t="array" ref="A882">IF(ROW()&lt;=COUNTA(Sheet1!A:A), INDEX(Sheet1!A:A, ROW()),
INDEX(Sheet4!A:A, ROW()-COUNTA(Sheet1!A:A)))</f>
        <v>Al12.5Ni17.5Co17.5Fe26.25Cr26.25</v>
      </c>
      <c r="B882" s="10">
        <f>_xlfn.XLOOKUP(A882, Sheet4!A:A, Sheet4!C:C)</f>
        <v>0</v>
      </c>
      <c r="C882" s="10">
        <v>-1</v>
      </c>
      <c r="D882" s="10">
        <f>_xlfn.XLOOKUP(A882, Sheet2!A:A, Sheet2!B:B)</f>
        <v>7.375</v>
      </c>
      <c r="E882" s="10">
        <f>_xlfn.XLOOKUP(A882, Sheet1!A:A, Sheet1!G:G)</f>
        <v>-1</v>
      </c>
      <c r="F882" s="10">
        <f t="shared" si="13"/>
        <v>-1</v>
      </c>
      <c r="G882" cm="1">
        <f t="array" ref="G882:J882">_xlfn.XLOOKUP(A882, Sheet1!A:A, Sheet1!C:F)</f>
        <v>17.8</v>
      </c>
      <c r="H882">
        <v>20.100000000000001</v>
      </c>
      <c r="I882">
        <v>27.1</v>
      </c>
      <c r="J882">
        <v>22.6</v>
      </c>
    </row>
    <row r="883" spans="1:10" x14ac:dyDescent="0.3">
      <c r="A883" t="str" cm="1">
        <f t="array" ref="A883">IF(ROW()&lt;=COUNTA(Sheet1!A:A), INDEX(Sheet1!A:A, ROW()),
INDEX(Sheet4!A:A, ROW()-COUNTA(Sheet1!A:A)))</f>
        <v>Al12.5Ni17.5Co17.5Fe17.5Cr35</v>
      </c>
      <c r="B883" s="10">
        <f>_xlfn.XLOOKUP(A883, Sheet4!A:A, Sheet4!C:C)</f>
        <v>0</v>
      </c>
      <c r="C883" s="10">
        <v>-1</v>
      </c>
      <c r="D883" s="10">
        <f>_xlfn.XLOOKUP(A883, Sheet2!A:A, Sheet2!B:B)</f>
        <v>7.2</v>
      </c>
      <c r="E883" s="10">
        <f>_xlfn.XLOOKUP(A883, Sheet1!A:A, Sheet1!G:G)</f>
        <v>-1</v>
      </c>
      <c r="F883" s="10">
        <f t="shared" si="13"/>
        <v>-1</v>
      </c>
      <c r="G883" cm="1">
        <f t="array" ref="G883:J883">_xlfn.XLOOKUP(A883, Sheet1!A:A, Sheet1!C:F)</f>
        <v>21.881838070000001</v>
      </c>
      <c r="H883">
        <v>21.881838070000001</v>
      </c>
      <c r="I883">
        <v>21.881838070000001</v>
      </c>
      <c r="J883">
        <v>21.881838070000001</v>
      </c>
    </row>
    <row r="884" spans="1:10" x14ac:dyDescent="0.3">
      <c r="A884" t="str" cm="1">
        <f t="array" ref="A884">IF(ROW()&lt;=COUNTA(Sheet1!A:A), INDEX(Sheet1!A:A, ROW()),
INDEX(Sheet4!A:A, ROW()-COUNTA(Sheet1!A:A)))</f>
        <v>AlCo2Cr1.5Fe1.5Ni2</v>
      </c>
      <c r="B884" s="10">
        <f>_xlfn.XLOOKUP(A884, Sheet4!A:A, Sheet4!C:C)</f>
        <v>0</v>
      </c>
      <c r="C884" s="10">
        <v>-1</v>
      </c>
      <c r="D884" s="10">
        <f>_xlfn.XLOOKUP(A884, Sheet2!A:A, Sheet2!B:B)</f>
        <v>7.75</v>
      </c>
      <c r="E884" s="10">
        <f>_xlfn.XLOOKUP(A884, Sheet1!A:A, Sheet1!G:G)</f>
        <v>-1</v>
      </c>
      <c r="F884" s="10">
        <f t="shared" si="13"/>
        <v>-1</v>
      </c>
      <c r="G884" cm="1">
        <f t="array" ref="G884:J884">_xlfn.XLOOKUP(A884, Sheet1!A:A, Sheet1!C:F)</f>
        <v>21.88</v>
      </c>
      <c r="H884">
        <v>21.88</v>
      </c>
      <c r="I884">
        <v>21.88</v>
      </c>
      <c r="J884">
        <v>21.88</v>
      </c>
    </row>
    <row r="885" spans="1:10" x14ac:dyDescent="0.3">
      <c r="A885" t="str" cm="1">
        <f t="array" ref="A885">IF(ROW()&lt;=COUNTA(Sheet1!A:A), INDEX(Sheet1!A:A, ROW()),
INDEX(Sheet4!A:A, ROW()-COUNTA(Sheet1!A:A)))</f>
        <v>Al12.5Cr18.2Fe24.5Co19.6Ni25.1</v>
      </c>
      <c r="B885" s="10">
        <f>_xlfn.XLOOKUP(A885, Sheet4!A:A, Sheet4!C:C)</f>
        <v>0</v>
      </c>
      <c r="C885" s="10">
        <v>-1</v>
      </c>
      <c r="D885" s="10">
        <f>_xlfn.XLOOKUP(A885, Sheet2!A:A, Sheet2!B:B)</f>
        <v>7.7087000000000003</v>
      </c>
      <c r="E885" s="10">
        <f>_xlfn.XLOOKUP(A885, Sheet1!A:A, Sheet1!G:G)</f>
        <v>-1</v>
      </c>
      <c r="F885" s="10">
        <f t="shared" si="13"/>
        <v>-1</v>
      </c>
      <c r="G885" cm="1">
        <f t="array" ref="G885:J885">_xlfn.XLOOKUP(A885, Sheet1!A:A, Sheet1!C:F)</f>
        <v>12.5</v>
      </c>
      <c r="H885">
        <v>12.5</v>
      </c>
      <c r="I885">
        <v>12.5</v>
      </c>
      <c r="J885">
        <v>50</v>
      </c>
    </row>
    <row r="886" spans="1:10" x14ac:dyDescent="0.3">
      <c r="A886" t="str" cm="1">
        <f t="array" ref="A886">IF(ROW()&lt;=COUNTA(Sheet1!A:A), INDEX(Sheet1!A:A, ROW()),
INDEX(Sheet4!A:A, ROW()-COUNTA(Sheet1!A:A)))</f>
        <v>Al12.547Cr18.203Fe24.47Co19.64Ni25.14</v>
      </c>
      <c r="B886" s="10">
        <f>_xlfn.XLOOKUP(A886, Sheet4!A:A, Sheet4!C:C)</f>
        <v>0</v>
      </c>
      <c r="C886" s="10">
        <v>-1</v>
      </c>
      <c r="D886" s="10">
        <f>_xlfn.XLOOKUP(A886, Sheet2!A:A, Sheet2!B:B)</f>
        <v>7.7077999999999998</v>
      </c>
      <c r="E886" s="10">
        <f>_xlfn.XLOOKUP(A886, Sheet1!A:A, Sheet1!G:G)</f>
        <v>-1</v>
      </c>
      <c r="F886" s="10">
        <f t="shared" si="13"/>
        <v>-1</v>
      </c>
      <c r="G886" cm="1">
        <f t="array" ref="G886:J886">_xlfn.XLOOKUP(A886, Sheet1!A:A, Sheet1!C:F)</f>
        <v>17.5</v>
      </c>
      <c r="H886">
        <v>26.25</v>
      </c>
      <c r="I886">
        <v>26.25</v>
      </c>
      <c r="J886">
        <v>17.5</v>
      </c>
    </row>
    <row r="887" spans="1:10" x14ac:dyDescent="0.3">
      <c r="A887" t="str" cm="1">
        <f t="array" ref="A887">IF(ROW()&lt;=COUNTA(Sheet1!A:A), INDEX(Sheet1!A:A, ROW()),
INDEX(Sheet4!A:A, ROW()-COUNTA(Sheet1!A:A)))</f>
        <v>Al12.6Cr15.9Fe38Co16.3Ni17.2</v>
      </c>
      <c r="B887" s="10">
        <f>_xlfn.XLOOKUP(A887, Sheet4!A:A, Sheet4!C:C)</f>
        <v>0</v>
      </c>
      <c r="C887" s="10">
        <v>-1</v>
      </c>
      <c r="D887" s="10">
        <f>_xlfn.XLOOKUP(A887, Sheet2!A:A, Sheet2!B:B)</f>
        <v>7.5590000000000002</v>
      </c>
      <c r="E887" s="10">
        <f>_xlfn.XLOOKUP(A887, Sheet1!A:A, Sheet1!G:G)</f>
        <v>-1</v>
      </c>
      <c r="F887" s="10">
        <f t="shared" si="13"/>
        <v>-1</v>
      </c>
      <c r="G887" cm="1">
        <f t="array" ref="G887:J887">_xlfn.XLOOKUP(A887, Sheet1!A:A, Sheet1!C:F)</f>
        <v>17.5</v>
      </c>
      <c r="H887">
        <v>35</v>
      </c>
      <c r="I887">
        <v>17.5</v>
      </c>
      <c r="J887">
        <v>17.5</v>
      </c>
    </row>
    <row r="888" spans="1:10" x14ac:dyDescent="0.3">
      <c r="A888" t="str" cm="1">
        <f t="array" ref="A888">IF(ROW()&lt;=COUNTA(Sheet1!A:A), INDEX(Sheet1!A:A, ROW()),
INDEX(Sheet4!A:A, ROW()-COUNTA(Sheet1!A:A)))</f>
        <v>Al12.607Cr15.905Fe37.986Co16.337Ni17.165</v>
      </c>
      <c r="B888" s="10">
        <f>_xlfn.XLOOKUP(A888, Sheet4!A:A, Sheet4!C:C)</f>
        <v>0</v>
      </c>
      <c r="C888" s="10">
        <v>-1</v>
      </c>
      <c r="D888" s="10">
        <f>_xlfn.XLOOKUP(A888, Sheet2!A:A, Sheet2!B:B)</f>
        <v>7.5582000000000003</v>
      </c>
      <c r="E888" s="10">
        <f>_xlfn.XLOOKUP(A888, Sheet1!A:A, Sheet1!G:G)</f>
        <v>-1</v>
      </c>
      <c r="F888" s="10">
        <f t="shared" si="13"/>
        <v>-1</v>
      </c>
      <c r="G888" cm="1">
        <f t="array" ref="G888:J888">_xlfn.XLOOKUP(A888, Sheet1!A:A, Sheet1!C:F)</f>
        <v>25</v>
      </c>
      <c r="H888">
        <v>18.75</v>
      </c>
      <c r="I888">
        <v>18.75</v>
      </c>
      <c r="J888">
        <v>25</v>
      </c>
    </row>
    <row r="889" spans="1:10" x14ac:dyDescent="0.3">
      <c r="A889" t="str" cm="1">
        <f t="array" ref="A889">IF(ROW()&lt;=COUNTA(Sheet1!A:A), INDEX(Sheet1!A:A, ROW()),
INDEX(Sheet4!A:A, ROW()-COUNTA(Sheet1!A:A)))</f>
        <v>Al12.8Cr16.5Fe22.2Co21.4Ni27.2</v>
      </c>
      <c r="B889" s="10">
        <f>_xlfn.XLOOKUP(A889, Sheet4!A:A, Sheet4!C:C)</f>
        <v>0</v>
      </c>
      <c r="C889" s="10">
        <v>-1</v>
      </c>
      <c r="D889" s="10">
        <f>_xlfn.XLOOKUP(A889, Sheet2!A:A, Sheet2!B:B)</f>
        <v>7.7881999999999998</v>
      </c>
      <c r="E889" s="10">
        <f>_xlfn.XLOOKUP(A889, Sheet1!A:A, Sheet1!G:G)</f>
        <v>-1</v>
      </c>
      <c r="F889" s="10">
        <f t="shared" si="13"/>
        <v>-1</v>
      </c>
      <c r="G889" cm="1">
        <f t="array" ref="G889:J889">_xlfn.XLOOKUP(A889, Sheet1!A:A, Sheet1!C:F)</f>
        <v>19.600000000000001</v>
      </c>
      <c r="H889">
        <v>18.2</v>
      </c>
      <c r="I889">
        <v>24.5</v>
      </c>
      <c r="J889">
        <v>25.1</v>
      </c>
    </row>
    <row r="890" spans="1:10" x14ac:dyDescent="0.3">
      <c r="A890" t="str" cm="1">
        <f t="array" ref="A890">IF(ROW()&lt;=COUNTA(Sheet1!A:A), INDEX(Sheet1!A:A, ROW()),
INDEX(Sheet4!A:A, ROW()-COUNTA(Sheet1!A:A)))</f>
        <v>Al12.8Cr13.2Fe17.5Co25.1Ni31.4</v>
      </c>
      <c r="B890" s="10">
        <f>_xlfn.XLOOKUP(A890, Sheet4!A:A, Sheet4!C:C)</f>
        <v>0</v>
      </c>
      <c r="C890" s="10">
        <v>-1</v>
      </c>
      <c r="D890" s="10">
        <f>_xlfn.XLOOKUP(A890, Sheet2!A:A, Sheet2!B:B)</f>
        <v>7.9749999999999996</v>
      </c>
      <c r="E890" s="10">
        <f>_xlfn.XLOOKUP(A890, Sheet1!A:A, Sheet1!G:G)</f>
        <v>-1</v>
      </c>
      <c r="F890" s="10">
        <f t="shared" si="13"/>
        <v>-1</v>
      </c>
      <c r="G890" cm="1">
        <f t="array" ref="G890:J890">_xlfn.XLOOKUP(A890, Sheet1!A:A, Sheet1!C:F)</f>
        <v>19.64</v>
      </c>
      <c r="H890">
        <v>18.202999999999999</v>
      </c>
      <c r="I890">
        <v>24.47</v>
      </c>
      <c r="J890">
        <v>25.14</v>
      </c>
    </row>
    <row r="891" spans="1:10" x14ac:dyDescent="0.3">
      <c r="A891" t="str" cm="1">
        <f t="array" ref="A891">IF(ROW()&lt;=COUNTA(Sheet1!A:A), INDEX(Sheet1!A:A, ROW()),
INDEX(Sheet4!A:A, ROW()-COUNTA(Sheet1!A:A)))</f>
        <v>Al12.819Cr13.239Fe17.497Co25.076Ni31.37</v>
      </c>
      <c r="B891" s="10">
        <f>_xlfn.XLOOKUP(A891, Sheet4!A:A, Sheet4!C:C)</f>
        <v>0</v>
      </c>
      <c r="C891" s="10">
        <v>-1</v>
      </c>
      <c r="D891" s="10">
        <f>_xlfn.XLOOKUP(A891, Sheet2!A:A, Sheet2!B:B)</f>
        <v>7.9724000000000004</v>
      </c>
      <c r="E891" s="10">
        <f>_xlfn.XLOOKUP(A891, Sheet1!A:A, Sheet1!G:G)</f>
        <v>-1</v>
      </c>
      <c r="F891" s="10">
        <f t="shared" si="13"/>
        <v>-1</v>
      </c>
      <c r="G891" cm="1">
        <f t="array" ref="G891:J891">_xlfn.XLOOKUP(A891, Sheet1!A:A, Sheet1!C:F)</f>
        <v>16.3</v>
      </c>
      <c r="H891">
        <v>15.9</v>
      </c>
      <c r="I891">
        <v>38</v>
      </c>
      <c r="J891">
        <v>17.2</v>
      </c>
    </row>
    <row r="892" spans="1:10" x14ac:dyDescent="0.3">
      <c r="A892" t="str" cm="1">
        <f t="array" ref="A892">IF(ROW()&lt;=COUNTA(Sheet1!A:A), INDEX(Sheet1!A:A, ROW()),
INDEX(Sheet4!A:A, ROW()-COUNTA(Sheet1!A:A)))</f>
        <v>Al12.84Cr16.458Fe22.17Co21.357Ni27.175</v>
      </c>
      <c r="B892" s="10">
        <f>_xlfn.XLOOKUP(A892, Sheet4!A:A, Sheet4!C:C)</f>
        <v>0</v>
      </c>
      <c r="C892" s="10">
        <v>-1</v>
      </c>
      <c r="D892" s="10">
        <f>_xlfn.XLOOKUP(A892, Sheet2!A:A, Sheet2!B:B)</f>
        <v>7.7858999999999998</v>
      </c>
      <c r="E892" s="10">
        <f>_xlfn.XLOOKUP(A892, Sheet1!A:A, Sheet1!G:G)</f>
        <v>-1</v>
      </c>
      <c r="F892" s="10">
        <f t="shared" si="13"/>
        <v>-1</v>
      </c>
      <c r="G892" cm="1">
        <f t="array" ref="G892:J892">_xlfn.XLOOKUP(A892, Sheet1!A:A, Sheet1!C:F)</f>
        <v>16.337</v>
      </c>
      <c r="H892">
        <v>15.904999999999999</v>
      </c>
      <c r="I892">
        <v>37.985999999999997</v>
      </c>
      <c r="J892">
        <v>17.164999999999999</v>
      </c>
    </row>
    <row r="893" spans="1:10" x14ac:dyDescent="0.3">
      <c r="A893" t="str" cm="1">
        <f t="array" ref="A893">IF(ROW()&lt;=COUNTA(Sheet1!A:A), INDEX(Sheet1!A:A, ROW()),
INDEX(Sheet4!A:A, ROW()-COUNTA(Sheet1!A:A)))</f>
        <v>NiCoFeCrAl0.59</v>
      </c>
      <c r="B893" s="10" t="str">
        <f>_xlfn.XLOOKUP(A893, Sheet4!A:A, Sheet4!C:C)</f>
        <v>FCC</v>
      </c>
      <c r="C893" s="10">
        <v>0</v>
      </c>
      <c r="D893" s="10">
        <f>_xlfn.XLOOKUP(A893, Sheet2!A:A, Sheet2!B:B)</f>
        <v>7.5751999999999997</v>
      </c>
      <c r="E893" s="10">
        <f>_xlfn.XLOOKUP(A893, Sheet1!A:A, Sheet1!G:G)</f>
        <v>-1</v>
      </c>
      <c r="F893" s="10">
        <f t="shared" si="13"/>
        <v>0</v>
      </c>
      <c r="G893" cm="1">
        <f t="array" ref="G893:J893">_xlfn.XLOOKUP(A893, Sheet1!A:A, Sheet1!C:F)</f>
        <v>21.4</v>
      </c>
      <c r="H893">
        <v>16.5</v>
      </c>
      <c r="I893">
        <v>22.2</v>
      </c>
      <c r="J893">
        <v>27.2</v>
      </c>
    </row>
    <row r="894" spans="1:10" x14ac:dyDescent="0.3">
      <c r="A894" t="str" cm="1">
        <f t="array" ref="A894">IF(ROW()&lt;=COUNTA(Sheet1!A:A), INDEX(Sheet1!A:A, ROW()),
INDEX(Sheet4!A:A, ROW()-COUNTA(Sheet1!A:A)))</f>
        <v>NiCoFeCrAl0.59</v>
      </c>
      <c r="B894" s="10" t="str">
        <f>_xlfn.XLOOKUP(A894, Sheet4!A:A, Sheet4!C:C)</f>
        <v>FCC</v>
      </c>
      <c r="C894" s="10">
        <v>0</v>
      </c>
      <c r="D894" s="10">
        <f>_xlfn.XLOOKUP(A894, Sheet2!A:A, Sheet2!B:B)</f>
        <v>7.5751999999999997</v>
      </c>
      <c r="E894" s="10">
        <f>_xlfn.XLOOKUP(A894, Sheet1!A:A, Sheet1!G:G)</f>
        <v>-1</v>
      </c>
      <c r="F894" s="10">
        <f t="shared" si="13"/>
        <v>0</v>
      </c>
      <c r="G894" cm="1">
        <f t="array" ref="G894:J894">_xlfn.XLOOKUP(A894, Sheet1!A:A, Sheet1!C:F)</f>
        <v>21.4</v>
      </c>
      <c r="H894">
        <v>16.5</v>
      </c>
      <c r="I894">
        <v>22.2</v>
      </c>
      <c r="J894">
        <v>27.2</v>
      </c>
    </row>
    <row r="895" spans="1:10" x14ac:dyDescent="0.3">
      <c r="A895" t="str" cm="1">
        <f t="array" ref="A895">IF(ROW()&lt;=COUNTA(Sheet1!A:A), INDEX(Sheet1!A:A, ROW()),
INDEX(Sheet4!A:A, ROW()-COUNTA(Sheet1!A:A)))</f>
        <v>Al12.881Cr16.389Fe24.17Co22.435Ni24.126</v>
      </c>
      <c r="B895" s="10">
        <f>_xlfn.XLOOKUP(A895, Sheet4!A:A, Sheet4!C:C)</f>
        <v>0</v>
      </c>
      <c r="C895" s="10">
        <v>-1</v>
      </c>
      <c r="D895" s="10">
        <f>_xlfn.XLOOKUP(A895, Sheet2!A:A, Sheet2!B:B)</f>
        <v>7.7350000000000003</v>
      </c>
      <c r="E895" s="10">
        <f>_xlfn.XLOOKUP(A895, Sheet1!A:A, Sheet1!G:G)</f>
        <v>-1</v>
      </c>
      <c r="F895" s="10">
        <f t="shared" si="13"/>
        <v>-1</v>
      </c>
      <c r="G895" cm="1">
        <f t="array" ref="G895:J895">_xlfn.XLOOKUP(A895, Sheet1!A:A, Sheet1!C:F)</f>
        <v>25.1</v>
      </c>
      <c r="H895">
        <v>13.2</v>
      </c>
      <c r="I895">
        <v>17.5</v>
      </c>
      <c r="J895">
        <v>31.4</v>
      </c>
    </row>
    <row r="896" spans="1:10" x14ac:dyDescent="0.3">
      <c r="A896" t="str" cm="1">
        <f t="array" ref="A896">IF(ROW()&lt;=COUNTA(Sheet1!A:A), INDEX(Sheet1!A:A, ROW()),
INDEX(Sheet4!A:A, ROW()-COUNTA(Sheet1!A:A)))</f>
        <v>Al12.886Cr14.779Fe19.678Co23.273Ni29.385</v>
      </c>
      <c r="B896" s="10">
        <f>_xlfn.XLOOKUP(A896, Sheet4!A:A, Sheet4!C:C)</f>
        <v>0</v>
      </c>
      <c r="C896" s="10">
        <v>-1</v>
      </c>
      <c r="D896" s="10">
        <f>_xlfn.XLOOKUP(A896, Sheet2!A:A, Sheet2!B:B)</f>
        <v>7.8806000000000003</v>
      </c>
      <c r="E896" s="10">
        <f>_xlfn.XLOOKUP(A896, Sheet1!A:A, Sheet1!G:G)</f>
        <v>-1</v>
      </c>
      <c r="F896" s="10">
        <f t="shared" si="13"/>
        <v>-1</v>
      </c>
      <c r="G896" cm="1">
        <f t="array" ref="G896:J896">_xlfn.XLOOKUP(A896, Sheet1!A:A, Sheet1!C:F)</f>
        <v>25.076000000000001</v>
      </c>
      <c r="H896">
        <v>13.239000000000001</v>
      </c>
      <c r="I896">
        <v>17.497</v>
      </c>
      <c r="J896">
        <v>31.37</v>
      </c>
    </row>
    <row r="897" spans="1:10" x14ac:dyDescent="0.3">
      <c r="A897" t="str" cm="1">
        <f t="array" ref="A897">IF(ROW()&lt;=COUNTA(Sheet1!A:A), INDEX(Sheet1!A:A, ROW()),
INDEX(Sheet4!A:A, ROW()-COUNTA(Sheet1!A:A)))</f>
        <v>Al12.9Cr14.8Fe19.7Co23.3Ni29.4</v>
      </c>
      <c r="B897" s="10">
        <f>_xlfn.XLOOKUP(A897, Sheet4!A:A, Sheet4!C:C)</f>
        <v>0</v>
      </c>
      <c r="C897" s="10">
        <v>-1</v>
      </c>
      <c r="D897" s="10">
        <f>_xlfn.XLOOKUP(A897, Sheet2!A:A, Sheet2!B:B)</f>
        <v>7.8800999999999997</v>
      </c>
      <c r="E897" s="10">
        <f>_xlfn.XLOOKUP(A897, Sheet1!A:A, Sheet1!G:G)</f>
        <v>-1</v>
      </c>
      <c r="F897" s="10">
        <f t="shared" si="13"/>
        <v>-1</v>
      </c>
      <c r="G897" cm="1">
        <f t="array" ref="G897:J897">_xlfn.XLOOKUP(A897, Sheet1!A:A, Sheet1!C:F)</f>
        <v>21.356999999999999</v>
      </c>
      <c r="H897">
        <v>16.457999999999998</v>
      </c>
      <c r="I897">
        <v>22.17</v>
      </c>
      <c r="J897">
        <v>27.175000000000001</v>
      </c>
    </row>
    <row r="898" spans="1:10" x14ac:dyDescent="0.3">
      <c r="A898" t="str" cm="1">
        <f t="array" ref="A898">IF(ROW()&lt;=COUNTA(Sheet1!A:A), INDEX(Sheet1!A:A, ROW()),
INDEX(Sheet4!A:A, ROW()-COUNTA(Sheet1!A:A)))</f>
        <v>Al12.9Cr16.4Fe24.2Co22.4Ni24.1</v>
      </c>
      <c r="B898" s="10">
        <f>_xlfn.XLOOKUP(A898, Sheet4!A:A, Sheet4!C:C)</f>
        <v>0</v>
      </c>
      <c r="C898" s="10">
        <v>-1</v>
      </c>
      <c r="D898" s="10">
        <f>_xlfn.XLOOKUP(A898, Sheet2!A:A, Sheet2!B:B)</f>
        <v>7.7329999999999997</v>
      </c>
      <c r="E898" s="10">
        <f>_xlfn.XLOOKUP(A898, Sheet1!A:A, Sheet1!G:G)</f>
        <v>-1</v>
      </c>
      <c r="F898" s="10">
        <f t="shared" si="13"/>
        <v>-1</v>
      </c>
      <c r="G898" cm="1">
        <f t="array" ref="G898:J898">_xlfn.XLOOKUP(A898, Sheet1!A:A, Sheet1!C:F)</f>
        <v>21.786492370000001</v>
      </c>
      <c r="H898">
        <v>21.786492370000001</v>
      </c>
      <c r="I898">
        <v>21.786492370000001</v>
      </c>
      <c r="J898">
        <v>21.786492370000001</v>
      </c>
    </row>
    <row r="899" spans="1:10" x14ac:dyDescent="0.3">
      <c r="A899" t="str" cm="1">
        <f t="array" ref="A899">IF(ROW()&lt;=COUNTA(Sheet1!A:A), INDEX(Sheet1!A:A, ROW()),
INDEX(Sheet4!A:A, ROW()-COUNTA(Sheet1!A:A)))</f>
        <v>Al13Cr23.5Fe20Co20Ni23.5</v>
      </c>
      <c r="B899" s="10">
        <f>_xlfn.XLOOKUP(A899, Sheet4!A:A, Sheet4!C:C)</f>
        <v>0</v>
      </c>
      <c r="C899" s="10">
        <v>-1</v>
      </c>
      <c r="D899" s="10">
        <f>_xlfn.XLOOKUP(A899, Sheet2!A:A, Sheet2!B:B)</f>
        <v>7.55</v>
      </c>
      <c r="E899" s="10">
        <f>_xlfn.XLOOKUP(A899, Sheet1!A:A, Sheet1!G:G)</f>
        <v>-1</v>
      </c>
      <c r="F899" s="10">
        <f t="shared" ref="F899:F962" si="14">IF(OR(C899=1, E899=1), 1,
   IF(OR(C899=0, E899=0), 0,
      -1))</f>
        <v>-1</v>
      </c>
      <c r="G899" cm="1">
        <f t="array" ref="G899:J899">_xlfn.XLOOKUP(A899, Sheet1!A:A, Sheet1!C:F)</f>
        <v>22.434999999999999</v>
      </c>
      <c r="H899">
        <v>16.388999999999999</v>
      </c>
      <c r="I899">
        <v>24.17</v>
      </c>
      <c r="J899">
        <v>24.126000000000001</v>
      </c>
    </row>
    <row r="900" spans="1:10" x14ac:dyDescent="0.3">
      <c r="A900" t="str" cm="1">
        <f t="array" ref="A900">IF(ROW()&lt;=COUNTA(Sheet1!A:A), INDEX(Sheet1!A:A, ROW()),
INDEX(Sheet4!A:A, ROW()-COUNTA(Sheet1!A:A)))</f>
        <v>Al13Co21.74Cr21.74Fe21.74Ni21.74</v>
      </c>
      <c r="B900" s="10" t="str">
        <f>_xlfn.XLOOKUP(A900, Sheet4!A:A, Sheet4!C:C)</f>
        <v>FCC+BCC</v>
      </c>
      <c r="C900" s="10">
        <v>-1</v>
      </c>
      <c r="D900" s="10">
        <f>_xlfn.XLOOKUP(A900, Sheet2!A:A, Sheet2!B:B)</f>
        <v>7.5671999999999997</v>
      </c>
      <c r="E900" s="10">
        <f>_xlfn.XLOOKUP(A900, Sheet1!A:A, Sheet1!G:G)</f>
        <v>-1</v>
      </c>
      <c r="F900" s="10">
        <f t="shared" si="14"/>
        <v>-1</v>
      </c>
      <c r="G900" cm="1">
        <f t="array" ref="G900:J900">_xlfn.XLOOKUP(A900, Sheet1!A:A, Sheet1!C:F)</f>
        <v>23.273</v>
      </c>
      <c r="H900">
        <v>14.779</v>
      </c>
      <c r="I900">
        <v>19.678000000000001</v>
      </c>
      <c r="J900">
        <v>29.385000000000002</v>
      </c>
    </row>
    <row r="901" spans="1:10" x14ac:dyDescent="0.3">
      <c r="A901" t="str" cm="1">
        <f t="array" ref="A901">IF(ROW()&lt;=COUNTA(Sheet1!A:A), INDEX(Sheet1!A:A, ROW()),
INDEX(Sheet4!A:A, ROW()-COUNTA(Sheet1!A:A)))</f>
        <v>Al0.6CoCrFeNi</v>
      </c>
      <c r="B901" s="10" t="str">
        <f>_xlfn.XLOOKUP(A901, Sheet4!A:A, Sheet4!C:C)</f>
        <v>FCC</v>
      </c>
      <c r="C901" s="10">
        <v>0</v>
      </c>
      <c r="D901" s="10">
        <f>_xlfn.XLOOKUP(A901, Sheet2!A:A, Sheet2!B:B)</f>
        <v>7.5651999999999999</v>
      </c>
      <c r="E901" s="10">
        <f>_xlfn.XLOOKUP(A901, Sheet1!A:A, Sheet1!G:G)</f>
        <v>-1</v>
      </c>
      <c r="F901" s="10">
        <f t="shared" si="14"/>
        <v>0</v>
      </c>
      <c r="G901" cm="1">
        <f t="array" ref="G901:J901">_xlfn.XLOOKUP(A901, Sheet1!A:A, Sheet1!C:F)</f>
        <v>23.3</v>
      </c>
      <c r="H901">
        <v>14.8</v>
      </c>
      <c r="I901">
        <v>19.7</v>
      </c>
      <c r="J901">
        <v>29.4</v>
      </c>
    </row>
    <row r="902" spans="1:10" x14ac:dyDescent="0.3">
      <c r="A902" t="str" cm="1">
        <f t="array" ref="A902">IF(ROW()&lt;=COUNTA(Sheet1!A:A), INDEX(Sheet1!A:A, ROW()),
INDEX(Sheet4!A:A, ROW()-COUNTA(Sheet1!A:A)))</f>
        <v>Al0.6CoCrFeNi</v>
      </c>
      <c r="B902" s="10" t="str">
        <f>_xlfn.XLOOKUP(A902, Sheet4!A:A, Sheet4!C:C)</f>
        <v>FCC</v>
      </c>
      <c r="C902" s="10">
        <v>0</v>
      </c>
      <c r="D902" s="10">
        <f>_xlfn.XLOOKUP(A902, Sheet2!A:A, Sheet2!B:B)</f>
        <v>7.5651999999999999</v>
      </c>
      <c r="E902" s="10">
        <f>_xlfn.XLOOKUP(A902, Sheet1!A:A, Sheet1!G:G)</f>
        <v>-1</v>
      </c>
      <c r="F902" s="10">
        <f t="shared" si="14"/>
        <v>0</v>
      </c>
      <c r="G902" cm="1">
        <f t="array" ref="G902:J902">_xlfn.XLOOKUP(A902, Sheet1!A:A, Sheet1!C:F)</f>
        <v>23.3</v>
      </c>
      <c r="H902">
        <v>14.8</v>
      </c>
      <c r="I902">
        <v>19.7</v>
      </c>
      <c r="J902">
        <v>29.4</v>
      </c>
    </row>
    <row r="903" spans="1:10" x14ac:dyDescent="0.3">
      <c r="A903" t="str" cm="1">
        <f t="array" ref="A903">IF(ROW()&lt;=COUNTA(Sheet1!A:A), INDEX(Sheet1!A:A, ROW()),
INDEX(Sheet4!A:A, ROW()-COUNTA(Sheet1!A:A)))</f>
        <v>Al13.252Cr16.989Fe20.621Co23.772Ni25.366</v>
      </c>
      <c r="B903" s="10">
        <f>_xlfn.XLOOKUP(A903, Sheet4!A:A, Sheet4!C:C)</f>
        <v>0</v>
      </c>
      <c r="C903" s="10">
        <v>-1</v>
      </c>
      <c r="D903" s="10">
        <f>_xlfn.XLOOKUP(A903, Sheet2!A:A, Sheet2!B:B)</f>
        <v>7.7427000000000001</v>
      </c>
      <c r="E903" s="10">
        <f>_xlfn.XLOOKUP(A903, Sheet1!A:A, Sheet1!G:G)</f>
        <v>-1</v>
      </c>
      <c r="F903" s="10">
        <f t="shared" si="14"/>
        <v>-1</v>
      </c>
      <c r="G903" cm="1">
        <f t="array" ref="G903:J903">_xlfn.XLOOKUP(A903, Sheet1!A:A, Sheet1!C:F)</f>
        <v>22.4</v>
      </c>
      <c r="H903">
        <v>16.399999999999999</v>
      </c>
      <c r="I903">
        <v>24.2</v>
      </c>
      <c r="J903">
        <v>24.1</v>
      </c>
    </row>
    <row r="904" spans="1:10" x14ac:dyDescent="0.3">
      <c r="A904" t="str" cm="1">
        <f t="array" ref="A904">IF(ROW()&lt;=COUNTA(Sheet1!A:A), INDEX(Sheet1!A:A, ROW()),
INDEX(Sheet4!A:A, ROW()-COUNTA(Sheet1!A:A)))</f>
        <v>Al13.3Cr17Fe20.6Co23.8Ni25.4</v>
      </c>
      <c r="B904" s="10">
        <f>_xlfn.XLOOKUP(A904, Sheet4!A:A, Sheet4!C:C)</f>
        <v>0</v>
      </c>
      <c r="C904" s="10">
        <v>-1</v>
      </c>
      <c r="D904" s="10">
        <f>_xlfn.XLOOKUP(A904, Sheet2!A:A, Sheet2!B:B)</f>
        <v>7.7412999999999998</v>
      </c>
      <c r="E904" s="10">
        <f>_xlfn.XLOOKUP(A904, Sheet1!A:A, Sheet1!G:G)</f>
        <v>-1</v>
      </c>
      <c r="F904" s="10">
        <f t="shared" si="14"/>
        <v>-1</v>
      </c>
      <c r="G904" cm="1">
        <f t="array" ref="G904:J904">_xlfn.XLOOKUP(A904, Sheet1!A:A, Sheet1!C:F)</f>
        <v>20</v>
      </c>
      <c r="H904">
        <v>23.5</v>
      </c>
      <c r="I904">
        <v>20</v>
      </c>
      <c r="J904">
        <v>23.5</v>
      </c>
    </row>
    <row r="905" spans="1:10" x14ac:dyDescent="0.3">
      <c r="A905" t="str" cm="1">
        <f t="array" ref="A905">IF(ROW()&lt;=COUNTA(Sheet1!A:A), INDEX(Sheet1!A:A, ROW()),
INDEX(Sheet4!A:A, ROW()-COUNTA(Sheet1!A:A)))</f>
        <v>Al13.3Cr17.8Fe12.5Co27.5Ni29</v>
      </c>
      <c r="B905" s="10">
        <f>_xlfn.XLOOKUP(A905, Sheet4!A:A, Sheet4!C:C)</f>
        <v>0</v>
      </c>
      <c r="C905" s="10">
        <v>-1</v>
      </c>
      <c r="D905" s="10">
        <f>_xlfn.XLOOKUP(A905, Sheet2!A:A, Sheet2!B:B)</f>
        <v>7.8342000000000001</v>
      </c>
      <c r="E905" s="10">
        <f>_xlfn.XLOOKUP(A905, Sheet1!A:A, Sheet1!G:G)</f>
        <v>-1</v>
      </c>
      <c r="F905" s="10">
        <f t="shared" si="14"/>
        <v>-1</v>
      </c>
      <c r="G905" cm="1">
        <f t="array" ref="G905:J905">_xlfn.XLOOKUP(A905, Sheet1!A:A, Sheet1!C:F)</f>
        <v>21.74</v>
      </c>
      <c r="H905">
        <v>21.74</v>
      </c>
      <c r="I905">
        <v>21.74</v>
      </c>
      <c r="J905">
        <v>21.74</v>
      </c>
    </row>
    <row r="906" spans="1:10" x14ac:dyDescent="0.3">
      <c r="A906" t="str" cm="1">
        <f t="array" ref="A906">IF(ROW()&lt;=COUNTA(Sheet1!A:A), INDEX(Sheet1!A:A, ROW()),
INDEX(Sheet4!A:A, ROW()-COUNTA(Sheet1!A:A)))</f>
        <v>Al13.289Cr17.754Fe12.462Co27.477Ni29.018</v>
      </c>
      <c r="B906" s="10">
        <f>_xlfn.XLOOKUP(A906, Sheet4!A:A, Sheet4!C:C)</f>
        <v>0</v>
      </c>
      <c r="C906" s="10">
        <v>-1</v>
      </c>
      <c r="D906" s="10">
        <f>_xlfn.XLOOKUP(A906, Sheet2!A:A, Sheet2!B:B)</f>
        <v>7.8356000000000003</v>
      </c>
      <c r="E906" s="10">
        <f>_xlfn.XLOOKUP(A906, Sheet1!A:A, Sheet1!G:G)</f>
        <v>-1</v>
      </c>
      <c r="F906" s="10">
        <f t="shared" si="14"/>
        <v>-1</v>
      </c>
      <c r="G906" cm="1">
        <f t="array" ref="G906:J906">_xlfn.XLOOKUP(A906, Sheet1!A:A, Sheet1!C:F)</f>
        <v>21.739130429999999</v>
      </c>
      <c r="H906">
        <v>21.739130429999999</v>
      </c>
      <c r="I906">
        <v>21.739130429999999</v>
      </c>
      <c r="J906">
        <v>21.739130429999999</v>
      </c>
    </row>
    <row r="907" spans="1:10" x14ac:dyDescent="0.3">
      <c r="A907" t="str" cm="1">
        <f t="array" ref="A907">IF(ROW()&lt;=COUNTA(Sheet1!A:A), INDEX(Sheet1!A:A, ROW()),
INDEX(Sheet4!A:A, ROW()-COUNTA(Sheet1!A:A)))</f>
        <v>Al13.3Cr17.7Fe10.5Co28.5Ni30</v>
      </c>
      <c r="B907" s="10">
        <f>_xlfn.XLOOKUP(A907, Sheet4!A:A, Sheet4!C:C)</f>
        <v>0</v>
      </c>
      <c r="C907" s="10">
        <v>-1</v>
      </c>
      <c r="D907" s="10">
        <f>_xlfn.XLOOKUP(A907, Sheet2!A:A, Sheet2!B:B)</f>
        <v>7.8659999999999997</v>
      </c>
      <c r="E907" s="10">
        <f>_xlfn.XLOOKUP(A907, Sheet1!A:A, Sheet1!G:G)</f>
        <v>-1</v>
      </c>
      <c r="F907" s="10">
        <f t="shared" si="14"/>
        <v>-1</v>
      </c>
      <c r="G907" cm="1">
        <f t="array" ref="G907:J907">_xlfn.XLOOKUP(A907, Sheet1!A:A, Sheet1!C:F)</f>
        <v>21.739130429999999</v>
      </c>
      <c r="H907">
        <v>21.739130429999999</v>
      </c>
      <c r="I907">
        <v>21.739130429999999</v>
      </c>
      <c r="J907">
        <v>21.739130429999999</v>
      </c>
    </row>
    <row r="908" spans="1:10" x14ac:dyDescent="0.3">
      <c r="A908" t="str" cm="1">
        <f t="array" ref="A908">IF(ROW()&lt;=COUNTA(Sheet1!A:A), INDEX(Sheet1!A:A, ROW()),
INDEX(Sheet4!A:A, ROW()-COUNTA(Sheet1!A:A)))</f>
        <v>Al13.301Cr17.708Fe10.49Co28.537Ni29.964</v>
      </c>
      <c r="B908" s="10">
        <f>_xlfn.XLOOKUP(A908, Sheet4!A:A, Sheet4!C:C)</f>
        <v>0</v>
      </c>
      <c r="C908" s="10">
        <v>-1</v>
      </c>
      <c r="D908" s="10">
        <f>_xlfn.XLOOKUP(A908, Sheet2!A:A, Sheet2!B:B)</f>
        <v>7.8654000000000002</v>
      </c>
      <c r="E908" s="10">
        <f>_xlfn.XLOOKUP(A908, Sheet1!A:A, Sheet1!G:G)</f>
        <v>-1</v>
      </c>
      <c r="F908" s="10">
        <f t="shared" si="14"/>
        <v>-1</v>
      </c>
      <c r="G908" cm="1">
        <f t="array" ref="G908:J908">_xlfn.XLOOKUP(A908, Sheet1!A:A, Sheet1!C:F)</f>
        <v>23.771999999999998</v>
      </c>
      <c r="H908">
        <v>16.989000000000001</v>
      </c>
      <c r="I908">
        <v>20.620999999999999</v>
      </c>
      <c r="J908">
        <v>25.366</v>
      </c>
    </row>
    <row r="909" spans="1:10" x14ac:dyDescent="0.3">
      <c r="A909" t="str" cm="1">
        <f t="array" ref="A909">IF(ROW()&lt;=COUNTA(Sheet1!A:A), INDEX(Sheet1!A:A, ROW()),
INDEX(Sheet4!A:A, ROW()-COUNTA(Sheet1!A:A)))</f>
        <v>Al13.3Cr17.4Fe14.7Co26.5Ni28</v>
      </c>
      <c r="B909" s="10">
        <f>_xlfn.XLOOKUP(A909, Sheet4!A:A, Sheet4!C:C)</f>
        <v>0</v>
      </c>
      <c r="C909" s="10">
        <v>-1</v>
      </c>
      <c r="D909" s="10">
        <f>_xlfn.XLOOKUP(A909, Sheet2!A:A, Sheet2!B:B)</f>
        <v>7.8117999999999999</v>
      </c>
      <c r="E909" s="10">
        <f>_xlfn.XLOOKUP(A909, Sheet1!A:A, Sheet1!G:G)</f>
        <v>-1</v>
      </c>
      <c r="F909" s="10">
        <f t="shared" si="14"/>
        <v>-1</v>
      </c>
      <c r="G909" cm="1">
        <f t="array" ref="G909:J909">_xlfn.XLOOKUP(A909, Sheet1!A:A, Sheet1!C:F)</f>
        <v>23.8</v>
      </c>
      <c r="H909">
        <v>17</v>
      </c>
      <c r="I909">
        <v>20.6</v>
      </c>
      <c r="J909">
        <v>25.4</v>
      </c>
    </row>
    <row r="910" spans="1:10" x14ac:dyDescent="0.3">
      <c r="A910" t="str" cm="1">
        <f t="array" ref="A910">IF(ROW()&lt;=COUNTA(Sheet1!A:A), INDEX(Sheet1!A:A, ROW()),
INDEX(Sheet4!A:A, ROW()-COUNTA(Sheet1!A:A)))</f>
        <v>Al13.322Cr17.421Fe14.715Co26.519Ni28.023</v>
      </c>
      <c r="B910" s="10">
        <f>_xlfn.XLOOKUP(A910, Sheet4!A:A, Sheet4!C:C)</f>
        <v>0</v>
      </c>
      <c r="C910" s="10">
        <v>-1</v>
      </c>
      <c r="D910" s="10">
        <f>_xlfn.XLOOKUP(A910, Sheet2!A:A, Sheet2!B:B)</f>
        <v>7.8110999999999997</v>
      </c>
      <c r="E910" s="10">
        <f>_xlfn.XLOOKUP(A910, Sheet1!A:A, Sheet1!G:G)</f>
        <v>-1</v>
      </c>
      <c r="F910" s="10">
        <f t="shared" si="14"/>
        <v>-1</v>
      </c>
      <c r="G910" cm="1">
        <f t="array" ref="G910:J910">_xlfn.XLOOKUP(A910, Sheet1!A:A, Sheet1!C:F)</f>
        <v>27.5</v>
      </c>
      <c r="H910">
        <v>17.8</v>
      </c>
      <c r="I910">
        <v>12.5</v>
      </c>
      <c r="J910">
        <v>29</v>
      </c>
    </row>
    <row r="911" spans="1:10" x14ac:dyDescent="0.3">
      <c r="A911" t="str" cm="1">
        <f t="array" ref="A911">IF(ROW()&lt;=COUNTA(Sheet1!A:A), INDEX(Sheet1!A:A, ROW()),
INDEX(Sheet4!A:A, ROW()-COUNTA(Sheet1!A:A)))</f>
        <v>Al13.379Cr17.516Fe7.6821Co30.133Ni31.29</v>
      </c>
      <c r="B911" s="10">
        <f>_xlfn.XLOOKUP(A911, Sheet4!A:A, Sheet4!C:C)</f>
        <v>0</v>
      </c>
      <c r="C911" s="10">
        <v>-1</v>
      </c>
      <c r="D911" s="10">
        <f>_xlfn.XLOOKUP(A911, Sheet2!A:A, Sheet2!B:B)</f>
        <v>7.9078999999999997</v>
      </c>
      <c r="E911" s="10">
        <f>_xlfn.XLOOKUP(A911, Sheet1!A:A, Sheet1!G:G)</f>
        <v>-1</v>
      </c>
      <c r="F911" s="10">
        <f t="shared" si="14"/>
        <v>-1</v>
      </c>
      <c r="G911" cm="1">
        <f t="array" ref="G911:J911">_xlfn.XLOOKUP(A911, Sheet1!A:A, Sheet1!C:F)</f>
        <v>27.477</v>
      </c>
      <c r="H911">
        <v>17.754000000000001</v>
      </c>
      <c r="I911">
        <v>12.462</v>
      </c>
      <c r="J911">
        <v>29.018000000000001</v>
      </c>
    </row>
    <row r="912" spans="1:10" x14ac:dyDescent="0.3">
      <c r="A912" t="str" cm="1">
        <f t="array" ref="A912">IF(ROW()&lt;=COUNTA(Sheet1!A:A), INDEX(Sheet1!A:A, ROW()),
INDEX(Sheet4!A:A, ROW()-COUNTA(Sheet1!A:A)))</f>
        <v>Al13.4Cr17.5Fe7.7Co30.1Ni31.3</v>
      </c>
      <c r="B912" s="10">
        <f>_xlfn.XLOOKUP(A912, Sheet4!A:A, Sheet4!C:C)</f>
        <v>0</v>
      </c>
      <c r="C912" s="10">
        <v>-1</v>
      </c>
      <c r="D912" s="10">
        <f>_xlfn.XLOOKUP(A912, Sheet2!A:A, Sheet2!B:B)</f>
        <v>7.907</v>
      </c>
      <c r="E912" s="10">
        <f>_xlfn.XLOOKUP(A912, Sheet1!A:A, Sheet1!G:G)</f>
        <v>-1</v>
      </c>
      <c r="F912" s="10">
        <f t="shared" si="14"/>
        <v>-1</v>
      </c>
      <c r="G912" cm="1">
        <f t="array" ref="G912:J912">_xlfn.XLOOKUP(A912, Sheet1!A:A, Sheet1!C:F)</f>
        <v>28.5</v>
      </c>
      <c r="H912">
        <v>17.7</v>
      </c>
      <c r="I912">
        <v>10.5</v>
      </c>
      <c r="J912">
        <v>30</v>
      </c>
    </row>
    <row r="913" spans="1:10" x14ac:dyDescent="0.3">
      <c r="A913" t="str" cm="1">
        <f t="array" ref="A913">IF(ROW()&lt;=COUNTA(Sheet1!A:A), INDEX(Sheet1!A:A, ROW()),
INDEX(Sheet4!A:A, ROW()-COUNTA(Sheet1!A:A)))</f>
        <v>Al13.479Cr16.819Fe32.96Co17.792Ni18.949</v>
      </c>
      <c r="B913" s="10">
        <f>_xlfn.XLOOKUP(A913, Sheet4!A:A, Sheet4!C:C)</f>
        <v>0</v>
      </c>
      <c r="C913" s="10">
        <v>-1</v>
      </c>
      <c r="D913" s="10">
        <f>_xlfn.XLOOKUP(A913, Sheet2!A:A, Sheet2!B:B)</f>
        <v>7.5465999999999998</v>
      </c>
      <c r="E913" s="10">
        <f>_xlfn.XLOOKUP(A913, Sheet1!A:A, Sheet1!G:G)</f>
        <v>-1</v>
      </c>
      <c r="F913" s="10">
        <f t="shared" si="14"/>
        <v>-1</v>
      </c>
      <c r="G913" cm="1">
        <f t="array" ref="G913:J913">_xlfn.XLOOKUP(A913, Sheet1!A:A, Sheet1!C:F)</f>
        <v>28.536999999999999</v>
      </c>
      <c r="H913">
        <v>17.707999999999998</v>
      </c>
      <c r="I913">
        <v>10.49</v>
      </c>
      <c r="J913">
        <v>29.963999999999999</v>
      </c>
    </row>
    <row r="914" spans="1:10" x14ac:dyDescent="0.3">
      <c r="A914" t="str" cm="1">
        <f t="array" ref="A914">IF(ROW()&lt;=COUNTA(Sheet1!A:A), INDEX(Sheet1!A:A, ROW()),
INDEX(Sheet4!A:A, ROW()-COUNTA(Sheet1!A:A)))</f>
        <v>Al13.5Cr17.6Fe9Co29.3Ni30.7</v>
      </c>
      <c r="B914" s="10">
        <f>_xlfn.XLOOKUP(A914, Sheet4!A:A, Sheet4!C:C)</f>
        <v>0</v>
      </c>
      <c r="C914" s="10">
        <v>-1</v>
      </c>
      <c r="D914" s="10">
        <f>_xlfn.XLOOKUP(A914, Sheet2!A:A, Sheet2!B:B)</f>
        <v>7.8800999999999997</v>
      </c>
      <c r="E914" s="10">
        <f>_xlfn.XLOOKUP(A914, Sheet1!A:A, Sheet1!G:G)</f>
        <v>-1</v>
      </c>
      <c r="F914" s="10">
        <f t="shared" si="14"/>
        <v>-1</v>
      </c>
      <c r="G914" cm="1">
        <f t="array" ref="G914:J914">_xlfn.XLOOKUP(A914, Sheet1!A:A, Sheet1!C:F)</f>
        <v>26.5</v>
      </c>
      <c r="H914">
        <v>17.399999999999999</v>
      </c>
      <c r="I914">
        <v>14.7</v>
      </c>
      <c r="J914">
        <v>28</v>
      </c>
    </row>
    <row r="915" spans="1:10" x14ac:dyDescent="0.3">
      <c r="A915" t="str" cm="1">
        <f t="array" ref="A915">IF(ROW()&lt;=COUNTA(Sheet1!A:A), INDEX(Sheet1!A:A, ROW()),
INDEX(Sheet4!A:A, ROW()-COUNTA(Sheet1!A:A)))</f>
        <v>Al13.487Cr17.579Fe8.9655Co29.282Ni30.686</v>
      </c>
      <c r="B915" s="10">
        <f>_xlfn.XLOOKUP(A915, Sheet4!A:A, Sheet4!C:C)</f>
        <v>0</v>
      </c>
      <c r="C915" s="10">
        <v>-1</v>
      </c>
      <c r="D915" s="10">
        <f>_xlfn.XLOOKUP(A915, Sheet2!A:A, Sheet2!B:B)</f>
        <v>7.8806000000000003</v>
      </c>
      <c r="E915" s="10">
        <f>_xlfn.XLOOKUP(A915, Sheet1!A:A, Sheet1!G:G)</f>
        <v>-1</v>
      </c>
      <c r="F915" s="10">
        <f t="shared" si="14"/>
        <v>-1</v>
      </c>
      <c r="G915" cm="1">
        <f t="array" ref="G915:J915">_xlfn.XLOOKUP(A915, Sheet1!A:A, Sheet1!C:F)</f>
        <v>26.518999999999998</v>
      </c>
      <c r="H915">
        <v>17.420999999999999</v>
      </c>
      <c r="I915">
        <v>14.715</v>
      </c>
      <c r="J915">
        <v>28.023</v>
      </c>
    </row>
    <row r="916" spans="1:10" x14ac:dyDescent="0.3">
      <c r="A916" t="str" cm="1">
        <f t="array" ref="A916">IF(ROW()&lt;=COUNTA(Sheet1!A:A), INDEX(Sheet1!A:A, ROW()),
INDEX(Sheet4!A:A, ROW()-COUNTA(Sheet1!A:A)))</f>
        <v>Al13.5Cr16.8Fe33Co17.8Ni18.9</v>
      </c>
      <c r="B916" s="10">
        <f>_xlfn.XLOOKUP(A916, Sheet4!A:A, Sheet4!C:C)</f>
        <v>0</v>
      </c>
      <c r="C916" s="10">
        <v>-1</v>
      </c>
      <c r="D916" s="10">
        <f>_xlfn.XLOOKUP(A916, Sheet2!A:A, Sheet2!B:B)</f>
        <v>7.5449999999999999</v>
      </c>
      <c r="E916" s="10">
        <f>_xlfn.XLOOKUP(A916, Sheet1!A:A, Sheet1!G:G)</f>
        <v>-1</v>
      </c>
      <c r="F916" s="10">
        <f t="shared" si="14"/>
        <v>-1</v>
      </c>
      <c r="G916" cm="1">
        <f t="array" ref="G916:J916">_xlfn.XLOOKUP(A916, Sheet1!A:A, Sheet1!C:F)</f>
        <v>30.132999999999999</v>
      </c>
      <c r="H916">
        <v>17.515999999999998</v>
      </c>
      <c r="I916">
        <v>7.6821000000000002</v>
      </c>
      <c r="J916">
        <v>31.29</v>
      </c>
    </row>
    <row r="917" spans="1:10" x14ac:dyDescent="0.3">
      <c r="A917" t="str" cm="1">
        <f t="array" ref="A917">IF(ROW()&lt;=COUNTA(Sheet1!A:A), INDEX(Sheet1!A:A, ROW()),
INDEX(Sheet4!A:A, ROW()-COUNTA(Sheet1!A:A)))</f>
        <v>Al13.557Cr17.189Fe17.498Co24.99Ni26.766</v>
      </c>
      <c r="B917" s="10">
        <f>_xlfn.XLOOKUP(A917, Sheet4!A:A, Sheet4!C:C)</f>
        <v>0</v>
      </c>
      <c r="C917" s="10">
        <v>-1</v>
      </c>
      <c r="D917" s="10">
        <f>_xlfn.XLOOKUP(A917, Sheet2!A:A, Sheet2!B:B)</f>
        <v>7.7636000000000003</v>
      </c>
      <c r="E917" s="10">
        <f>_xlfn.XLOOKUP(A917, Sheet1!A:A, Sheet1!G:G)</f>
        <v>-1</v>
      </c>
      <c r="F917" s="10">
        <f t="shared" si="14"/>
        <v>-1</v>
      </c>
      <c r="G917" cm="1">
        <f t="array" ref="G917:J917">_xlfn.XLOOKUP(A917, Sheet1!A:A, Sheet1!C:F)</f>
        <v>30.1</v>
      </c>
      <c r="H917">
        <v>17.5</v>
      </c>
      <c r="I917">
        <v>7.7</v>
      </c>
      <c r="J917">
        <v>31.3</v>
      </c>
    </row>
    <row r="918" spans="1:10" x14ac:dyDescent="0.3">
      <c r="A918" t="str" cm="1">
        <f t="array" ref="A918">IF(ROW()&lt;=COUNTA(Sheet1!A:A), INDEX(Sheet1!A:A, ROW()),
INDEX(Sheet4!A:A, ROW()-COUNTA(Sheet1!A:A)))</f>
        <v>Al13.6Cr17.2Fe17.5Co25Ni26.8</v>
      </c>
      <c r="B918" s="10">
        <f>_xlfn.XLOOKUP(A918, Sheet4!A:A, Sheet4!C:C)</f>
        <v>0</v>
      </c>
      <c r="C918" s="10">
        <v>-1</v>
      </c>
      <c r="D918" s="10">
        <f>_xlfn.XLOOKUP(A918, Sheet2!A:A, Sheet2!B:B)</f>
        <v>7.7622</v>
      </c>
      <c r="E918" s="10">
        <f>_xlfn.XLOOKUP(A918, Sheet1!A:A, Sheet1!G:G)</f>
        <v>-1</v>
      </c>
      <c r="F918" s="10">
        <f t="shared" si="14"/>
        <v>-1</v>
      </c>
      <c r="G918" cm="1">
        <f t="array" ref="G918:J918">_xlfn.XLOOKUP(A918, Sheet1!A:A, Sheet1!C:F)</f>
        <v>17.792000000000002</v>
      </c>
      <c r="H918">
        <v>16.818999999999999</v>
      </c>
      <c r="I918">
        <v>32.96</v>
      </c>
      <c r="J918">
        <v>18.949000000000002</v>
      </c>
    </row>
    <row r="919" spans="1:10" x14ac:dyDescent="0.3">
      <c r="A919" t="str" cm="1">
        <f t="array" ref="A919">IF(ROW()&lt;=COUNTA(Sheet1!A:A), INDEX(Sheet1!A:A, ROW()),
INDEX(Sheet4!A:A, ROW()-COUNTA(Sheet1!A:A)))</f>
        <v>Al13.886Cr19.928Fe26.999Co17.344Ni21.844</v>
      </c>
      <c r="B919" s="10">
        <f>_xlfn.XLOOKUP(A919, Sheet4!A:A, Sheet4!C:C)</f>
        <v>0</v>
      </c>
      <c r="C919" s="10">
        <v>-1</v>
      </c>
      <c r="D919" s="10">
        <f>_xlfn.XLOOKUP(A919, Sheet2!A:A, Sheet2!B:B)</f>
        <v>7.5175000000000001</v>
      </c>
      <c r="E919" s="10">
        <f>_xlfn.XLOOKUP(A919, Sheet1!A:A, Sheet1!G:G)</f>
        <v>-1</v>
      </c>
      <c r="F919" s="10">
        <f t="shared" si="14"/>
        <v>-1</v>
      </c>
      <c r="G919" cm="1">
        <f t="array" ref="G919:J919">_xlfn.XLOOKUP(A919, Sheet1!A:A, Sheet1!C:F)</f>
        <v>29.3</v>
      </c>
      <c r="H919">
        <v>17.600000000000001</v>
      </c>
      <c r="I919">
        <v>9</v>
      </c>
      <c r="J919">
        <v>30.7</v>
      </c>
    </row>
    <row r="920" spans="1:10" x14ac:dyDescent="0.3">
      <c r="A920" t="str" cm="1">
        <f t="array" ref="A920">IF(ROW()&lt;=COUNTA(Sheet1!A:A), INDEX(Sheet1!A:A, ROW()),
INDEX(Sheet4!A:A, ROW()-COUNTA(Sheet1!A:A)))</f>
        <v>Al13.9Cr19.9Fe27Co17.3Ni21.8</v>
      </c>
      <c r="B920" s="10">
        <f>_xlfn.XLOOKUP(A920, Sheet4!A:A, Sheet4!C:C)</f>
        <v>0</v>
      </c>
      <c r="C920" s="10">
        <v>-1</v>
      </c>
      <c r="D920" s="10">
        <f>_xlfn.XLOOKUP(A920, Sheet2!A:A, Sheet2!B:B)</f>
        <v>7.5155000000000003</v>
      </c>
      <c r="E920" s="10">
        <f>_xlfn.XLOOKUP(A920, Sheet1!A:A, Sheet1!G:G)</f>
        <v>-1</v>
      </c>
      <c r="F920" s="10">
        <f t="shared" si="14"/>
        <v>-1</v>
      </c>
      <c r="G920" cm="1">
        <f t="array" ref="G920:J920">_xlfn.XLOOKUP(A920, Sheet1!A:A, Sheet1!C:F)</f>
        <v>29.282</v>
      </c>
      <c r="H920">
        <v>17.579000000000001</v>
      </c>
      <c r="I920">
        <v>8.9655000000000005</v>
      </c>
      <c r="J920">
        <v>30.686</v>
      </c>
    </row>
    <row r="921" spans="1:10" x14ac:dyDescent="0.3">
      <c r="A921" t="str" cm="1">
        <f t="array" ref="A921">IF(ROW()&lt;=COUNTA(Sheet1!A:A), INDEX(Sheet1!A:A, ROW()),
INDEX(Sheet4!A:A, ROW()-COUNTA(Sheet1!A:A)))</f>
        <v>Fe34Cr34Ni14Al14Co4</v>
      </c>
      <c r="B921" s="10" t="str">
        <f>_xlfn.XLOOKUP(A921, Sheet4!A:A, Sheet4!C:C)</f>
        <v>BCC+B2(ordered BCC)</v>
      </c>
      <c r="C921" s="10">
        <v>1</v>
      </c>
      <c r="D921" s="10">
        <f>_xlfn.XLOOKUP(A921, Sheet2!A:A, Sheet2!B:B)</f>
        <v>6.94</v>
      </c>
      <c r="E921" s="10">
        <f>_xlfn.XLOOKUP(A921, Sheet1!A:A, Sheet1!G:G)</f>
        <v>-1</v>
      </c>
      <c r="F921" s="10">
        <f t="shared" si="14"/>
        <v>1</v>
      </c>
      <c r="G921" cm="1">
        <f t="array" ref="G921:J921">_xlfn.XLOOKUP(A921, Sheet1!A:A, Sheet1!C:F)</f>
        <v>17.8</v>
      </c>
      <c r="H921">
        <v>16.8</v>
      </c>
      <c r="I921">
        <v>33</v>
      </c>
      <c r="J921">
        <v>18.899999999999999</v>
      </c>
    </row>
    <row r="922" spans="1:10" x14ac:dyDescent="0.3">
      <c r="A922" t="str" cm="1">
        <f t="array" ref="A922">IF(ROW()&lt;=COUNTA(Sheet1!A:A), INDEX(Sheet1!A:A, ROW()),
INDEX(Sheet4!A:A, ROW()-COUNTA(Sheet1!A:A)))</f>
        <v>Al14.18Cr17.818Fe28.374Co19.114Ni20.513</v>
      </c>
      <c r="B922" s="10">
        <f>_xlfn.XLOOKUP(A922, Sheet4!A:A, Sheet4!C:C)</f>
        <v>0</v>
      </c>
      <c r="C922" s="10">
        <v>-1</v>
      </c>
      <c r="D922" s="10">
        <f>_xlfn.XLOOKUP(A922, Sheet2!A:A, Sheet2!B:B)</f>
        <v>7.5359999999999996</v>
      </c>
      <c r="E922" s="10">
        <f>_xlfn.XLOOKUP(A922, Sheet1!A:A, Sheet1!G:G)</f>
        <v>-1</v>
      </c>
      <c r="F922" s="10">
        <f t="shared" si="14"/>
        <v>-1</v>
      </c>
      <c r="G922" cm="1">
        <f t="array" ref="G922:J922">_xlfn.XLOOKUP(A922, Sheet1!A:A, Sheet1!C:F)</f>
        <v>24.99</v>
      </c>
      <c r="H922">
        <v>17.189</v>
      </c>
      <c r="I922">
        <v>17.498000000000001</v>
      </c>
      <c r="J922">
        <v>26.765999999999998</v>
      </c>
    </row>
    <row r="923" spans="1:10" x14ac:dyDescent="0.3">
      <c r="A923" t="str" cm="1">
        <f t="array" ref="A923">IF(ROW()&lt;=COUNTA(Sheet1!A:A), INDEX(Sheet1!A:A, ROW()),
INDEX(Sheet4!A:A, ROW()-COUNTA(Sheet1!A:A)))</f>
        <v>Al14.2Cr17.8Fe28.4Co19.1Ni20.5</v>
      </c>
      <c r="B923" s="10">
        <f>_xlfn.XLOOKUP(A923, Sheet4!A:A, Sheet4!C:C)</f>
        <v>0</v>
      </c>
      <c r="C923" s="10">
        <v>-1</v>
      </c>
      <c r="D923" s="10">
        <f>_xlfn.XLOOKUP(A923, Sheet2!A:A, Sheet2!B:B)</f>
        <v>7.5350000000000001</v>
      </c>
      <c r="E923" s="10">
        <f>_xlfn.XLOOKUP(A923, Sheet1!A:A, Sheet1!G:G)</f>
        <v>-1</v>
      </c>
      <c r="F923" s="10">
        <f t="shared" si="14"/>
        <v>-1</v>
      </c>
      <c r="G923" cm="1">
        <f t="array" ref="G923:J923">_xlfn.XLOOKUP(A923, Sheet1!A:A, Sheet1!C:F)</f>
        <v>25</v>
      </c>
      <c r="H923">
        <v>17.2</v>
      </c>
      <c r="I923">
        <v>17.5</v>
      </c>
      <c r="J923">
        <v>26.8</v>
      </c>
    </row>
    <row r="924" spans="1:10" x14ac:dyDescent="0.3">
      <c r="A924" t="str" cm="1">
        <f t="array" ref="A924">IF(ROW()&lt;=COUNTA(Sheet1!A:A), INDEX(Sheet1!A:A, ROW()),
INDEX(Sheet4!A:A, ROW()-COUNTA(Sheet1!A:A)))</f>
        <v>AlCoCrFeNi3.0</v>
      </c>
      <c r="B924" s="10">
        <f>_xlfn.XLOOKUP(A924, Sheet4!A:A, Sheet4!C:C)</f>
        <v>0</v>
      </c>
      <c r="C924" s="10">
        <v>-1</v>
      </c>
      <c r="D924" s="10">
        <f>_xlfn.XLOOKUP(A924, Sheet2!A:A, Sheet2!B:B)</f>
        <v>8</v>
      </c>
      <c r="E924" s="10">
        <f>_xlfn.XLOOKUP(A924, Sheet1!A:A, Sheet1!G:G)</f>
        <v>-1</v>
      </c>
      <c r="F924" s="10">
        <f t="shared" si="14"/>
        <v>-1</v>
      </c>
      <c r="G924" cm="1">
        <f t="array" ref="G924:J924">_xlfn.XLOOKUP(A924, Sheet1!A:A, Sheet1!C:F)</f>
        <v>17.344000000000001</v>
      </c>
      <c r="H924">
        <v>19.928000000000001</v>
      </c>
      <c r="I924">
        <v>26.998999999999999</v>
      </c>
      <c r="J924">
        <v>21.844000000000001</v>
      </c>
    </row>
    <row r="925" spans="1:10" x14ac:dyDescent="0.3">
      <c r="A925" t="str" cm="1">
        <f t="array" ref="A925">IF(ROW()&lt;=COUNTA(Sheet1!A:A), INDEX(Sheet1!A:A, ROW()),
INDEX(Sheet4!A:A, ROW()-COUNTA(Sheet1!A:A)))</f>
        <v>AlCoCr2FeNi2</v>
      </c>
      <c r="B925" s="10">
        <f>_xlfn.XLOOKUP(A925, Sheet4!A:A, Sheet4!C:C)</f>
        <v>0</v>
      </c>
      <c r="C925" s="10">
        <v>-1</v>
      </c>
      <c r="D925" s="10">
        <f>_xlfn.XLOOKUP(A925, Sheet2!A:A, Sheet2!B:B)</f>
        <v>7.4286000000000003</v>
      </c>
      <c r="E925" s="10">
        <f>_xlfn.XLOOKUP(A925, Sheet1!A:A, Sheet1!G:G)</f>
        <v>-1</v>
      </c>
      <c r="F925" s="10">
        <f t="shared" si="14"/>
        <v>-1</v>
      </c>
      <c r="G925" cm="1">
        <f t="array" ref="G925:J925">_xlfn.XLOOKUP(A925, Sheet1!A:A, Sheet1!C:F)</f>
        <v>17.3</v>
      </c>
      <c r="H925">
        <v>19.899999999999999</v>
      </c>
      <c r="I925">
        <v>27</v>
      </c>
      <c r="J925">
        <v>21.8</v>
      </c>
    </row>
    <row r="926" spans="1:10" x14ac:dyDescent="0.3">
      <c r="A926" t="str" cm="1">
        <f t="array" ref="A926">IF(ROW()&lt;=COUNTA(Sheet1!A:A), INDEX(Sheet1!A:A, ROW()),
INDEX(Sheet4!A:A, ROW()-COUNTA(Sheet1!A:A)))</f>
        <v>Al0.85CoCrFeNi2.1</v>
      </c>
      <c r="B926" s="10">
        <f>_xlfn.XLOOKUP(A926, Sheet4!A:A, Sheet4!C:C)</f>
        <v>0</v>
      </c>
      <c r="C926" s="10">
        <v>-1</v>
      </c>
      <c r="D926" s="10">
        <f>_xlfn.XLOOKUP(A926, Sheet2!A:A, Sheet2!B:B)</f>
        <v>7.8235000000000001</v>
      </c>
      <c r="E926" s="10">
        <f>_xlfn.XLOOKUP(A926, Sheet1!A:A, Sheet1!G:G)</f>
        <v>-1</v>
      </c>
      <c r="F926" s="10">
        <f t="shared" si="14"/>
        <v>-1</v>
      </c>
      <c r="G926" cm="1">
        <f t="array" ref="G926:J926">_xlfn.XLOOKUP(A926, Sheet1!A:A, Sheet1!C:F)</f>
        <v>4</v>
      </c>
      <c r="H926">
        <v>34</v>
      </c>
      <c r="I926">
        <v>34</v>
      </c>
      <c r="J926">
        <v>14</v>
      </c>
    </row>
    <row r="927" spans="1:10" x14ac:dyDescent="0.3">
      <c r="A927" t="str" cm="1">
        <f t="array" ref="A927">IF(ROW()&lt;=COUNTA(Sheet1!A:A), INDEX(Sheet1!A:A, ROW()),
INDEX(Sheet4!A:A, ROW()-COUNTA(Sheet1!A:A)))</f>
        <v>Al15Co30Cr15Fe40Ni5</v>
      </c>
      <c r="B927" s="10">
        <f>_xlfn.XLOOKUP(A927, Sheet4!A:A, Sheet4!C:C)</f>
        <v>0</v>
      </c>
      <c r="C927" s="10">
        <v>-1</v>
      </c>
      <c r="D927" s="10">
        <f>_xlfn.XLOOKUP(A927, Sheet2!A:A, Sheet2!B:B)</f>
        <v>7.3810000000000002</v>
      </c>
      <c r="E927" s="10">
        <f>_xlfn.XLOOKUP(A927, Sheet1!A:A, Sheet1!G:G)</f>
        <v>-1</v>
      </c>
      <c r="F927" s="10">
        <f t="shared" si="14"/>
        <v>-1</v>
      </c>
      <c r="G927" cm="1">
        <f t="array" ref="G927:J927">_xlfn.XLOOKUP(A927, Sheet1!A:A, Sheet1!C:F)</f>
        <v>19.114000000000001</v>
      </c>
      <c r="H927">
        <v>17.818000000000001</v>
      </c>
      <c r="I927">
        <v>28.373999999999999</v>
      </c>
      <c r="J927">
        <v>20.513000000000002</v>
      </c>
    </row>
    <row r="928" spans="1:10" x14ac:dyDescent="0.3">
      <c r="A928" t="str" cm="1">
        <f t="array" ref="A928">IF(ROW()&lt;=COUNTA(Sheet1!A:A), INDEX(Sheet1!A:A, ROW()),
INDEX(Sheet4!A:A, ROW()-COUNTA(Sheet1!A:A)))</f>
        <v>Al14.3Cr18.1Fe24.6Co18.9Ni24.1</v>
      </c>
      <c r="B928" s="10">
        <f>_xlfn.XLOOKUP(A928, Sheet4!A:A, Sheet4!C:C)</f>
        <v>0</v>
      </c>
      <c r="C928" s="10">
        <v>-1</v>
      </c>
      <c r="D928" s="10">
        <f>_xlfn.XLOOKUP(A928, Sheet2!A:A, Sheet2!B:B)</f>
        <v>7.5940000000000003</v>
      </c>
      <c r="E928" s="10">
        <f>_xlfn.XLOOKUP(A928, Sheet1!A:A, Sheet1!G:G)</f>
        <v>-1</v>
      </c>
      <c r="F928" s="10">
        <f t="shared" si="14"/>
        <v>-1</v>
      </c>
      <c r="G928" cm="1">
        <f t="array" ref="G928:J928">_xlfn.XLOOKUP(A928, Sheet1!A:A, Sheet1!C:F)</f>
        <v>19.100000000000001</v>
      </c>
      <c r="H928">
        <v>17.8</v>
      </c>
      <c r="I928">
        <v>28.4</v>
      </c>
      <c r="J928">
        <v>20.5</v>
      </c>
    </row>
    <row r="929" spans="1:10" x14ac:dyDescent="0.3">
      <c r="A929" t="str" cm="1">
        <f t="array" ref="A929">IF(ROW()&lt;=COUNTA(Sheet1!A:A), INDEX(Sheet1!A:A, ROW()),
INDEX(Sheet4!A:A, ROW()-COUNTA(Sheet1!A:A)))</f>
        <v>Al14.321Cr18.079Fe24.613Co18.905Ni24.082</v>
      </c>
      <c r="B929" s="10">
        <f>_xlfn.XLOOKUP(A929, Sheet4!A:A, Sheet4!C:C)</f>
        <v>0</v>
      </c>
      <c r="C929" s="10">
        <v>-1</v>
      </c>
      <c r="D929" s="10">
        <f>_xlfn.XLOOKUP(A929, Sheet2!A:A, Sheet2!B:B)</f>
        <v>7.5930999999999997</v>
      </c>
      <c r="E929" s="10">
        <f>_xlfn.XLOOKUP(A929, Sheet1!A:A, Sheet1!G:G)</f>
        <v>-1</v>
      </c>
      <c r="F929" s="10">
        <f t="shared" si="14"/>
        <v>-1</v>
      </c>
      <c r="G929" cm="1">
        <f t="array" ref="G929:J929">_xlfn.XLOOKUP(A929, Sheet1!A:A, Sheet1!C:F)</f>
        <v>14.28571429</v>
      </c>
      <c r="H929">
        <v>14.28571429</v>
      </c>
      <c r="I929">
        <v>14.28571429</v>
      </c>
      <c r="J929">
        <v>42.857142860000003</v>
      </c>
    </row>
    <row r="930" spans="1:10" x14ac:dyDescent="0.3">
      <c r="A930" t="str" cm="1">
        <f t="array" ref="A930">IF(ROW()&lt;=COUNTA(Sheet1!A:A), INDEX(Sheet1!A:A, ROW()),
INDEX(Sheet4!A:A, ROW()-COUNTA(Sheet1!A:A)))</f>
        <v>Al14.497Cr18.628Fe24.345Co20.467Ni22.063</v>
      </c>
      <c r="B930" s="10">
        <f>_xlfn.XLOOKUP(A930, Sheet4!A:A, Sheet4!C:C)</f>
        <v>0</v>
      </c>
      <c r="C930" s="10">
        <v>-1</v>
      </c>
      <c r="D930" s="10">
        <f>_xlfn.XLOOKUP(A930, Sheet2!A:A, Sheet2!B:B)</f>
        <v>7.5484999999999998</v>
      </c>
      <c r="E930" s="10">
        <f>_xlfn.XLOOKUP(A930, Sheet1!A:A, Sheet1!G:G)</f>
        <v>-1</v>
      </c>
      <c r="F930" s="10">
        <f t="shared" si="14"/>
        <v>-1</v>
      </c>
      <c r="G930" cm="1">
        <f t="array" ref="G930:J930">_xlfn.XLOOKUP(A930, Sheet1!A:A, Sheet1!C:F)</f>
        <v>14.28571429</v>
      </c>
      <c r="H930">
        <v>28.571428569999998</v>
      </c>
      <c r="I930">
        <v>14.28571429</v>
      </c>
      <c r="J930">
        <v>28.571428569999998</v>
      </c>
    </row>
    <row r="931" spans="1:10" x14ac:dyDescent="0.3">
      <c r="A931" t="str" cm="1">
        <f t="array" ref="A931">IF(ROW()&lt;=COUNTA(Sheet1!A:A), INDEX(Sheet1!A:A, ROW()),
INDEX(Sheet4!A:A, ROW()-COUNTA(Sheet1!A:A)))</f>
        <v>Al14.5Cr18.6Fe24.3Co20.5Ni22.1</v>
      </c>
      <c r="B931" s="10">
        <f>_xlfn.XLOOKUP(A931, Sheet4!A:A, Sheet4!C:C)</f>
        <v>0</v>
      </c>
      <c r="C931" s="10">
        <v>-1</v>
      </c>
      <c r="D931" s="10">
        <f>_xlfn.XLOOKUP(A931, Sheet2!A:A, Sheet2!B:B)</f>
        <v>7.55</v>
      </c>
      <c r="E931" s="10">
        <f>_xlfn.XLOOKUP(A931, Sheet1!A:A, Sheet1!G:G)</f>
        <v>-1</v>
      </c>
      <c r="F931" s="10">
        <f t="shared" si="14"/>
        <v>-1</v>
      </c>
      <c r="G931" cm="1">
        <f t="array" ref="G931:J931">_xlfn.XLOOKUP(A931, Sheet1!A:A, Sheet1!C:F)</f>
        <v>16.806722690000001</v>
      </c>
      <c r="H931">
        <v>16.806722690000001</v>
      </c>
      <c r="I931">
        <v>16.806722690000001</v>
      </c>
      <c r="J931">
        <v>35.294117649999997</v>
      </c>
    </row>
    <row r="932" spans="1:10" x14ac:dyDescent="0.3">
      <c r="A932" t="str" cm="1">
        <f t="array" ref="A932">IF(ROW()&lt;=COUNTA(Sheet1!A:A), INDEX(Sheet1!A:A, ROW()),
INDEX(Sheet4!A:A, ROW()-COUNTA(Sheet1!A:A)))</f>
        <v>Al14.8Cr13.2Fe17.4Co24.3Ni30.4</v>
      </c>
      <c r="B932" s="10">
        <f>_xlfn.XLOOKUP(A932, Sheet4!A:A, Sheet4!C:C)</f>
        <v>0</v>
      </c>
      <c r="C932" s="10">
        <v>-1</v>
      </c>
      <c r="D932" s="10">
        <f>_xlfn.XLOOKUP(A932, Sheet2!A:A, Sheet2!B:B)</f>
        <v>7.8472</v>
      </c>
      <c r="E932" s="10">
        <f>_xlfn.XLOOKUP(A932, Sheet1!A:A, Sheet1!G:G)</f>
        <v>-1</v>
      </c>
      <c r="F932" s="10">
        <f t="shared" si="14"/>
        <v>-1</v>
      </c>
      <c r="G932" cm="1">
        <f t="array" ref="G932:J932">_xlfn.XLOOKUP(A932, Sheet1!A:A, Sheet1!C:F)</f>
        <v>30</v>
      </c>
      <c r="H932">
        <v>15</v>
      </c>
      <c r="I932">
        <v>40</v>
      </c>
      <c r="J932">
        <v>5</v>
      </c>
    </row>
    <row r="933" spans="1:10" x14ac:dyDescent="0.3">
      <c r="A933" t="str" cm="1">
        <f t="array" ref="A933">IF(ROW()&lt;=COUNTA(Sheet1!A:A), INDEX(Sheet1!A:A, ROW()),
INDEX(Sheet4!A:A, ROW()-COUNTA(Sheet1!A:A)))</f>
        <v>Al14.788Cr13.16Fe17.403Co24.252Ni30.397</v>
      </c>
      <c r="B933" s="10">
        <f>_xlfn.XLOOKUP(A933, Sheet4!A:A, Sheet4!C:C)</f>
        <v>0</v>
      </c>
      <c r="C933" s="10">
        <v>-1</v>
      </c>
      <c r="D933" s="10">
        <f>_xlfn.XLOOKUP(A933, Sheet2!A:A, Sheet2!B:B)</f>
        <v>7.8479000000000001</v>
      </c>
      <c r="E933" s="10">
        <f>_xlfn.XLOOKUP(A933, Sheet1!A:A, Sheet1!G:G)</f>
        <v>-1</v>
      </c>
      <c r="F933" s="10">
        <f t="shared" si="14"/>
        <v>-1</v>
      </c>
      <c r="G933" cm="1">
        <f t="array" ref="G933:J933">_xlfn.XLOOKUP(A933, Sheet1!A:A, Sheet1!C:F)</f>
        <v>18.899999999999999</v>
      </c>
      <c r="H933">
        <v>18.100000000000001</v>
      </c>
      <c r="I933">
        <v>24.6</v>
      </c>
      <c r="J933">
        <v>24.1</v>
      </c>
    </row>
    <row r="934" spans="1:10" x14ac:dyDescent="0.3">
      <c r="A934" t="str" cm="1">
        <f t="array" ref="A934">IF(ROW()&lt;=COUNTA(Sheet1!A:A), INDEX(Sheet1!A:A, ROW()),
INDEX(Sheet4!A:A, ROW()-COUNTA(Sheet1!A:A)))</f>
        <v>Al14.8Co21.3Cr21.3Fe21.3Ni21.3</v>
      </c>
      <c r="B934" s="10" t="str">
        <f>_xlfn.XLOOKUP(A934, Sheet4!A:A, Sheet4!C:C)</f>
        <v>BCC+FCC+B2(ordered BCC)</v>
      </c>
      <c r="C934" s="10">
        <v>1</v>
      </c>
      <c r="D934" s="10">
        <f>_xlfn.XLOOKUP(A934, Sheet2!A:A, Sheet2!B:B)</f>
        <v>7.4729999999999999</v>
      </c>
      <c r="E934" s="10">
        <f>_xlfn.XLOOKUP(A934, Sheet1!A:A, Sheet1!G:G)</f>
        <v>-1</v>
      </c>
      <c r="F934" s="10">
        <f t="shared" si="14"/>
        <v>1</v>
      </c>
      <c r="G934" cm="1">
        <f t="array" ref="G934:J934">_xlfn.XLOOKUP(A934, Sheet1!A:A, Sheet1!C:F)</f>
        <v>18.905000000000001</v>
      </c>
      <c r="H934">
        <v>18.079000000000001</v>
      </c>
      <c r="I934">
        <v>24.613</v>
      </c>
      <c r="J934">
        <v>24.082000000000001</v>
      </c>
    </row>
    <row r="935" spans="1:10" x14ac:dyDescent="0.3">
      <c r="A935" t="str" cm="1">
        <f t="array" ref="A935">IF(ROW()&lt;=COUNTA(Sheet1!A:A), INDEX(Sheet1!A:A, ROW()),
INDEX(Sheet4!A:A, ROW()-COUNTA(Sheet1!A:A)))</f>
        <v>Al14.8Co21.3Cr21.3Fe21.3Ni21.3</v>
      </c>
      <c r="B935" s="10" t="str">
        <f>_xlfn.XLOOKUP(A935, Sheet4!A:A, Sheet4!C:C)</f>
        <v>BCC+FCC+B2(ordered BCC)</v>
      </c>
      <c r="C935" s="10">
        <v>1</v>
      </c>
      <c r="D935" s="10">
        <f>_xlfn.XLOOKUP(A935, Sheet2!A:A, Sheet2!B:B)</f>
        <v>7.4729999999999999</v>
      </c>
      <c r="E935" s="10">
        <f>_xlfn.XLOOKUP(A935, Sheet1!A:A, Sheet1!G:G)</f>
        <v>-1</v>
      </c>
      <c r="F935" s="10">
        <f t="shared" si="14"/>
        <v>1</v>
      </c>
      <c r="G935" cm="1">
        <f t="array" ref="G935:J935">_xlfn.XLOOKUP(A935, Sheet1!A:A, Sheet1!C:F)</f>
        <v>18.905000000000001</v>
      </c>
      <c r="H935">
        <v>18.079000000000001</v>
      </c>
      <c r="I935">
        <v>24.613</v>
      </c>
      <c r="J935">
        <v>24.082000000000001</v>
      </c>
    </row>
    <row r="936" spans="1:10" x14ac:dyDescent="0.3">
      <c r="A936" t="str" cm="1">
        <f t="array" ref="A936">IF(ROW()&lt;=COUNTA(Sheet1!A:A), INDEX(Sheet1!A:A, ROW()),
INDEX(Sheet4!A:A, ROW()-COUNTA(Sheet1!A:A)))</f>
        <v>AlCoCrFeNi2.75</v>
      </c>
      <c r="B936" s="10">
        <f>_xlfn.XLOOKUP(A936, Sheet4!A:A, Sheet4!C:C)</f>
        <v>0</v>
      </c>
      <c r="C936" s="10">
        <v>-1</v>
      </c>
      <c r="D936" s="10">
        <f>_xlfn.XLOOKUP(A936, Sheet2!A:A, Sheet2!B:B)</f>
        <v>7.9259000000000004</v>
      </c>
      <c r="E936" s="10">
        <f>_xlfn.XLOOKUP(A936, Sheet1!A:A, Sheet1!G:G)</f>
        <v>-1</v>
      </c>
      <c r="F936" s="10">
        <f t="shared" si="14"/>
        <v>-1</v>
      </c>
      <c r="G936" cm="1">
        <f t="array" ref="G936:J936">_xlfn.XLOOKUP(A936, Sheet1!A:A, Sheet1!C:F)</f>
        <v>20.466999999999999</v>
      </c>
      <c r="H936">
        <v>18.628</v>
      </c>
      <c r="I936">
        <v>24.344999999999999</v>
      </c>
      <c r="J936">
        <v>22.062999999999999</v>
      </c>
    </row>
    <row r="937" spans="1:10" x14ac:dyDescent="0.3">
      <c r="A937" t="str" cm="1">
        <f t="array" ref="A937">IF(ROW()&lt;=COUNTA(Sheet1!A:A), INDEX(Sheet1!A:A, ROW()),
INDEX(Sheet4!A:A, ROW()-COUNTA(Sheet1!A:A)))</f>
        <v>Al14.8Cr14.8Fe19.6Co22.3Ni28.4</v>
      </c>
      <c r="B937" s="10">
        <f>_xlfn.XLOOKUP(A937, Sheet4!A:A, Sheet4!C:C)</f>
        <v>0</v>
      </c>
      <c r="C937" s="10">
        <v>-1</v>
      </c>
      <c r="D937" s="10">
        <f>_xlfn.XLOOKUP(A937, Sheet2!A:A, Sheet2!B:B)</f>
        <v>7.7548000000000004</v>
      </c>
      <c r="E937" s="10">
        <f>_xlfn.XLOOKUP(A937, Sheet1!A:A, Sheet1!G:G)</f>
        <v>-1</v>
      </c>
      <c r="F937" s="10">
        <f t="shared" si="14"/>
        <v>-1</v>
      </c>
      <c r="G937" cm="1">
        <f t="array" ref="G937:J937">_xlfn.XLOOKUP(A937, Sheet1!A:A, Sheet1!C:F)</f>
        <v>20.5</v>
      </c>
      <c r="H937">
        <v>18.600000000000001</v>
      </c>
      <c r="I937">
        <v>24.3</v>
      </c>
      <c r="J937">
        <v>22.1</v>
      </c>
    </row>
    <row r="938" spans="1:10" x14ac:dyDescent="0.3">
      <c r="A938" t="str" cm="1">
        <f t="array" ref="A938">IF(ROW()&lt;=COUNTA(Sheet1!A:A), INDEX(Sheet1!A:A, ROW()),
INDEX(Sheet4!A:A, ROW()-COUNTA(Sheet1!A:A)))</f>
        <v>Al14.83Cr14.837Fe19.63Co22.337Ni28.365</v>
      </c>
      <c r="B938" s="10">
        <f>_xlfn.XLOOKUP(A938, Sheet4!A:A, Sheet4!C:C)</f>
        <v>0</v>
      </c>
      <c r="C938" s="10">
        <v>-1</v>
      </c>
      <c r="D938" s="10">
        <f>_xlfn.XLOOKUP(A938, Sheet2!A:A, Sheet2!B:B)</f>
        <v>7.7523999999999997</v>
      </c>
      <c r="E938" s="10">
        <f>_xlfn.XLOOKUP(A938, Sheet1!A:A, Sheet1!G:G)</f>
        <v>-1</v>
      </c>
      <c r="F938" s="10">
        <f t="shared" si="14"/>
        <v>-1</v>
      </c>
      <c r="G938" cm="1">
        <f t="array" ref="G938:J938">_xlfn.XLOOKUP(A938, Sheet1!A:A, Sheet1!C:F)</f>
        <v>24.3</v>
      </c>
      <c r="H938">
        <v>13.2</v>
      </c>
      <c r="I938">
        <v>17.399999999999999</v>
      </c>
      <c r="J938">
        <v>30.4</v>
      </c>
    </row>
    <row r="939" spans="1:10" x14ac:dyDescent="0.3">
      <c r="A939" t="str" cm="1">
        <f t="array" ref="A939">IF(ROW()&lt;=COUNTA(Sheet1!A:A), INDEX(Sheet1!A:A, ROW()),
INDEX(Sheet4!A:A, ROW()-COUNTA(Sheet1!A:A)))</f>
        <v>Al14.875Cr19.132Fe32.462Co16.22Ni17.311</v>
      </c>
      <c r="B939" s="10">
        <f>_xlfn.XLOOKUP(A939, Sheet4!A:A, Sheet4!C:C)</f>
        <v>0</v>
      </c>
      <c r="C939" s="10">
        <v>-1</v>
      </c>
      <c r="D939" s="10">
        <f>_xlfn.XLOOKUP(A939, Sheet2!A:A, Sheet2!B:B)</f>
        <v>7.3819999999999997</v>
      </c>
      <c r="E939" s="10">
        <f>_xlfn.XLOOKUP(A939, Sheet1!A:A, Sheet1!G:G)</f>
        <v>-1</v>
      </c>
      <c r="F939" s="10">
        <f t="shared" si="14"/>
        <v>-1</v>
      </c>
      <c r="G939" cm="1">
        <f t="array" ref="G939:J939">_xlfn.XLOOKUP(A939, Sheet1!A:A, Sheet1!C:F)</f>
        <v>24.251999999999999</v>
      </c>
      <c r="H939">
        <v>13.16</v>
      </c>
      <c r="I939">
        <v>17.402999999999999</v>
      </c>
      <c r="J939">
        <v>30.396999999999998</v>
      </c>
    </row>
    <row r="940" spans="1:10" x14ac:dyDescent="0.3">
      <c r="A940" t="str" cm="1">
        <f t="array" ref="A940">IF(ROW()&lt;=COUNTA(Sheet1!A:A), INDEX(Sheet1!A:A, ROW()),
INDEX(Sheet4!A:A, ROW()-COUNTA(Sheet1!A:A)))</f>
        <v>Al14.877Cr16.287Fe21.804Co20.776Ni26.255</v>
      </c>
      <c r="B940" s="10">
        <f>_xlfn.XLOOKUP(A940, Sheet4!A:A, Sheet4!C:C)</f>
        <v>0</v>
      </c>
      <c r="C940" s="10">
        <v>-1</v>
      </c>
      <c r="D940" s="10">
        <f>_xlfn.XLOOKUP(A940, Sheet2!A:A, Sheet2!B:B)</f>
        <v>7.6632999999999996</v>
      </c>
      <c r="E940" s="10">
        <f>_xlfn.XLOOKUP(A940, Sheet1!A:A, Sheet1!G:G)</f>
        <v>-1</v>
      </c>
      <c r="F940" s="10">
        <f t="shared" si="14"/>
        <v>-1</v>
      </c>
      <c r="G940" cm="1">
        <f t="array" ref="G940:J940">_xlfn.XLOOKUP(A940, Sheet1!A:A, Sheet1!C:F)</f>
        <v>21.3</v>
      </c>
      <c r="H940">
        <v>21.3</v>
      </c>
      <c r="I940">
        <v>21.3</v>
      </c>
      <c r="J940">
        <v>21.3</v>
      </c>
    </row>
    <row r="941" spans="1:10" x14ac:dyDescent="0.3">
      <c r="A941" t="str" cm="1">
        <f t="array" ref="A941">IF(ROW()&lt;=COUNTA(Sheet1!A:A), INDEX(Sheet1!A:A, ROW()),
INDEX(Sheet4!A:A, ROW()-COUNTA(Sheet1!A:A)))</f>
        <v>Al14.9Cr16.3Fe21.8Co20.8Ni26.3</v>
      </c>
      <c r="B941" s="10">
        <f>_xlfn.XLOOKUP(A941, Sheet4!A:A, Sheet4!C:C)</f>
        <v>0</v>
      </c>
      <c r="C941" s="10">
        <v>-1</v>
      </c>
      <c r="D941" s="10">
        <f>_xlfn.XLOOKUP(A941, Sheet2!A:A, Sheet2!B:B)</f>
        <v>7.6632999999999996</v>
      </c>
      <c r="E941" s="10">
        <f>_xlfn.XLOOKUP(A941, Sheet1!A:A, Sheet1!G:G)</f>
        <v>-1</v>
      </c>
      <c r="F941" s="10">
        <f t="shared" si="14"/>
        <v>-1</v>
      </c>
      <c r="G941" cm="1">
        <f t="array" ref="G941:J941">_xlfn.XLOOKUP(A941, Sheet1!A:A, Sheet1!C:F)</f>
        <v>21.3</v>
      </c>
      <c r="H941">
        <v>21.3</v>
      </c>
      <c r="I941">
        <v>21.3</v>
      </c>
      <c r="J941">
        <v>21.3</v>
      </c>
    </row>
    <row r="942" spans="1:10" x14ac:dyDescent="0.3">
      <c r="A942" t="str" cm="1">
        <f t="array" ref="A942">IF(ROW()&lt;=COUNTA(Sheet1!A:A), INDEX(Sheet1!A:A, ROW()),
INDEX(Sheet4!A:A, ROW()-COUNTA(Sheet1!A:A)))</f>
        <v>Al0.7CoCrFeNi</v>
      </c>
      <c r="B942" s="10" t="str">
        <f>_xlfn.XLOOKUP(A942, Sheet4!A:A, Sheet4!C:C)</f>
        <v>FCC+BCC</v>
      </c>
      <c r="C942" s="10">
        <v>-1</v>
      </c>
      <c r="D942" s="10">
        <f>_xlfn.XLOOKUP(A942, Sheet2!A:A, Sheet2!B:B)</f>
        <v>7.4680999999999997</v>
      </c>
      <c r="E942" s="10">
        <f>_xlfn.XLOOKUP(A942, Sheet1!A:A, Sheet1!G:G)</f>
        <v>-1</v>
      </c>
      <c r="F942" s="10">
        <f t="shared" si="14"/>
        <v>-1</v>
      </c>
      <c r="G942" cm="1">
        <f t="array" ref="G942:J942">_xlfn.XLOOKUP(A942, Sheet1!A:A, Sheet1!C:F)</f>
        <v>14.81481481</v>
      </c>
      <c r="H942">
        <v>14.81481481</v>
      </c>
      <c r="I942">
        <v>14.81481481</v>
      </c>
      <c r="J942">
        <v>40.74074074</v>
      </c>
    </row>
    <row r="943" spans="1:10" x14ac:dyDescent="0.3">
      <c r="A943" t="str" cm="1">
        <f t="array" ref="A943">IF(ROW()&lt;=COUNTA(Sheet1!A:A), INDEX(Sheet1!A:A, ROW()),
INDEX(Sheet4!A:A, ROW()-COUNTA(Sheet1!A:A)))</f>
        <v>Al0.7CoCrFeNi</v>
      </c>
      <c r="B943" s="10" t="str">
        <f>_xlfn.XLOOKUP(A943, Sheet4!A:A, Sheet4!C:C)</f>
        <v>FCC+BCC</v>
      </c>
      <c r="C943" s="10">
        <v>-1</v>
      </c>
      <c r="D943" s="10">
        <f>_xlfn.XLOOKUP(A943, Sheet2!A:A, Sheet2!B:B)</f>
        <v>7.4680999999999997</v>
      </c>
      <c r="E943" s="10">
        <f>_xlfn.XLOOKUP(A943, Sheet1!A:A, Sheet1!G:G)</f>
        <v>-1</v>
      </c>
      <c r="F943" s="10">
        <f t="shared" si="14"/>
        <v>-1</v>
      </c>
      <c r="G943" cm="1">
        <f t="array" ref="G943:J943">_xlfn.XLOOKUP(A943, Sheet1!A:A, Sheet1!C:F)</f>
        <v>14.81481481</v>
      </c>
      <c r="H943">
        <v>14.81481481</v>
      </c>
      <c r="I943">
        <v>14.81481481</v>
      </c>
      <c r="J943">
        <v>40.74074074</v>
      </c>
    </row>
    <row r="944" spans="1:10" x14ac:dyDescent="0.3">
      <c r="A944" t="str" cm="1">
        <f t="array" ref="A944">IF(ROW()&lt;=COUNTA(Sheet1!A:A), INDEX(Sheet1!A:A, ROW()),
INDEX(Sheet4!A:A, ROW()-COUNTA(Sheet1!A:A)))</f>
        <v>Al14.9Cr19.1Fe32.5Co16.2Ni17.3</v>
      </c>
      <c r="B944" s="10">
        <f>_xlfn.XLOOKUP(A944, Sheet4!A:A, Sheet4!C:C)</f>
        <v>0</v>
      </c>
      <c r="C944" s="10">
        <v>-1</v>
      </c>
      <c r="D944" s="10">
        <f>_xlfn.XLOOKUP(A944, Sheet2!A:A, Sheet2!B:B)</f>
        <v>7.3810000000000002</v>
      </c>
      <c r="E944" s="10">
        <f>_xlfn.XLOOKUP(A944, Sheet1!A:A, Sheet1!G:G)</f>
        <v>-1</v>
      </c>
      <c r="F944" s="10">
        <f t="shared" si="14"/>
        <v>-1</v>
      </c>
      <c r="G944" cm="1">
        <f t="array" ref="G944:J944">_xlfn.XLOOKUP(A944, Sheet1!A:A, Sheet1!C:F)</f>
        <v>22.3</v>
      </c>
      <c r="H944">
        <v>14.8</v>
      </c>
      <c r="I944">
        <v>19.600000000000001</v>
      </c>
      <c r="J944">
        <v>28.4</v>
      </c>
    </row>
    <row r="945" spans="1:10" x14ac:dyDescent="0.3">
      <c r="A945" t="str" cm="1">
        <f t="array" ref="A945">IF(ROW()&lt;=COUNTA(Sheet1!A:A), INDEX(Sheet1!A:A, ROW()),
INDEX(Sheet4!A:A, ROW()-COUNTA(Sheet1!A:A)))</f>
        <v>Al14.907Cr19.271Fe20.641Co21.738Ni23.443</v>
      </c>
      <c r="B945" s="10">
        <f>_xlfn.XLOOKUP(A945, Sheet4!A:A, Sheet4!C:C)</f>
        <v>0</v>
      </c>
      <c r="C945" s="10">
        <v>-1</v>
      </c>
      <c r="D945" s="10">
        <f>_xlfn.XLOOKUP(A945, Sheet2!A:A, Sheet2!B:B)</f>
        <v>7.5555000000000003</v>
      </c>
      <c r="E945" s="10">
        <f>_xlfn.XLOOKUP(A945, Sheet1!A:A, Sheet1!G:G)</f>
        <v>-1</v>
      </c>
      <c r="F945" s="10">
        <f t="shared" si="14"/>
        <v>-1</v>
      </c>
      <c r="G945" cm="1">
        <f t="array" ref="G945:J945">_xlfn.XLOOKUP(A945, Sheet1!A:A, Sheet1!C:F)</f>
        <v>22.337</v>
      </c>
      <c r="H945">
        <v>14.837</v>
      </c>
      <c r="I945">
        <v>19.63</v>
      </c>
      <c r="J945">
        <v>28.364999999999998</v>
      </c>
    </row>
    <row r="946" spans="1:10" x14ac:dyDescent="0.3">
      <c r="A946" t="str" cm="1">
        <f t="array" ref="A946">IF(ROW()&lt;=COUNTA(Sheet1!A:A), INDEX(Sheet1!A:A, ROW()),
INDEX(Sheet4!A:A, ROW()-COUNTA(Sheet1!A:A)))</f>
        <v>Al14.9Cr19.3Fe20.6Co21.7Ni23.4</v>
      </c>
      <c r="B946" s="10">
        <f>_xlfn.XLOOKUP(A946, Sheet4!A:A, Sheet4!C:C)</f>
        <v>0</v>
      </c>
      <c r="C946" s="10">
        <v>-1</v>
      </c>
      <c r="D946" s="10">
        <f>_xlfn.XLOOKUP(A946, Sheet2!A:A, Sheet2!B:B)</f>
        <v>7.5536000000000003</v>
      </c>
      <c r="E946" s="10">
        <f>_xlfn.XLOOKUP(A946, Sheet1!A:A, Sheet1!G:G)</f>
        <v>-1</v>
      </c>
      <c r="F946" s="10">
        <f t="shared" si="14"/>
        <v>-1</v>
      </c>
      <c r="G946" cm="1">
        <f t="array" ref="G946:J946">_xlfn.XLOOKUP(A946, Sheet1!A:A, Sheet1!C:F)</f>
        <v>16.22</v>
      </c>
      <c r="H946">
        <v>19.132000000000001</v>
      </c>
      <c r="I946">
        <v>32.462000000000003</v>
      </c>
      <c r="J946">
        <v>17.311</v>
      </c>
    </row>
    <row r="947" spans="1:10" x14ac:dyDescent="0.3">
      <c r="A947" t="str" cm="1">
        <f t="array" ref="A947">IF(ROW()&lt;=COUNTA(Sheet1!A:A), INDEX(Sheet1!A:A, ROW()),
INDEX(Sheet4!A:A, ROW()-COUNTA(Sheet1!A:A)))</f>
        <v>Al0.6CoCr0.4FeNi</v>
      </c>
      <c r="B947" s="10">
        <f>_xlfn.XLOOKUP(A947, Sheet4!A:A, Sheet4!C:C)</f>
        <v>0</v>
      </c>
      <c r="C947" s="10">
        <v>-1</v>
      </c>
      <c r="D947" s="10">
        <f>_xlfn.XLOOKUP(A947, Sheet2!A:A, Sheet2!B:B)</f>
        <v>7.8</v>
      </c>
      <c r="E947" s="10">
        <f>_xlfn.XLOOKUP(A947, Sheet1!A:A, Sheet1!G:G)</f>
        <v>-1</v>
      </c>
      <c r="F947" s="10">
        <f t="shared" si="14"/>
        <v>-1</v>
      </c>
      <c r="G947" cm="1">
        <f t="array" ref="G947:J947">_xlfn.XLOOKUP(A947, Sheet1!A:A, Sheet1!C:F)</f>
        <v>20.776</v>
      </c>
      <c r="H947">
        <v>16.286999999999999</v>
      </c>
      <c r="I947">
        <v>21.803999999999998</v>
      </c>
      <c r="J947">
        <v>26.254999999999999</v>
      </c>
    </row>
    <row r="948" spans="1:10" x14ac:dyDescent="0.3">
      <c r="A948" t="str" cm="1">
        <f t="array" ref="A948">IF(ROW()&lt;=COUNTA(Sheet1!A:A), INDEX(Sheet1!A:A, ROW()),
INDEX(Sheet4!A:A, ROW()-COUNTA(Sheet1!A:A)))</f>
        <v>Al15.1Cr20.3Fe6.9Co28.2Ni29.5</v>
      </c>
      <c r="B948" s="10">
        <f>_xlfn.XLOOKUP(A948, Sheet4!A:A, Sheet4!C:C)</f>
        <v>0</v>
      </c>
      <c r="C948" s="10">
        <v>-1</v>
      </c>
      <c r="D948" s="10">
        <f>_xlfn.XLOOKUP(A948, Sheet2!A:A, Sheet2!B:B)</f>
        <v>7.7110000000000003</v>
      </c>
      <c r="E948" s="10">
        <f>_xlfn.XLOOKUP(A948, Sheet1!A:A, Sheet1!G:G)</f>
        <v>-1</v>
      </c>
      <c r="F948" s="10">
        <f t="shared" si="14"/>
        <v>-1</v>
      </c>
      <c r="G948" cm="1">
        <f t="array" ref="G948:J948">_xlfn.XLOOKUP(A948, Sheet1!A:A, Sheet1!C:F)</f>
        <v>20.8</v>
      </c>
      <c r="H948">
        <v>16.3</v>
      </c>
      <c r="I948">
        <v>21.8</v>
      </c>
      <c r="J948">
        <v>26.3</v>
      </c>
    </row>
    <row r="949" spans="1:10" x14ac:dyDescent="0.3">
      <c r="A949" t="str" cm="1">
        <f t="array" ref="A949">IF(ROW()&lt;=COUNTA(Sheet1!A:A), INDEX(Sheet1!A:A, ROW()),
INDEX(Sheet4!A:A, ROW()-COUNTA(Sheet1!A:A)))</f>
        <v>Al15.125Cr20.286Fe6.8925Co28.225Ni29.472</v>
      </c>
      <c r="B949" s="10">
        <f>_xlfn.XLOOKUP(A949, Sheet4!A:A, Sheet4!C:C)</f>
        <v>0</v>
      </c>
      <c r="C949" s="10">
        <v>-1</v>
      </c>
      <c r="D949" s="10">
        <f>_xlfn.XLOOKUP(A949, Sheet2!A:A, Sheet2!B:B)</f>
        <v>7.7096999999999998</v>
      </c>
      <c r="E949" s="10">
        <f>_xlfn.XLOOKUP(A949, Sheet1!A:A, Sheet1!G:G)</f>
        <v>1</v>
      </c>
      <c r="F949" s="10">
        <f t="shared" si="14"/>
        <v>1</v>
      </c>
      <c r="G949" cm="1">
        <f t="array" ref="G949:J949">_xlfn.XLOOKUP(A949, Sheet1!A:A, Sheet1!C:F)</f>
        <v>21.276595740000001</v>
      </c>
      <c r="H949">
        <v>21.276595740000001</v>
      </c>
      <c r="I949">
        <v>21.276595740000001</v>
      </c>
      <c r="J949">
        <v>21.276595740000001</v>
      </c>
    </row>
    <row r="950" spans="1:10" x14ac:dyDescent="0.3">
      <c r="A950" t="str" cm="1">
        <f t="array" ref="A950">IF(ROW()&lt;=COUNTA(Sheet1!A:A), INDEX(Sheet1!A:A, ROW()),
INDEX(Sheet4!A:A, ROW()-COUNTA(Sheet1!A:A)))</f>
        <v>Al15.2Cr19.9Fe17.4Co23.2Ni24.3</v>
      </c>
      <c r="B950" s="10">
        <f>_xlfn.XLOOKUP(A950, Sheet4!A:A, Sheet4!C:C)</f>
        <v>0</v>
      </c>
      <c r="C950" s="10">
        <v>-1</v>
      </c>
      <c r="D950" s="10">
        <f>_xlfn.XLOOKUP(A950, Sheet2!A:A, Sheet2!B:B)</f>
        <v>7.56</v>
      </c>
      <c r="E950" s="10">
        <f>_xlfn.XLOOKUP(A950, Sheet1!A:A, Sheet1!G:G)</f>
        <v>-1</v>
      </c>
      <c r="F950" s="10">
        <f t="shared" si="14"/>
        <v>-1</v>
      </c>
      <c r="G950" cm="1">
        <f t="array" ref="G950:J950">_xlfn.XLOOKUP(A950, Sheet1!A:A, Sheet1!C:F)</f>
        <v>16.2</v>
      </c>
      <c r="H950">
        <v>19.100000000000001</v>
      </c>
      <c r="I950">
        <v>32.5</v>
      </c>
      <c r="J950">
        <v>17.3</v>
      </c>
    </row>
    <row r="951" spans="1:10" x14ac:dyDescent="0.3">
      <c r="A951" t="str" cm="1">
        <f t="array" ref="A951">IF(ROW()&lt;=COUNTA(Sheet1!A:A), INDEX(Sheet1!A:A, ROW()),
INDEX(Sheet4!A:A, ROW()-COUNTA(Sheet1!A:A)))</f>
        <v>Al15.247Cr19.915Fe17.397Co23.157Ni24.284</v>
      </c>
      <c r="B951" s="10">
        <f>_xlfn.XLOOKUP(A951, Sheet4!A:A, Sheet4!C:C)</f>
        <v>0</v>
      </c>
      <c r="C951" s="10">
        <v>-1</v>
      </c>
      <c r="D951" s="10">
        <f>_xlfn.XLOOKUP(A951, Sheet2!A:A, Sheet2!B:B)</f>
        <v>7.5566000000000004</v>
      </c>
      <c r="E951" s="10">
        <f>_xlfn.XLOOKUP(A951, Sheet1!A:A, Sheet1!G:G)</f>
        <v>-1</v>
      </c>
      <c r="F951" s="10">
        <f t="shared" si="14"/>
        <v>-1</v>
      </c>
      <c r="G951" cm="1">
        <f t="array" ref="G951:J951">_xlfn.XLOOKUP(A951, Sheet1!A:A, Sheet1!C:F)</f>
        <v>21.738</v>
      </c>
      <c r="H951">
        <v>19.271000000000001</v>
      </c>
      <c r="I951">
        <v>20.640999999999998</v>
      </c>
      <c r="J951">
        <v>23.443000000000001</v>
      </c>
    </row>
    <row r="952" spans="1:10" x14ac:dyDescent="0.3">
      <c r="A952" t="str" cm="1">
        <f t="array" ref="A952">IF(ROW()&lt;=COUNTA(Sheet1!A:A), INDEX(Sheet1!A:A, ROW()),
INDEX(Sheet4!A:A, ROW()-COUNTA(Sheet1!A:A)))</f>
        <v>Al15.3Cr20.4Fe7.7Co27.4Ni29.2</v>
      </c>
      <c r="B952" s="10">
        <f>_xlfn.XLOOKUP(A952, Sheet4!A:A, Sheet4!C:C)</f>
        <v>0</v>
      </c>
      <c r="C952" s="10">
        <v>-1</v>
      </c>
      <c r="D952" s="10">
        <f>_xlfn.XLOOKUP(A952, Sheet2!A:A, Sheet2!B:B)</f>
        <v>7.6849999999999996</v>
      </c>
      <c r="E952" s="10">
        <f>_xlfn.XLOOKUP(A952, Sheet1!A:A, Sheet1!G:G)</f>
        <v>-1</v>
      </c>
      <c r="F952" s="10">
        <f t="shared" si="14"/>
        <v>-1</v>
      </c>
      <c r="G952" cm="1">
        <f t="array" ref="G952:J952">_xlfn.XLOOKUP(A952, Sheet1!A:A, Sheet1!C:F)</f>
        <v>21.7</v>
      </c>
      <c r="H952">
        <v>19.3</v>
      </c>
      <c r="I952">
        <v>20.6</v>
      </c>
      <c r="J952">
        <v>23.4</v>
      </c>
    </row>
    <row r="953" spans="1:10" x14ac:dyDescent="0.3">
      <c r="A953" t="str" cm="1">
        <f t="array" ref="A953">IF(ROW()&lt;=COUNTA(Sheet1!A:A), INDEX(Sheet1!A:A, ROW()),
INDEX(Sheet4!A:A, ROW()-COUNTA(Sheet1!A:A)))</f>
        <v>Al15.327Cr20.411Fe7.7228Co27.382Ni29.157</v>
      </c>
      <c r="B953" s="10">
        <f>_xlfn.XLOOKUP(A953, Sheet4!A:A, Sheet4!C:C)</f>
        <v>0</v>
      </c>
      <c r="C953" s="10">
        <v>-1</v>
      </c>
      <c r="D953" s="10">
        <f>_xlfn.XLOOKUP(A953, Sheet2!A:A, Sheet2!B:B)</f>
        <v>7.6824000000000003</v>
      </c>
      <c r="E953" s="10">
        <f>_xlfn.XLOOKUP(A953, Sheet1!A:A, Sheet1!G:G)</f>
        <v>-1</v>
      </c>
      <c r="F953" s="10">
        <f t="shared" si="14"/>
        <v>-1</v>
      </c>
      <c r="G953" cm="1">
        <f t="array" ref="G953:J953">_xlfn.XLOOKUP(A953, Sheet1!A:A, Sheet1!C:F)</f>
        <v>25</v>
      </c>
      <c r="H953">
        <v>10</v>
      </c>
      <c r="I953">
        <v>25</v>
      </c>
      <c r="J953">
        <v>25</v>
      </c>
    </row>
    <row r="954" spans="1:10" x14ac:dyDescent="0.3">
      <c r="A954" t="str" cm="1">
        <f t="array" ref="A954">IF(ROW()&lt;=COUNTA(Sheet1!A:A), INDEX(Sheet1!A:A, ROW()),
INDEX(Sheet4!A:A, ROW()-COUNTA(Sheet1!A:A)))</f>
        <v>Al15.379Cr20.469Fe9.0169Co26.904Ni28.231</v>
      </c>
      <c r="B954" s="10">
        <f>_xlfn.XLOOKUP(A954, Sheet4!A:A, Sheet4!C:C)</f>
        <v>0</v>
      </c>
      <c r="C954" s="10">
        <v>-1</v>
      </c>
      <c r="D954" s="10">
        <f>_xlfn.XLOOKUP(A954, Sheet2!A:A, Sheet2!B:B)</f>
        <v>7.6553000000000004</v>
      </c>
      <c r="E954" s="10">
        <f>_xlfn.XLOOKUP(A954, Sheet1!A:A, Sheet1!G:G)</f>
        <v>-1</v>
      </c>
      <c r="F954" s="10">
        <f t="shared" si="14"/>
        <v>-1</v>
      </c>
      <c r="G954" cm="1">
        <f t="array" ref="G954:J954">_xlfn.XLOOKUP(A954, Sheet1!A:A, Sheet1!C:F)</f>
        <v>28.2</v>
      </c>
      <c r="H954">
        <v>20.3</v>
      </c>
      <c r="I954">
        <v>6.9</v>
      </c>
      <c r="J954">
        <v>29.5</v>
      </c>
    </row>
    <row r="955" spans="1:10" x14ac:dyDescent="0.3">
      <c r="A955" t="str" cm="1">
        <f t="array" ref="A955">IF(ROW()&lt;=COUNTA(Sheet1!A:A), INDEX(Sheet1!A:A, ROW()),
INDEX(Sheet4!A:A, ROW()-COUNTA(Sheet1!A:A)))</f>
        <v>AlCoCrFeNi2.5</v>
      </c>
      <c r="B955" s="10">
        <f>_xlfn.XLOOKUP(A955, Sheet4!A:A, Sheet4!C:C)</f>
        <v>0</v>
      </c>
      <c r="C955" s="10">
        <v>-1</v>
      </c>
      <c r="D955" s="10">
        <f>_xlfn.XLOOKUP(A955, Sheet2!A:A, Sheet2!B:B)</f>
        <v>7.8461999999999996</v>
      </c>
      <c r="E955" s="10">
        <f>_xlfn.XLOOKUP(A955, Sheet1!A:A, Sheet1!G:G)</f>
        <v>-1</v>
      </c>
      <c r="F955" s="10">
        <f t="shared" si="14"/>
        <v>-1</v>
      </c>
      <c r="G955" cm="1">
        <f t="array" ref="G955:J955">_xlfn.XLOOKUP(A955, Sheet1!A:A, Sheet1!C:F)</f>
        <v>28.225000000000001</v>
      </c>
      <c r="H955">
        <v>20.286000000000001</v>
      </c>
      <c r="I955">
        <v>6.8925000000000001</v>
      </c>
      <c r="J955">
        <v>29.472000000000001</v>
      </c>
    </row>
    <row r="956" spans="1:10" x14ac:dyDescent="0.3">
      <c r="A956" t="str" cm="1">
        <f t="array" ref="A956">IF(ROW()&lt;=COUNTA(Sheet1!A:A), INDEX(Sheet1!A:A, ROW()),
INDEX(Sheet4!A:A, ROW()-COUNTA(Sheet1!A:A)))</f>
        <v>Al15.4Cr20.5Fe9Co26.9Ni28.2</v>
      </c>
      <c r="B956" s="10">
        <f>_xlfn.XLOOKUP(A956, Sheet4!A:A, Sheet4!C:C)</f>
        <v>0</v>
      </c>
      <c r="C956" s="10">
        <v>-1</v>
      </c>
      <c r="D956" s="10">
        <f>_xlfn.XLOOKUP(A956, Sheet2!A:A, Sheet2!B:B)</f>
        <v>7.6529999999999996</v>
      </c>
      <c r="E956" s="10">
        <f>_xlfn.XLOOKUP(A956, Sheet1!A:A, Sheet1!G:G)</f>
        <v>-1</v>
      </c>
      <c r="F956" s="10">
        <f t="shared" si="14"/>
        <v>-1</v>
      </c>
      <c r="G956" cm="1">
        <f t="array" ref="G956:J956">_xlfn.XLOOKUP(A956, Sheet1!A:A, Sheet1!C:F)</f>
        <v>23.2</v>
      </c>
      <c r="H956">
        <v>19.899999999999999</v>
      </c>
      <c r="I956">
        <v>17.399999999999999</v>
      </c>
      <c r="J956">
        <v>24.3</v>
      </c>
    </row>
    <row r="957" spans="1:10" x14ac:dyDescent="0.3">
      <c r="A957" t="str" cm="1">
        <f t="array" ref="A957">IF(ROW()&lt;=COUNTA(Sheet1!A:A), INDEX(Sheet1!A:A, ROW()),
INDEX(Sheet4!A:A, ROW()-COUNTA(Sheet1!A:A)))</f>
        <v>Al15.6Cr20.4Fe12.6Co25Ni26.4</v>
      </c>
      <c r="B957" s="10">
        <f>_xlfn.XLOOKUP(A957, Sheet4!A:A, Sheet4!C:C)</f>
        <v>0</v>
      </c>
      <c r="C957" s="10">
        <v>-1</v>
      </c>
      <c r="D957" s="10">
        <f>_xlfn.XLOOKUP(A957, Sheet2!A:A, Sheet2!B:B)</f>
        <v>7.59</v>
      </c>
      <c r="E957" s="10">
        <f>_xlfn.XLOOKUP(A957, Sheet1!A:A, Sheet1!G:G)</f>
        <v>-1</v>
      </c>
      <c r="F957" s="10">
        <f t="shared" si="14"/>
        <v>-1</v>
      </c>
      <c r="G957" cm="1">
        <f t="array" ref="G957:J957">_xlfn.XLOOKUP(A957, Sheet1!A:A, Sheet1!C:F)</f>
        <v>23.157</v>
      </c>
      <c r="H957">
        <v>19.914999999999999</v>
      </c>
      <c r="I957">
        <v>17.396999999999998</v>
      </c>
      <c r="J957">
        <v>24.283999999999999</v>
      </c>
    </row>
    <row r="958" spans="1:10" x14ac:dyDescent="0.3">
      <c r="A958" t="str" cm="1">
        <f t="array" ref="A958">IF(ROW()&lt;=COUNTA(Sheet1!A:A), INDEX(Sheet1!A:A, ROW()),
INDEX(Sheet4!A:A, ROW()-COUNTA(Sheet1!A:A)))</f>
        <v>Al0.74NiCoFeCr</v>
      </c>
      <c r="B958" s="10">
        <f>_xlfn.XLOOKUP(A958, Sheet4!A:A, Sheet4!C:C)</f>
        <v>0</v>
      </c>
      <c r="C958" s="10">
        <v>-1</v>
      </c>
      <c r="D958" s="10">
        <f>_xlfn.XLOOKUP(A958, Sheet2!A:A, Sheet2!B:B)</f>
        <v>7.4303999999999997</v>
      </c>
      <c r="E958" s="10">
        <f>_xlfn.XLOOKUP(A958, Sheet1!A:A, Sheet1!G:G)</f>
        <v>-1</v>
      </c>
      <c r="F958" s="10">
        <f t="shared" si="14"/>
        <v>-1</v>
      </c>
      <c r="G958" cm="1">
        <f t="array" ref="G958:J958">_xlfn.XLOOKUP(A958, Sheet1!A:A, Sheet1!C:F)</f>
        <v>27.4</v>
      </c>
      <c r="H958">
        <v>20.399999999999999</v>
      </c>
      <c r="I958">
        <v>7.7</v>
      </c>
      <c r="J958">
        <v>29.2</v>
      </c>
    </row>
    <row r="959" spans="1:10" x14ac:dyDescent="0.3">
      <c r="A959" t="str" cm="1">
        <f t="array" ref="A959">IF(ROW()&lt;=COUNTA(Sheet1!A:A), INDEX(Sheet1!A:A, ROW()),
INDEX(Sheet4!A:A, ROW()-COUNTA(Sheet1!A:A)))</f>
        <v>Al15.63Ni21.09Co21.09Fe21.09Cr21.09</v>
      </c>
      <c r="B959" s="10" t="str">
        <f>_xlfn.XLOOKUP(A959, Sheet4!A:A, Sheet4!C:C)</f>
        <v>FCC+BCC</v>
      </c>
      <c r="C959" s="10">
        <v>-1</v>
      </c>
      <c r="D959" s="10">
        <f>_xlfn.XLOOKUP(A959, Sheet2!A:A, Sheet2!B:B)</f>
        <v>7.4292999999999996</v>
      </c>
      <c r="E959" s="10">
        <f>_xlfn.XLOOKUP(A959, Sheet1!A:A, Sheet1!G:G)</f>
        <v>-1</v>
      </c>
      <c r="F959" s="10">
        <f t="shared" si="14"/>
        <v>-1</v>
      </c>
      <c r="G959" cm="1">
        <f t="array" ref="G959:J959">_xlfn.XLOOKUP(A959, Sheet1!A:A, Sheet1!C:F)</f>
        <v>27.382000000000001</v>
      </c>
      <c r="H959">
        <v>20.411000000000001</v>
      </c>
      <c r="I959">
        <v>7.7228000000000003</v>
      </c>
      <c r="J959">
        <v>29.157</v>
      </c>
    </row>
    <row r="960" spans="1:10" x14ac:dyDescent="0.3">
      <c r="A960" t="str" cm="1">
        <f t="array" ref="A960">IF(ROW()&lt;=COUNTA(Sheet1!A:A), INDEX(Sheet1!A:A, ROW()),
INDEX(Sheet4!A:A, ROW()-COUNTA(Sheet1!A:A)))</f>
        <v>Al15.63Ni21.09Co21.09Fe21.09Cr21.09</v>
      </c>
      <c r="B960" s="10" t="str">
        <f>_xlfn.XLOOKUP(A960, Sheet4!A:A, Sheet4!C:C)</f>
        <v>FCC+BCC</v>
      </c>
      <c r="C960" s="10">
        <v>-1</v>
      </c>
      <c r="D960" s="10">
        <f>_xlfn.XLOOKUP(A960, Sheet2!A:A, Sheet2!B:B)</f>
        <v>7.4292999999999996</v>
      </c>
      <c r="E960" s="10">
        <f>_xlfn.XLOOKUP(A960, Sheet1!A:A, Sheet1!G:G)</f>
        <v>-1</v>
      </c>
      <c r="F960" s="10">
        <f t="shared" si="14"/>
        <v>-1</v>
      </c>
      <c r="G960" cm="1">
        <f t="array" ref="G960:J960">_xlfn.XLOOKUP(A960, Sheet1!A:A, Sheet1!C:F)</f>
        <v>27.382000000000001</v>
      </c>
      <c r="H960">
        <v>20.411000000000001</v>
      </c>
      <c r="I960">
        <v>7.7228000000000003</v>
      </c>
      <c r="J960">
        <v>29.157</v>
      </c>
    </row>
    <row r="961" spans="1:10" x14ac:dyDescent="0.3">
      <c r="A961" t="str" cm="1">
        <f t="array" ref="A961">IF(ROW()&lt;=COUNTA(Sheet1!A:A), INDEX(Sheet1!A:A, ROW()),
INDEX(Sheet4!A:A, ROW()-COUNTA(Sheet1!A:A)))</f>
        <v>Al15.635Cr20.423Fe12.565Co24.963Ni26.415</v>
      </c>
      <c r="B961" s="10">
        <f>_xlfn.XLOOKUP(A961, Sheet4!A:A, Sheet4!C:C)</f>
        <v>0</v>
      </c>
      <c r="C961" s="10">
        <v>-1</v>
      </c>
      <c r="D961" s="10">
        <f>_xlfn.XLOOKUP(A961, Sheet2!A:A, Sheet2!B:B)</f>
        <v>7.5876999999999999</v>
      </c>
      <c r="E961" s="10">
        <f>_xlfn.XLOOKUP(A961, Sheet1!A:A, Sheet1!G:G)</f>
        <v>-1</v>
      </c>
      <c r="F961" s="10">
        <f t="shared" si="14"/>
        <v>-1</v>
      </c>
      <c r="G961" cm="1">
        <f t="array" ref="G961:J961">_xlfn.XLOOKUP(A961, Sheet1!A:A, Sheet1!C:F)</f>
        <v>26.904</v>
      </c>
      <c r="H961">
        <v>20.469000000000001</v>
      </c>
      <c r="I961">
        <v>9.0168999999999997</v>
      </c>
      <c r="J961">
        <v>28.231000000000002</v>
      </c>
    </row>
    <row r="962" spans="1:10" x14ac:dyDescent="0.3">
      <c r="A962" t="str" cm="1">
        <f t="array" ref="A962">IF(ROW()&lt;=COUNTA(Sheet1!A:A), INDEX(Sheet1!A:A, ROW()),
INDEX(Sheet4!A:A, ROW()-COUNTA(Sheet1!A:A)))</f>
        <v>Al15.7Cr20.5Fe10.5Co25.8Ni27.5</v>
      </c>
      <c r="B962" s="10">
        <f>_xlfn.XLOOKUP(A962, Sheet4!A:A, Sheet4!C:C)</f>
        <v>0</v>
      </c>
      <c r="C962" s="10">
        <v>-1</v>
      </c>
      <c r="D962" s="10">
        <f>_xlfn.XLOOKUP(A962, Sheet2!A:A, Sheet2!B:B)</f>
        <v>7.6130000000000004</v>
      </c>
      <c r="E962" s="10">
        <f>_xlfn.XLOOKUP(A962, Sheet1!A:A, Sheet1!G:G)</f>
        <v>-1</v>
      </c>
      <c r="F962" s="10">
        <f t="shared" si="14"/>
        <v>-1</v>
      </c>
      <c r="G962" cm="1">
        <f t="array" ref="G962:J962">_xlfn.XLOOKUP(A962, Sheet1!A:A, Sheet1!C:F)</f>
        <v>15.38461538</v>
      </c>
      <c r="H962">
        <v>15.38461538</v>
      </c>
      <c r="I962">
        <v>15.38461538</v>
      </c>
      <c r="J962">
        <v>38.46153846</v>
      </c>
    </row>
    <row r="963" spans="1:10" x14ac:dyDescent="0.3">
      <c r="A963" t="str" cm="1">
        <f t="array" ref="A963">IF(ROW()&lt;=COUNTA(Sheet1!A:A), INDEX(Sheet1!A:A, ROW()),
INDEX(Sheet4!A:A, ROW()-COUNTA(Sheet1!A:A)))</f>
        <v>Al15.711Cr20.459Fe10.494Co25.808Ni27.528</v>
      </c>
      <c r="B963" s="10">
        <f>_xlfn.XLOOKUP(A963, Sheet4!A:A, Sheet4!C:C)</f>
        <v>0</v>
      </c>
      <c r="C963" s="10">
        <v>-1</v>
      </c>
      <c r="D963" s="10">
        <f>_xlfn.XLOOKUP(A963, Sheet2!A:A, Sheet2!B:B)</f>
        <v>7.6139000000000001</v>
      </c>
      <c r="E963" s="10">
        <f>_xlfn.XLOOKUP(A963, Sheet1!A:A, Sheet1!G:G)</f>
        <v>-1</v>
      </c>
      <c r="F963" s="10">
        <f t="shared" ref="F963:F1026" si="15">IF(OR(C963=1, E963=1), 1,
   IF(OR(C963=0, E963=0), 0,
      -1))</f>
        <v>-1</v>
      </c>
      <c r="G963" cm="1">
        <f t="array" ref="G963:J963">_xlfn.XLOOKUP(A963, Sheet1!A:A, Sheet1!C:F)</f>
        <v>26.9</v>
      </c>
      <c r="H963">
        <v>20.5</v>
      </c>
      <c r="I963">
        <v>9</v>
      </c>
      <c r="J963">
        <v>28.2</v>
      </c>
    </row>
    <row r="964" spans="1:10" x14ac:dyDescent="0.3">
      <c r="A964" t="str" cm="1">
        <f t="array" ref="A964">IF(ROW()&lt;=COUNTA(Sheet1!A:A), INDEX(Sheet1!A:A, ROW()),
INDEX(Sheet4!A:A, ROW()-COUNTA(Sheet1!A:A)))</f>
        <v>Al15.765Cr19.918Fe14.693Co24.089Ni25.536</v>
      </c>
      <c r="B964" s="10">
        <f>_xlfn.XLOOKUP(A964, Sheet4!A:A, Sheet4!C:C)</f>
        <v>0</v>
      </c>
      <c r="C964" s="10">
        <v>-1</v>
      </c>
      <c r="D964" s="10">
        <f>_xlfn.XLOOKUP(A964, Sheet2!A:A, Sheet2!B:B)</f>
        <v>7.5650000000000004</v>
      </c>
      <c r="E964" s="10">
        <f>_xlfn.XLOOKUP(A964, Sheet1!A:A, Sheet1!G:G)</f>
        <v>-1</v>
      </c>
      <c r="F964" s="10">
        <f t="shared" si="15"/>
        <v>-1</v>
      </c>
      <c r="G964" cm="1">
        <f t="array" ref="G964:J964">_xlfn.XLOOKUP(A964, Sheet1!A:A, Sheet1!C:F)</f>
        <v>25</v>
      </c>
      <c r="H964">
        <v>20.399999999999999</v>
      </c>
      <c r="I964">
        <v>12.6</v>
      </c>
      <c r="J964">
        <v>26.4</v>
      </c>
    </row>
    <row r="965" spans="1:10" x14ac:dyDescent="0.3">
      <c r="A965" t="str" cm="1">
        <f t="array" ref="A965">IF(ROW()&lt;=COUNTA(Sheet1!A:A), INDEX(Sheet1!A:A, ROW()),
INDEX(Sheet4!A:A, ROW()-COUNTA(Sheet1!A:A)))</f>
        <v>Al0.75CoCrFeNi</v>
      </c>
      <c r="B965" s="10" t="str">
        <f>_xlfn.XLOOKUP(A965, Sheet4!A:A, Sheet4!C:C)</f>
        <v>FCC+BCC</v>
      </c>
      <c r="C965" s="10">
        <v>-1</v>
      </c>
      <c r="D965" s="10">
        <f>_xlfn.XLOOKUP(A965, Sheet2!A:A, Sheet2!B:B)</f>
        <v>7.4211</v>
      </c>
      <c r="E965" s="10">
        <f>_xlfn.XLOOKUP(A965, Sheet1!A:A, Sheet1!G:G)</f>
        <v>-1</v>
      </c>
      <c r="F965" s="10">
        <f t="shared" si="15"/>
        <v>-1</v>
      </c>
      <c r="G965" cm="1">
        <f t="array" ref="G965:J965">_xlfn.XLOOKUP(A965, Sheet1!A:A, Sheet1!C:F)</f>
        <v>21.097046410000001</v>
      </c>
      <c r="H965">
        <v>21.097046410000001</v>
      </c>
      <c r="I965">
        <v>21.097046410000001</v>
      </c>
      <c r="J965">
        <v>21.097046410000001</v>
      </c>
    </row>
    <row r="966" spans="1:10" x14ac:dyDescent="0.3">
      <c r="A966" t="str" cm="1">
        <f t="array" ref="A966">IF(ROW()&lt;=COUNTA(Sheet1!A:A), INDEX(Sheet1!A:A, ROW()),
INDEX(Sheet4!A:A, ROW()-COUNTA(Sheet1!A:A)))</f>
        <v>Al0.75CoCrFeNi</v>
      </c>
      <c r="B966" s="10" t="str">
        <f>_xlfn.XLOOKUP(A966, Sheet4!A:A, Sheet4!C:C)</f>
        <v>FCC+BCC</v>
      </c>
      <c r="C966" s="10">
        <v>-1</v>
      </c>
      <c r="D966" s="10">
        <f>_xlfn.XLOOKUP(A966, Sheet2!A:A, Sheet2!B:B)</f>
        <v>7.4211</v>
      </c>
      <c r="E966" s="10">
        <f>_xlfn.XLOOKUP(A966, Sheet1!A:A, Sheet1!G:G)</f>
        <v>-1</v>
      </c>
      <c r="F966" s="10">
        <f t="shared" si="15"/>
        <v>-1</v>
      </c>
      <c r="G966" cm="1">
        <f t="array" ref="G966:J966">_xlfn.XLOOKUP(A966, Sheet1!A:A, Sheet1!C:F)</f>
        <v>21.097046410000001</v>
      </c>
      <c r="H966">
        <v>21.097046410000001</v>
      </c>
      <c r="I966">
        <v>21.097046410000001</v>
      </c>
      <c r="J966">
        <v>21.097046410000001</v>
      </c>
    </row>
    <row r="967" spans="1:10" x14ac:dyDescent="0.3">
      <c r="A967" t="str" cm="1">
        <f t="array" ref="A967">IF(ROW()&lt;=COUNTA(Sheet1!A:A), INDEX(Sheet1!A:A, ROW()),
INDEX(Sheet4!A:A, ROW()-COUNTA(Sheet1!A:A)))</f>
        <v>Al15.8Cr19.9Fe14.7Co24.1Ni25.5</v>
      </c>
      <c r="B967" s="10">
        <f>_xlfn.XLOOKUP(A967, Sheet4!A:A, Sheet4!C:C)</f>
        <v>0</v>
      </c>
      <c r="C967" s="10">
        <v>-1</v>
      </c>
      <c r="D967" s="10">
        <f>_xlfn.XLOOKUP(A967, Sheet2!A:A, Sheet2!B:B)</f>
        <v>7.5629999999999997</v>
      </c>
      <c r="E967" s="10">
        <f>_xlfn.XLOOKUP(A967, Sheet1!A:A, Sheet1!G:G)</f>
        <v>-1</v>
      </c>
      <c r="F967" s="10">
        <f t="shared" si="15"/>
        <v>-1</v>
      </c>
      <c r="G967" cm="1">
        <f t="array" ref="G967:J967">_xlfn.XLOOKUP(A967, Sheet1!A:A, Sheet1!C:F)</f>
        <v>21.09</v>
      </c>
      <c r="H967">
        <v>21.09</v>
      </c>
      <c r="I967">
        <v>21.09</v>
      </c>
      <c r="J967">
        <v>21.09</v>
      </c>
    </row>
    <row r="968" spans="1:10" x14ac:dyDescent="0.3">
      <c r="A968" t="str" cm="1">
        <f t="array" ref="A968">IF(ROW()&lt;=COUNTA(Sheet1!A:A), INDEX(Sheet1!A:A, ROW()),
INDEX(Sheet4!A:A, ROW()-COUNTA(Sheet1!A:A)))</f>
        <v>AlCoCrFeNi2.25</v>
      </c>
      <c r="B968" s="10">
        <f>_xlfn.XLOOKUP(A968, Sheet4!A:A, Sheet4!C:C)</f>
        <v>0</v>
      </c>
      <c r="C968" s="10">
        <v>-1</v>
      </c>
      <c r="D968" s="10">
        <f>_xlfn.XLOOKUP(A968, Sheet2!A:A, Sheet2!B:B)</f>
        <v>7.76</v>
      </c>
      <c r="E968" s="10">
        <f>_xlfn.XLOOKUP(A968, Sheet1!A:A, Sheet1!G:G)</f>
        <v>-1</v>
      </c>
      <c r="F968" s="10">
        <f t="shared" si="15"/>
        <v>-1</v>
      </c>
      <c r="G968" cm="1">
        <f t="array" ref="G968:J968">_xlfn.XLOOKUP(A968, Sheet1!A:A, Sheet1!C:F)</f>
        <v>21.09</v>
      </c>
      <c r="H968">
        <v>21.09</v>
      </c>
      <c r="I968">
        <v>21.09</v>
      </c>
      <c r="J968">
        <v>21.09</v>
      </c>
    </row>
    <row r="969" spans="1:10" x14ac:dyDescent="0.3">
      <c r="A969" t="str" cm="1">
        <f t="array" ref="A969">IF(ROW()&lt;=COUNTA(Sheet1!A:A), INDEX(Sheet1!A:A, ROW()),
INDEX(Sheet4!A:A, ROW()-COUNTA(Sheet1!A:A)))</f>
        <v>Al16Co16Cr16Fe16Ni16Fe20</v>
      </c>
      <c r="B969" s="10">
        <f>_xlfn.XLOOKUP(A969, Sheet4!A:A, Sheet4!C:C)</f>
        <v>0</v>
      </c>
      <c r="C969" s="10">
        <v>-1</v>
      </c>
      <c r="D969" s="10">
        <f>_xlfn.XLOOKUP(A969, Sheet2!A:A, Sheet2!B:B)</f>
        <v>7.36</v>
      </c>
      <c r="E969" s="10">
        <f>_xlfn.XLOOKUP(A969, Sheet1!A:A, Sheet1!G:G)</f>
        <v>-1</v>
      </c>
      <c r="F969" s="10">
        <f t="shared" si="15"/>
        <v>-1</v>
      </c>
      <c r="G969" cm="1">
        <f t="array" ref="G969:J969">_xlfn.XLOOKUP(A969, Sheet1!A:A, Sheet1!C:F)</f>
        <v>24.963000000000001</v>
      </c>
      <c r="H969">
        <v>20.422999999999998</v>
      </c>
      <c r="I969">
        <v>12.565</v>
      </c>
      <c r="J969">
        <v>26.414999999999999</v>
      </c>
    </row>
    <row r="970" spans="1:10" x14ac:dyDescent="0.3">
      <c r="A970" t="str" cm="1">
        <f t="array" ref="A970">IF(ROW()&lt;=COUNTA(Sheet1!A:A), INDEX(Sheet1!A:A, ROW()),
INDEX(Sheet4!A:A, ROW()-COUNTA(Sheet1!A:A)))</f>
        <v>Al16Co21Cr21Fe21Ni21</v>
      </c>
      <c r="B970" s="10" t="str">
        <f>_xlfn.XLOOKUP(A970, Sheet4!A:A, Sheet4!C:C)</f>
        <v>FCC+BCC</v>
      </c>
      <c r="C970" s="10">
        <v>-1</v>
      </c>
      <c r="D970" s="10">
        <f>_xlfn.XLOOKUP(A970, Sheet2!A:A, Sheet2!B:B)</f>
        <v>7.41</v>
      </c>
      <c r="E970" s="10">
        <f>_xlfn.XLOOKUP(A970, Sheet1!A:A, Sheet1!G:G)</f>
        <v>-1</v>
      </c>
      <c r="F970" s="10">
        <f t="shared" si="15"/>
        <v>-1</v>
      </c>
      <c r="G970" cm="1">
        <f t="array" ref="G970:J970">_xlfn.XLOOKUP(A970, Sheet1!A:A, Sheet1!C:F)</f>
        <v>25.8</v>
      </c>
      <c r="H970">
        <v>20.5</v>
      </c>
      <c r="I970">
        <v>10.5</v>
      </c>
      <c r="J970">
        <v>27.5</v>
      </c>
    </row>
    <row r="971" spans="1:10" x14ac:dyDescent="0.3">
      <c r="A971" t="str" cm="1">
        <f t="array" ref="A971">IF(ROW()&lt;=COUNTA(Sheet1!A:A), INDEX(Sheet1!A:A, ROW()),
INDEX(Sheet4!A:A, ROW()-COUNTA(Sheet1!A:A)))</f>
        <v>Al16Co41Cr15Fe10Ni18</v>
      </c>
      <c r="B971" s="10">
        <f>_xlfn.XLOOKUP(A971, Sheet4!A:A, Sheet4!C:C)</f>
        <v>0</v>
      </c>
      <c r="C971" s="10">
        <v>-1</v>
      </c>
      <c r="D971" s="10">
        <f>_xlfn.XLOOKUP(A971, Sheet2!A:A, Sheet2!B:B)</f>
        <v>7.67</v>
      </c>
      <c r="E971" s="10">
        <f>_xlfn.XLOOKUP(A971, Sheet1!A:A, Sheet1!G:G)</f>
        <v>-1</v>
      </c>
      <c r="F971" s="10">
        <f t="shared" si="15"/>
        <v>-1</v>
      </c>
      <c r="G971" cm="1">
        <f t="array" ref="G971:J971">_xlfn.XLOOKUP(A971, Sheet1!A:A, Sheet1!C:F)</f>
        <v>25.808</v>
      </c>
      <c r="H971">
        <v>20.459</v>
      </c>
      <c r="I971">
        <v>10.494</v>
      </c>
      <c r="J971">
        <v>27.527999999999999</v>
      </c>
    </row>
    <row r="972" spans="1:10" x14ac:dyDescent="0.3">
      <c r="A972" t="str" cm="1">
        <f t="array" ref="A972">IF(ROW()&lt;=COUNTA(Sheet1!A:A), INDEX(Sheet1!A:A, ROW()),
INDEX(Sheet4!A:A, ROW()-COUNTA(Sheet1!A:A)))</f>
        <v>Al16.052Cr20.094Fe27.863Co17.358Ni18.633</v>
      </c>
      <c r="B972" s="10">
        <f>_xlfn.XLOOKUP(A972, Sheet4!A:A, Sheet4!C:C)</f>
        <v>0</v>
      </c>
      <c r="C972" s="10">
        <v>-1</v>
      </c>
      <c r="D972" s="10">
        <f>_xlfn.XLOOKUP(A972, Sheet2!A:A, Sheet2!B:B)</f>
        <v>7.3418000000000001</v>
      </c>
      <c r="E972" s="10">
        <f>_xlfn.XLOOKUP(A972, Sheet1!A:A, Sheet1!G:G)</f>
        <v>-1</v>
      </c>
      <c r="F972" s="10">
        <f t="shared" si="15"/>
        <v>-1</v>
      </c>
      <c r="G972" cm="1">
        <f t="array" ref="G972:J972">_xlfn.XLOOKUP(A972, Sheet1!A:A, Sheet1!C:F)</f>
        <v>24.088999999999999</v>
      </c>
      <c r="H972">
        <v>19.917999999999999</v>
      </c>
      <c r="I972">
        <v>14.693</v>
      </c>
      <c r="J972">
        <v>25.536000000000001</v>
      </c>
    </row>
    <row r="973" spans="1:10" x14ac:dyDescent="0.3">
      <c r="A973" t="str" cm="1">
        <f t="array" ref="A973">IF(ROW()&lt;=COUNTA(Sheet1!A:A), INDEX(Sheet1!A:A, ROW()),
INDEX(Sheet4!A:A, ROW()-COUNTA(Sheet1!A:A)))</f>
        <v>Al16.1Cr20.1Fe27.9Co17.4Ni18.6</v>
      </c>
      <c r="B973" s="10">
        <f>_xlfn.XLOOKUP(A973, Sheet4!A:A, Sheet4!C:C)</f>
        <v>0</v>
      </c>
      <c r="C973" s="10">
        <v>-1</v>
      </c>
      <c r="D973" s="10">
        <f>_xlfn.XLOOKUP(A973, Sheet2!A:A, Sheet2!B:B)</f>
        <v>7.3396999999999997</v>
      </c>
      <c r="E973" s="10">
        <f>_xlfn.XLOOKUP(A973, Sheet1!A:A, Sheet1!G:G)</f>
        <v>-1</v>
      </c>
      <c r="F973" s="10">
        <f t="shared" si="15"/>
        <v>-1</v>
      </c>
      <c r="G973" cm="1">
        <f t="array" ref="G973:J973">_xlfn.XLOOKUP(A973, Sheet1!A:A, Sheet1!C:F)</f>
        <v>21.05263158</v>
      </c>
      <c r="H973">
        <v>21.05263158</v>
      </c>
      <c r="I973">
        <v>21.05263158</v>
      </c>
      <c r="J973">
        <v>21.05263158</v>
      </c>
    </row>
    <row r="974" spans="1:10" x14ac:dyDescent="0.3">
      <c r="A974" t="str" cm="1">
        <f t="array" ref="A974">IF(ROW()&lt;=COUNTA(Sheet1!A:A), INDEX(Sheet1!A:A, ROW()),
INDEX(Sheet4!A:A, ROW()-COUNTA(Sheet1!A:A)))</f>
        <v>Al16.1Cr19.7Fe26.4Co16.7Ni21.1</v>
      </c>
      <c r="B974" s="10">
        <f>_xlfn.XLOOKUP(A974, Sheet4!A:A, Sheet4!C:C)</f>
        <v>0</v>
      </c>
      <c r="C974" s="10">
        <v>-1</v>
      </c>
      <c r="D974" s="10">
        <f>_xlfn.XLOOKUP(A974, Sheet2!A:A, Sheet2!B:B)</f>
        <v>7.39</v>
      </c>
      <c r="E974" s="10">
        <f>_xlfn.XLOOKUP(A974, Sheet1!A:A, Sheet1!G:G)</f>
        <v>-1</v>
      </c>
      <c r="F974" s="10">
        <f t="shared" si="15"/>
        <v>-1</v>
      </c>
      <c r="G974" cm="1">
        <f t="array" ref="G974:J974">_xlfn.XLOOKUP(A974, Sheet1!A:A, Sheet1!C:F)</f>
        <v>21.05263158</v>
      </c>
      <c r="H974">
        <v>21.05263158</v>
      </c>
      <c r="I974">
        <v>21.05263158</v>
      </c>
      <c r="J974">
        <v>21.05263158</v>
      </c>
    </row>
    <row r="975" spans="1:10" x14ac:dyDescent="0.3">
      <c r="A975" t="str" cm="1">
        <f t="array" ref="A975">IF(ROW()&lt;=COUNTA(Sheet1!A:A), INDEX(Sheet1!A:A, ROW()),
INDEX(Sheet4!A:A, ROW()-COUNTA(Sheet1!A:A)))</f>
        <v>AlCoCrFeNi2.2</v>
      </c>
      <c r="B975" s="10" t="str">
        <f>_xlfn.XLOOKUP(A975, Sheet4!A:A, Sheet4!C:C)</f>
        <v>FCC+B2(ordered BCC)</v>
      </c>
      <c r="C975" s="10">
        <v>1</v>
      </c>
      <c r="D975" s="10">
        <f>_xlfn.XLOOKUP(A975, Sheet2!A:A, Sheet2!B:B)</f>
        <v>7.7419000000000002</v>
      </c>
      <c r="E975" s="10">
        <f>_xlfn.XLOOKUP(A975, Sheet1!A:A, Sheet1!G:G)</f>
        <v>-1</v>
      </c>
      <c r="F975" s="10">
        <f t="shared" si="15"/>
        <v>1</v>
      </c>
      <c r="G975" cm="1">
        <f t="array" ref="G975:J975">_xlfn.XLOOKUP(A975, Sheet1!A:A, Sheet1!C:F)</f>
        <v>24.1</v>
      </c>
      <c r="H975">
        <v>19.899999999999999</v>
      </c>
      <c r="I975">
        <v>14.7</v>
      </c>
      <c r="J975">
        <v>25.5</v>
      </c>
    </row>
    <row r="976" spans="1:10" x14ac:dyDescent="0.3">
      <c r="A976" t="str" cm="1">
        <f t="array" ref="A976">IF(ROW()&lt;=COUNTA(Sheet1!A:A), INDEX(Sheet1!A:A, ROW()),
INDEX(Sheet4!A:A, ROW()-COUNTA(Sheet1!A:A)))</f>
        <v>AlCoCrFeNi2.2</v>
      </c>
      <c r="B976" s="10" t="str">
        <f>_xlfn.XLOOKUP(A976, Sheet4!A:A, Sheet4!C:C)</f>
        <v>FCC+B2(ordered BCC)</v>
      </c>
      <c r="C976" s="10">
        <v>1</v>
      </c>
      <c r="D976" s="10">
        <f>_xlfn.XLOOKUP(A976, Sheet2!A:A, Sheet2!B:B)</f>
        <v>7.7419000000000002</v>
      </c>
      <c r="E976" s="10">
        <f>_xlfn.XLOOKUP(A976, Sheet1!A:A, Sheet1!G:G)</f>
        <v>-1</v>
      </c>
      <c r="F976" s="10">
        <f t="shared" si="15"/>
        <v>1</v>
      </c>
      <c r="G976" cm="1">
        <f t="array" ref="G976:J976">_xlfn.XLOOKUP(A976, Sheet1!A:A, Sheet1!C:F)</f>
        <v>24.1</v>
      </c>
      <c r="H976">
        <v>19.899999999999999</v>
      </c>
      <c r="I976">
        <v>14.7</v>
      </c>
      <c r="J976">
        <v>25.5</v>
      </c>
    </row>
    <row r="977" spans="1:10" x14ac:dyDescent="0.3">
      <c r="A977" t="str" cm="1">
        <f t="array" ref="A977">IF(ROW()&lt;=COUNTA(Sheet1!A:A), INDEX(Sheet1!A:A, ROW()),
INDEX(Sheet4!A:A, ROW()-COUNTA(Sheet1!A:A)))</f>
        <v>Al16.13Cr19.712Fe26.373Co16.721Ni21.064</v>
      </c>
      <c r="B977" s="10">
        <f>_xlfn.XLOOKUP(A977, Sheet4!A:A, Sheet4!C:C)</f>
        <v>0</v>
      </c>
      <c r="C977" s="10">
        <v>-1</v>
      </c>
      <c r="D977" s="10">
        <f>_xlfn.XLOOKUP(A977, Sheet2!A:A, Sheet2!B:B)</f>
        <v>7.3876999999999997</v>
      </c>
      <c r="E977" s="10">
        <f>_xlfn.XLOOKUP(A977, Sheet1!A:A, Sheet1!G:G)</f>
        <v>-1</v>
      </c>
      <c r="F977" s="10">
        <f t="shared" si="15"/>
        <v>-1</v>
      </c>
      <c r="G977" cm="1">
        <f t="array" ref="G977:J977">_xlfn.XLOOKUP(A977, Sheet1!A:A, Sheet1!C:F)</f>
        <v>16</v>
      </c>
      <c r="H977">
        <v>16</v>
      </c>
      <c r="I977">
        <v>16</v>
      </c>
      <c r="J977">
        <v>36</v>
      </c>
    </row>
    <row r="978" spans="1:10" x14ac:dyDescent="0.3">
      <c r="A978" t="str" cm="1">
        <f t="array" ref="A978">IF(ROW()&lt;=COUNTA(Sheet1!A:A), INDEX(Sheet1!A:A, ROW()),
INDEX(Sheet4!A:A, ROW()-COUNTA(Sheet1!A:A)))</f>
        <v>AlCoCrFeNi2.1</v>
      </c>
      <c r="B978" s="10" t="str">
        <f>_xlfn.XLOOKUP(A978, Sheet4!A:A, Sheet4!C:C)</f>
        <v>FCC+BCC</v>
      </c>
      <c r="C978" s="10">
        <v>-1</v>
      </c>
      <c r="D978" s="10">
        <f>_xlfn.XLOOKUP(A978, Sheet2!A:A, Sheet2!B:B)</f>
        <v>7.7049000000000003</v>
      </c>
      <c r="E978" s="10">
        <f>_xlfn.XLOOKUP(A978, Sheet1!A:A, Sheet1!G:G)</f>
        <v>-1</v>
      </c>
      <c r="F978" s="10">
        <f t="shared" si="15"/>
        <v>-1</v>
      </c>
      <c r="G978" cm="1">
        <f t="array" ref="G978:J978">_xlfn.XLOOKUP(A978, Sheet1!A:A, Sheet1!C:F)</f>
        <v>16</v>
      </c>
      <c r="H978">
        <v>16</v>
      </c>
      <c r="I978">
        <v>20</v>
      </c>
      <c r="J978">
        <v>16</v>
      </c>
    </row>
    <row r="979" spans="1:10" x14ac:dyDescent="0.3">
      <c r="A979" t="str" cm="1">
        <f t="array" ref="A979">IF(ROW()&lt;=COUNTA(Sheet1!A:A), INDEX(Sheet1!A:A, ROW()),
INDEX(Sheet4!A:A, ROW()-COUNTA(Sheet1!A:A)))</f>
        <v>AlCoCrFeNi2.1</v>
      </c>
      <c r="B979" s="10" t="str">
        <f>_xlfn.XLOOKUP(A979, Sheet4!A:A, Sheet4!C:C)</f>
        <v>FCC+BCC</v>
      </c>
      <c r="C979" s="10">
        <v>-1</v>
      </c>
      <c r="D979" s="10">
        <f>_xlfn.XLOOKUP(A979, Sheet2!A:A, Sheet2!B:B)</f>
        <v>7.7049000000000003</v>
      </c>
      <c r="E979" s="10">
        <f>_xlfn.XLOOKUP(A979, Sheet1!A:A, Sheet1!G:G)</f>
        <v>-1</v>
      </c>
      <c r="F979" s="10">
        <f t="shared" si="15"/>
        <v>-1</v>
      </c>
      <c r="G979" cm="1">
        <f t="array" ref="G979:J979">_xlfn.XLOOKUP(A979, Sheet1!A:A, Sheet1!C:F)</f>
        <v>16</v>
      </c>
      <c r="H979">
        <v>16</v>
      </c>
      <c r="I979">
        <v>20</v>
      </c>
      <c r="J979">
        <v>16</v>
      </c>
    </row>
    <row r="980" spans="1:10" x14ac:dyDescent="0.3">
      <c r="A980" t="str" cm="1">
        <f t="array" ref="A980">IF(ROW()&lt;=COUNTA(Sheet1!A:A), INDEX(Sheet1!A:A, ROW()),
INDEX(Sheet4!A:A, ROW()-COUNTA(Sheet1!A:A)))</f>
        <v>Al16.5Cr21.4Fe31.8Co14.6Ni15.7</v>
      </c>
      <c r="B980" s="10">
        <f>_xlfn.XLOOKUP(A980, Sheet4!A:A, Sheet4!C:C)</f>
        <v>0</v>
      </c>
      <c r="C980" s="10">
        <v>-1</v>
      </c>
      <c r="D980" s="10">
        <f>_xlfn.XLOOKUP(A980, Sheet2!A:A, Sheet2!B:B)</f>
        <v>7.2069999999999999</v>
      </c>
      <c r="E980" s="10">
        <f>_xlfn.XLOOKUP(A980, Sheet1!A:A, Sheet1!G:G)</f>
        <v>-1</v>
      </c>
      <c r="F980" s="10">
        <f t="shared" si="15"/>
        <v>-1</v>
      </c>
      <c r="G980" cm="1">
        <f t="array" ref="G980:J980">_xlfn.XLOOKUP(A980, Sheet1!A:A, Sheet1!C:F)</f>
        <v>21</v>
      </c>
      <c r="H980">
        <v>21</v>
      </c>
      <c r="I980">
        <v>21</v>
      </c>
      <c r="J980">
        <v>21</v>
      </c>
    </row>
    <row r="981" spans="1:10" x14ac:dyDescent="0.3">
      <c r="A981" t="str" cm="1">
        <f t="array" ref="A981">IF(ROW()&lt;=COUNTA(Sheet1!A:A), INDEX(Sheet1!A:A, ROW()),
INDEX(Sheet4!A:A, ROW()-COUNTA(Sheet1!A:A)))</f>
        <v>Al16.515Cr21.37Fe31.821Co14.633Ni15.659</v>
      </c>
      <c r="B981" s="10">
        <f>_xlfn.XLOOKUP(A981, Sheet4!A:A, Sheet4!C:C)</f>
        <v>0</v>
      </c>
      <c r="C981" s="10">
        <v>-1</v>
      </c>
      <c r="D981" s="10">
        <f>_xlfn.XLOOKUP(A981, Sheet2!A:A, Sheet2!B:B)</f>
        <v>7.2062999999999997</v>
      </c>
      <c r="E981" s="10">
        <f>_xlfn.XLOOKUP(A981, Sheet1!A:A, Sheet1!G:G)</f>
        <v>-1</v>
      </c>
      <c r="F981" s="10">
        <f t="shared" si="15"/>
        <v>-1</v>
      </c>
      <c r="G981" cm="1">
        <f t="array" ref="G981:J981">_xlfn.XLOOKUP(A981, Sheet1!A:A, Sheet1!C:F)</f>
        <v>41</v>
      </c>
      <c r="H981">
        <v>15</v>
      </c>
      <c r="I981">
        <v>10</v>
      </c>
      <c r="J981">
        <v>18</v>
      </c>
    </row>
    <row r="982" spans="1:10" x14ac:dyDescent="0.3">
      <c r="A982" t="str" cm="1">
        <f t="array" ref="A982">IF(ROW()&lt;=COUNTA(Sheet1!A:A), INDEX(Sheet1!A:A, ROW()),
INDEX(Sheet4!A:A, ROW()-COUNTA(Sheet1!A:A)))</f>
        <v>Al16.59Cr16.43Fe21.664Co20.035Ni25.28</v>
      </c>
      <c r="B982" s="10">
        <f>_xlfn.XLOOKUP(A982, Sheet4!A:A, Sheet4!C:C)</f>
        <v>0</v>
      </c>
      <c r="C982" s="10">
        <v>-1</v>
      </c>
      <c r="D982" s="10">
        <f>_xlfn.XLOOKUP(A982, Sheet2!A:A, Sheet2!B:B)</f>
        <v>7.5477999999999996</v>
      </c>
      <c r="E982" s="10">
        <f>_xlfn.XLOOKUP(A982, Sheet1!A:A, Sheet1!G:G)</f>
        <v>-1</v>
      </c>
      <c r="F982" s="10">
        <f t="shared" si="15"/>
        <v>-1</v>
      </c>
      <c r="G982" cm="1">
        <f t="array" ref="G982:J982">_xlfn.XLOOKUP(A982, Sheet1!A:A, Sheet1!C:F)</f>
        <v>17.358000000000001</v>
      </c>
      <c r="H982">
        <v>20.094000000000001</v>
      </c>
      <c r="I982">
        <v>27.863</v>
      </c>
      <c r="J982">
        <v>18.632999999999999</v>
      </c>
    </row>
    <row r="983" spans="1:10" x14ac:dyDescent="0.3">
      <c r="A983" t="str" cm="1">
        <f t="array" ref="A983">IF(ROW()&lt;=COUNTA(Sheet1!A:A), INDEX(Sheet1!A:A, ROW()),
INDEX(Sheet4!A:A, ROW()-COUNTA(Sheet1!A:A)))</f>
        <v>Al16.6Cr17.8Fe24Co18.3Ni23.3</v>
      </c>
      <c r="B983" s="10">
        <f>_xlfn.XLOOKUP(A983, Sheet4!A:A, Sheet4!C:C)</f>
        <v>0</v>
      </c>
      <c r="C983" s="10">
        <v>-1</v>
      </c>
      <c r="D983" s="10">
        <f>_xlfn.XLOOKUP(A983, Sheet2!A:A, Sheet2!B:B)</f>
        <v>7.4630000000000001</v>
      </c>
      <c r="E983" s="10">
        <f>_xlfn.XLOOKUP(A983, Sheet1!A:A, Sheet1!G:G)</f>
        <v>-1</v>
      </c>
      <c r="F983" s="10">
        <f t="shared" si="15"/>
        <v>-1</v>
      </c>
      <c r="G983" cm="1">
        <f t="array" ref="G983:J983">_xlfn.XLOOKUP(A983, Sheet1!A:A, Sheet1!C:F)</f>
        <v>17.399999999999999</v>
      </c>
      <c r="H983">
        <v>20.100000000000001</v>
      </c>
      <c r="I983">
        <v>27.9</v>
      </c>
      <c r="J983">
        <v>18.600000000000001</v>
      </c>
    </row>
    <row r="984" spans="1:10" x14ac:dyDescent="0.3">
      <c r="A984" t="str" cm="1">
        <f t="array" ref="A984">IF(ROW()&lt;=COUNTA(Sheet1!A:A), INDEX(Sheet1!A:A, ROW()),
INDEX(Sheet4!A:A, ROW()-COUNTA(Sheet1!A:A)))</f>
        <v>Al16.6Cr16.4Fe21.7Co20Ni25.3</v>
      </c>
      <c r="B984" s="10">
        <f>_xlfn.XLOOKUP(A984, Sheet4!A:A, Sheet4!C:C)</f>
        <v>0</v>
      </c>
      <c r="C984" s="10">
        <v>-1</v>
      </c>
      <c r="D984" s="10">
        <f>_xlfn.XLOOKUP(A984, Sheet2!A:A, Sheet2!B:B)</f>
        <v>7.548</v>
      </c>
      <c r="E984" s="10">
        <f>_xlfn.XLOOKUP(A984, Sheet1!A:A, Sheet1!G:G)</f>
        <v>-1</v>
      </c>
      <c r="F984" s="10">
        <f t="shared" si="15"/>
        <v>-1</v>
      </c>
      <c r="G984" cm="1">
        <f t="array" ref="G984:J984">_xlfn.XLOOKUP(A984, Sheet1!A:A, Sheet1!C:F)</f>
        <v>16.7</v>
      </c>
      <c r="H984">
        <v>19.7</v>
      </c>
      <c r="I984">
        <v>26.4</v>
      </c>
      <c r="J984">
        <v>21.1</v>
      </c>
    </row>
    <row r="985" spans="1:10" x14ac:dyDescent="0.3">
      <c r="A985" t="str" cm="1">
        <f t="array" ref="A985">IF(ROW()&lt;=COUNTA(Sheet1!A:A), INDEX(Sheet1!A:A, ROW()),
INDEX(Sheet4!A:A, ROW()-COUNTA(Sheet1!A:A)))</f>
        <v>Al16.605Cr17.798Fe23.996Co18.329Ni23.271</v>
      </c>
      <c r="B985" s="10">
        <f>_xlfn.XLOOKUP(A985, Sheet4!A:A, Sheet4!C:C)</f>
        <v>0</v>
      </c>
      <c r="C985" s="10">
        <v>-1</v>
      </c>
      <c r="D985" s="10">
        <f>_xlfn.XLOOKUP(A985, Sheet2!A:A, Sheet2!B:B)</f>
        <v>7.4625000000000004</v>
      </c>
      <c r="E985" s="10">
        <f>_xlfn.XLOOKUP(A985, Sheet1!A:A, Sheet1!G:G)</f>
        <v>1</v>
      </c>
      <c r="F985" s="10">
        <f t="shared" si="15"/>
        <v>1</v>
      </c>
      <c r="G985" cm="1">
        <f t="array" ref="G985:J985">_xlfn.XLOOKUP(A985, Sheet1!A:A, Sheet1!C:F)</f>
        <v>16.129032259999999</v>
      </c>
      <c r="H985">
        <v>16.129032259999999</v>
      </c>
      <c r="I985">
        <v>16.129032259999999</v>
      </c>
      <c r="J985">
        <v>35.483870969999998</v>
      </c>
    </row>
    <row r="986" spans="1:10" x14ac:dyDescent="0.3">
      <c r="A986" t="str" cm="1">
        <f t="array" ref="A986">IF(ROW()&lt;=COUNTA(Sheet1!A:A), INDEX(Sheet1!A:A, ROW()),
INDEX(Sheet4!A:A, ROW()-COUNTA(Sheet1!A:A)))</f>
        <v>Al16.6Co20.8Cr20.8Fe20.8Ni20.8</v>
      </c>
      <c r="B986" s="10" t="str">
        <f>_xlfn.XLOOKUP(A986, Sheet4!A:A, Sheet4!C:C)</f>
        <v>IM</v>
      </c>
      <c r="C986" s="10">
        <v>-1</v>
      </c>
      <c r="D986" s="10">
        <f>_xlfn.XLOOKUP(A986, Sheet2!A:A, Sheet2!B:B)</f>
        <v>7.3768000000000002</v>
      </c>
      <c r="E986" s="10">
        <f>_xlfn.XLOOKUP(A986, Sheet1!A:A, Sheet1!G:G)</f>
        <v>-1</v>
      </c>
      <c r="F986" s="10">
        <f t="shared" si="15"/>
        <v>-1</v>
      </c>
      <c r="G986" cm="1">
        <f t="array" ref="G986:J986">_xlfn.XLOOKUP(A986, Sheet1!A:A, Sheet1!C:F)</f>
        <v>16.721</v>
      </c>
      <c r="H986">
        <v>19.712</v>
      </c>
      <c r="I986">
        <v>26.373000000000001</v>
      </c>
      <c r="J986">
        <v>21.064</v>
      </c>
    </row>
    <row r="987" spans="1:10" x14ac:dyDescent="0.3">
      <c r="A987" t="str" cm="1">
        <f t="array" ref="A987">IF(ROW()&lt;=COUNTA(Sheet1!A:A), INDEX(Sheet1!A:A, ROW()),
INDEX(Sheet4!A:A, ROW()-COUNTA(Sheet1!A:A)))</f>
        <v>AlCo0.2CrFeNi2.8</v>
      </c>
      <c r="B987" s="10">
        <f>_xlfn.XLOOKUP(A987, Sheet4!A:A, Sheet4!C:C)</f>
        <v>0</v>
      </c>
      <c r="C987" s="10">
        <v>-1</v>
      </c>
      <c r="D987" s="10">
        <f>_xlfn.XLOOKUP(A987, Sheet2!A:A, Sheet2!B:B)</f>
        <v>7.8</v>
      </c>
      <c r="E987" s="10">
        <f>_xlfn.XLOOKUP(A987, Sheet1!A:A, Sheet1!G:G)</f>
        <v>1</v>
      </c>
      <c r="F987" s="10">
        <f t="shared" si="15"/>
        <v>1</v>
      </c>
      <c r="G987" cm="1">
        <f t="array" ref="G987:J987">_xlfn.XLOOKUP(A987, Sheet1!A:A, Sheet1!C:F)</f>
        <v>16.393442619999998</v>
      </c>
      <c r="H987">
        <v>16.393442619999998</v>
      </c>
      <c r="I987">
        <v>16.393442619999998</v>
      </c>
      <c r="J987">
        <v>34.426229509999999</v>
      </c>
    </row>
    <row r="988" spans="1:10" x14ac:dyDescent="0.3">
      <c r="A988" t="str" cm="1">
        <f t="array" ref="A988">IF(ROW()&lt;=COUNTA(Sheet1!A:A), INDEX(Sheet1!A:A, ROW()),
INDEX(Sheet4!A:A, ROW()-COUNTA(Sheet1!A:A)))</f>
        <v>AlCo0.4CrFeNi2.6</v>
      </c>
      <c r="B988" s="10">
        <f>_xlfn.XLOOKUP(A988, Sheet4!A:A, Sheet4!C:C)</f>
        <v>0</v>
      </c>
      <c r="C988" s="10">
        <v>-1</v>
      </c>
      <c r="D988" s="10">
        <f>_xlfn.XLOOKUP(A988, Sheet2!A:A, Sheet2!B:B)</f>
        <v>7.7667000000000002</v>
      </c>
      <c r="E988" s="10">
        <f>_xlfn.XLOOKUP(A988, Sheet1!A:A, Sheet1!G:G)</f>
        <v>-1</v>
      </c>
      <c r="F988" s="10">
        <f t="shared" si="15"/>
        <v>-1</v>
      </c>
      <c r="G988" cm="1">
        <f t="array" ref="G988:J988">_xlfn.XLOOKUP(A988, Sheet1!A:A, Sheet1!C:F)</f>
        <v>14.6</v>
      </c>
      <c r="H988">
        <v>21.4</v>
      </c>
      <c r="I988">
        <v>31.8</v>
      </c>
      <c r="J988">
        <v>15.7</v>
      </c>
    </row>
    <row r="989" spans="1:10" x14ac:dyDescent="0.3">
      <c r="A989" t="str" cm="1">
        <f t="array" ref="A989">IF(ROW()&lt;=COUNTA(Sheet1!A:A), INDEX(Sheet1!A:A, ROW()),
INDEX(Sheet4!A:A, ROW()-COUNTA(Sheet1!A:A)))</f>
        <v>AlCo0.6CrFeNi2.4</v>
      </c>
      <c r="B989" s="10">
        <f>_xlfn.XLOOKUP(A989, Sheet4!A:A, Sheet4!C:C)</f>
        <v>0</v>
      </c>
      <c r="C989" s="10">
        <v>-1</v>
      </c>
      <c r="D989" s="10">
        <f>_xlfn.XLOOKUP(A989, Sheet2!A:A, Sheet2!B:B)</f>
        <v>7.7332999999999998</v>
      </c>
      <c r="E989" s="10">
        <f>_xlfn.XLOOKUP(A989, Sheet1!A:A, Sheet1!G:G)</f>
        <v>-1</v>
      </c>
      <c r="F989" s="10">
        <f t="shared" si="15"/>
        <v>-1</v>
      </c>
      <c r="G989" cm="1">
        <f t="array" ref="G989:J989">_xlfn.XLOOKUP(A989, Sheet1!A:A, Sheet1!C:F)</f>
        <v>14.632999999999999</v>
      </c>
      <c r="H989">
        <v>21.37</v>
      </c>
      <c r="I989">
        <v>31.821000000000002</v>
      </c>
      <c r="J989">
        <v>15.659000000000001</v>
      </c>
    </row>
    <row r="990" spans="1:10" x14ac:dyDescent="0.3">
      <c r="A990" t="str" cm="1">
        <f t="array" ref="A990">IF(ROW()&lt;=COUNTA(Sheet1!A:A), INDEX(Sheet1!A:A, ROW()),
INDEX(Sheet4!A:A, ROW()-COUNTA(Sheet1!A:A)))</f>
        <v>AlCo0.8CrFeNi2.2</v>
      </c>
      <c r="B990" s="10">
        <f>_xlfn.XLOOKUP(A990, Sheet4!A:A, Sheet4!C:C)</f>
        <v>0</v>
      </c>
      <c r="C990" s="10">
        <v>-1</v>
      </c>
      <c r="D990" s="10">
        <f>_xlfn.XLOOKUP(A990, Sheet2!A:A, Sheet2!B:B)</f>
        <v>7.7</v>
      </c>
      <c r="E990" s="10">
        <f>_xlfn.XLOOKUP(A990, Sheet1!A:A, Sheet1!G:G)</f>
        <v>-1</v>
      </c>
      <c r="F990" s="10">
        <f t="shared" si="15"/>
        <v>-1</v>
      </c>
      <c r="G990" cm="1">
        <f t="array" ref="G990:J990">_xlfn.XLOOKUP(A990, Sheet1!A:A, Sheet1!C:F)</f>
        <v>20.035</v>
      </c>
      <c r="H990">
        <v>16.43</v>
      </c>
      <c r="I990">
        <v>21.664000000000001</v>
      </c>
      <c r="J990">
        <v>25.28</v>
      </c>
    </row>
    <row r="991" spans="1:10" x14ac:dyDescent="0.3">
      <c r="A991" t="str" cm="1">
        <f t="array" ref="A991">IF(ROW()&lt;=COUNTA(Sheet1!A:A), INDEX(Sheet1!A:A, ROW()),
INDEX(Sheet4!A:A, ROW()-COUNTA(Sheet1!A:A)))</f>
        <v>AlCoCrFeNi2</v>
      </c>
      <c r="B991" s="10">
        <f>_xlfn.XLOOKUP(A991, Sheet4!A:A, Sheet4!C:C)</f>
        <v>0</v>
      </c>
      <c r="C991" s="10">
        <v>-1</v>
      </c>
      <c r="D991" s="10">
        <f>_xlfn.XLOOKUP(A991, Sheet2!A:A, Sheet2!B:B)</f>
        <v>7.6666999999999996</v>
      </c>
      <c r="E991" s="10">
        <f>_xlfn.XLOOKUP(A991, Sheet1!A:A, Sheet1!G:G)</f>
        <v>-1</v>
      </c>
      <c r="F991" s="10">
        <f t="shared" si="15"/>
        <v>-1</v>
      </c>
      <c r="G991" cm="1">
        <f t="array" ref="G991:J991">_xlfn.XLOOKUP(A991, Sheet1!A:A, Sheet1!C:F)</f>
        <v>18.3</v>
      </c>
      <c r="H991">
        <v>17.8</v>
      </c>
      <c r="I991">
        <v>24</v>
      </c>
      <c r="J991">
        <v>23.3</v>
      </c>
    </row>
    <row r="992" spans="1:10" x14ac:dyDescent="0.3">
      <c r="A992" t="str" cm="1">
        <f t="array" ref="A992">IF(ROW()&lt;=COUNTA(Sheet1!A:A), INDEX(Sheet1!A:A, ROW()),
INDEX(Sheet4!A:A, ROW()-COUNTA(Sheet1!A:A)))</f>
        <v>AlCoCr2FeNi</v>
      </c>
      <c r="B992" s="10" t="str">
        <f>_xlfn.XLOOKUP(A992, Sheet4!A:A, Sheet4!C:C)</f>
        <v>IM</v>
      </c>
      <c r="C992" s="10">
        <v>-1</v>
      </c>
      <c r="D992" s="10">
        <f>_xlfn.XLOOKUP(A992, Sheet2!A:A, Sheet2!B:B)</f>
        <v>7</v>
      </c>
      <c r="E992" s="10">
        <f>_xlfn.XLOOKUP(A992, Sheet1!A:A, Sheet1!G:G)</f>
        <v>-1</v>
      </c>
      <c r="F992" s="10">
        <f t="shared" si="15"/>
        <v>-1</v>
      </c>
      <c r="G992" cm="1">
        <f t="array" ref="G992:J992">_xlfn.XLOOKUP(A992, Sheet1!A:A, Sheet1!C:F)</f>
        <v>20</v>
      </c>
      <c r="H992">
        <v>16.399999999999999</v>
      </c>
      <c r="I992">
        <v>21.7</v>
      </c>
      <c r="J992">
        <v>25.3</v>
      </c>
    </row>
    <row r="993" spans="1:10" x14ac:dyDescent="0.3">
      <c r="A993" t="str" cm="1">
        <f t="array" ref="A993">IF(ROW()&lt;=COUNTA(Sheet1!A:A), INDEX(Sheet1!A:A, ROW()),
INDEX(Sheet4!A:A, ROW()-COUNTA(Sheet1!A:A)))</f>
        <v>Al0.8CoCrFeNi</v>
      </c>
      <c r="B993" s="10" t="str">
        <f>_xlfn.XLOOKUP(A993, Sheet4!A:A, Sheet4!C:C)</f>
        <v>FCC+BCC</v>
      </c>
      <c r="C993" s="10">
        <v>-1</v>
      </c>
      <c r="D993" s="10">
        <f>_xlfn.XLOOKUP(A993, Sheet2!A:A, Sheet2!B:B)</f>
        <v>7.375</v>
      </c>
      <c r="E993" s="10">
        <f>_xlfn.XLOOKUP(A993, Sheet1!A:A, Sheet1!G:G)</f>
        <v>-1</v>
      </c>
      <c r="F993" s="10">
        <f t="shared" si="15"/>
        <v>-1</v>
      </c>
      <c r="G993" cm="1">
        <f t="array" ref="G993:J993">_xlfn.XLOOKUP(A993, Sheet1!A:A, Sheet1!C:F)</f>
        <v>18.329000000000001</v>
      </c>
      <c r="H993">
        <v>17.797999999999998</v>
      </c>
      <c r="I993">
        <v>23.995999999999999</v>
      </c>
      <c r="J993">
        <v>23.271000000000001</v>
      </c>
    </row>
    <row r="994" spans="1:10" x14ac:dyDescent="0.3">
      <c r="A994" t="str" cm="1">
        <f t="array" ref="A994">IF(ROW()&lt;=COUNTA(Sheet1!A:A), INDEX(Sheet1!A:A, ROW()),
INDEX(Sheet4!A:A, ROW()-COUNTA(Sheet1!A:A)))</f>
        <v>Al0.8CoCrFeNi</v>
      </c>
      <c r="B994" s="10" t="str">
        <f>_xlfn.XLOOKUP(A994, Sheet4!A:A, Sheet4!C:C)</f>
        <v>FCC+BCC</v>
      </c>
      <c r="C994" s="10">
        <v>-1</v>
      </c>
      <c r="D994" s="10">
        <f>_xlfn.XLOOKUP(A994, Sheet2!A:A, Sheet2!B:B)</f>
        <v>7.375</v>
      </c>
      <c r="E994" s="10">
        <f>_xlfn.XLOOKUP(A994, Sheet1!A:A, Sheet1!G:G)</f>
        <v>-1</v>
      </c>
      <c r="F994" s="10">
        <f t="shared" si="15"/>
        <v>-1</v>
      </c>
      <c r="G994" cm="1">
        <f t="array" ref="G994:J994">_xlfn.XLOOKUP(A994, Sheet1!A:A, Sheet1!C:F)</f>
        <v>18.329000000000001</v>
      </c>
      <c r="H994">
        <v>17.797999999999998</v>
      </c>
      <c r="I994">
        <v>23.995999999999999</v>
      </c>
      <c r="J994">
        <v>23.271000000000001</v>
      </c>
    </row>
    <row r="995" spans="1:10" x14ac:dyDescent="0.3">
      <c r="A995" t="str" cm="1">
        <f t="array" ref="A995">IF(ROW()&lt;=COUNTA(Sheet1!A:A), INDEX(Sheet1!A:A, ROW()),
INDEX(Sheet4!A:A, ROW()-COUNTA(Sheet1!A:A)))</f>
        <v>Al16.7Cr22.8Fe31.1Co12.9Ni16.5</v>
      </c>
      <c r="B995" s="10">
        <f>_xlfn.XLOOKUP(A995, Sheet4!A:A, Sheet4!C:C)</f>
        <v>0</v>
      </c>
      <c r="C995" s="10">
        <v>-1</v>
      </c>
      <c r="D995" s="10">
        <f>_xlfn.XLOOKUP(A995, Sheet2!A:A, Sheet2!B:B)</f>
        <v>7.1680000000000001</v>
      </c>
      <c r="E995" s="10">
        <f>_xlfn.XLOOKUP(A995, Sheet1!A:A, Sheet1!G:G)</f>
        <v>-1</v>
      </c>
      <c r="F995" s="10">
        <f t="shared" si="15"/>
        <v>-1</v>
      </c>
      <c r="G995" cm="1">
        <f t="array" ref="G995:J995">_xlfn.XLOOKUP(A995, Sheet1!A:A, Sheet1!C:F)</f>
        <v>20.8</v>
      </c>
      <c r="H995">
        <v>20.8</v>
      </c>
      <c r="I995">
        <v>20.8</v>
      </c>
      <c r="J995">
        <v>20.8</v>
      </c>
    </row>
    <row r="996" spans="1:10" x14ac:dyDescent="0.3">
      <c r="A996" t="str" cm="1">
        <f t="array" ref="A996">IF(ROW()&lt;=COUNTA(Sheet1!A:A), INDEX(Sheet1!A:A, ROW()),
INDEX(Sheet4!A:A, ROW()-COUNTA(Sheet1!A:A)))</f>
        <v>Al16.7Cr13.3Fe17.4Co23.3Ni29.3</v>
      </c>
      <c r="B996" s="10">
        <f>_xlfn.XLOOKUP(A996, Sheet4!A:A, Sheet4!C:C)</f>
        <v>0</v>
      </c>
      <c r="C996" s="10">
        <v>-1</v>
      </c>
      <c r="D996" s="10">
        <f>_xlfn.XLOOKUP(A996, Sheet2!A:A, Sheet2!B:B)</f>
        <v>7.718</v>
      </c>
      <c r="E996" s="10">
        <f>_xlfn.XLOOKUP(A996, Sheet1!A:A, Sheet1!G:G)</f>
        <v>1</v>
      </c>
      <c r="F996" s="10">
        <f t="shared" si="15"/>
        <v>1</v>
      </c>
      <c r="G996" cm="1">
        <f t="array" ref="G996:J996">_xlfn.XLOOKUP(A996, Sheet1!A:A, Sheet1!C:F)</f>
        <v>3.3333333330000001</v>
      </c>
      <c r="H996">
        <v>16.666666670000001</v>
      </c>
      <c r="I996">
        <v>16.666666670000001</v>
      </c>
      <c r="J996">
        <v>46.666666669999998</v>
      </c>
    </row>
    <row r="997" spans="1:10" x14ac:dyDescent="0.3">
      <c r="A997" t="str" cm="1">
        <f t="array" ref="A997">IF(ROW()&lt;=COUNTA(Sheet1!A:A), INDEX(Sheet1!A:A, ROW()),
INDEX(Sheet4!A:A, ROW()-COUNTA(Sheet1!A:A)))</f>
        <v>Al16.7Cr11.8Fe15.4Co24.7Ni31.3</v>
      </c>
      <c r="B997" s="10">
        <f>_xlfn.XLOOKUP(A997, Sheet4!A:A, Sheet4!C:C)</f>
        <v>0</v>
      </c>
      <c r="C997" s="10">
        <v>-1</v>
      </c>
      <c r="D997" s="10">
        <f>_xlfn.XLOOKUP(A997, Sheet2!A:A, Sheet2!B:B)</f>
        <v>7.8018000000000001</v>
      </c>
      <c r="E997" s="10">
        <f>_xlfn.XLOOKUP(A997, Sheet1!A:A, Sheet1!G:G)</f>
        <v>1</v>
      </c>
      <c r="F997" s="10">
        <f t="shared" si="15"/>
        <v>1</v>
      </c>
      <c r="G997" cm="1">
        <f t="array" ref="G997:J997">_xlfn.XLOOKUP(A997, Sheet1!A:A, Sheet1!C:F)</f>
        <v>6.6666666670000003</v>
      </c>
      <c r="H997">
        <v>16.666666670000001</v>
      </c>
      <c r="I997">
        <v>16.666666670000001</v>
      </c>
      <c r="J997">
        <v>43.333333330000002</v>
      </c>
    </row>
    <row r="998" spans="1:10" x14ac:dyDescent="0.3">
      <c r="A998" t="str" cm="1">
        <f t="array" ref="A998">IF(ROW()&lt;=COUNTA(Sheet1!A:A), INDEX(Sheet1!A:A, ROW()),
INDEX(Sheet4!A:A, ROW()-COUNTA(Sheet1!A:A)))</f>
        <v>Al16.728Cr13.283Fe17.359Co23.316Ni29.314</v>
      </c>
      <c r="B998" s="10">
        <f>_xlfn.XLOOKUP(A998, Sheet4!A:A, Sheet4!C:C)</f>
        <v>0</v>
      </c>
      <c r="C998" s="10">
        <v>-1</v>
      </c>
      <c r="D998" s="10">
        <f>_xlfn.XLOOKUP(A998, Sheet2!A:A, Sheet2!B:B)</f>
        <v>7.7173999999999996</v>
      </c>
      <c r="E998" s="10">
        <f>_xlfn.XLOOKUP(A998, Sheet1!A:A, Sheet1!G:G)</f>
        <v>1</v>
      </c>
      <c r="F998" s="10">
        <f t="shared" si="15"/>
        <v>1</v>
      </c>
      <c r="G998" cm="1">
        <f t="array" ref="G998:J998">_xlfn.XLOOKUP(A998, Sheet1!A:A, Sheet1!C:F)</f>
        <v>10</v>
      </c>
      <c r="H998">
        <v>16.666666670000001</v>
      </c>
      <c r="I998">
        <v>16.666666670000001</v>
      </c>
      <c r="J998">
        <v>40</v>
      </c>
    </row>
    <row r="999" spans="1:10" x14ac:dyDescent="0.3">
      <c r="A999" t="str" cm="1">
        <f t="array" ref="A999">IF(ROW()&lt;=COUNTA(Sheet1!A:A), INDEX(Sheet1!A:A, ROW()),
INDEX(Sheet4!A:A, ROW()-COUNTA(Sheet1!A:A)))</f>
        <v>Al16.729Cr22.828Fe31.096Co12.858Ni16.489</v>
      </c>
      <c r="B999" s="10">
        <f>_xlfn.XLOOKUP(A999, Sheet4!A:A, Sheet4!C:C)</f>
        <v>0</v>
      </c>
      <c r="C999" s="10">
        <v>-1</v>
      </c>
      <c r="D999" s="10">
        <f>_xlfn.XLOOKUP(A999, Sheet2!A:A, Sheet2!B:B)</f>
        <v>7.1654</v>
      </c>
      <c r="E999" s="10">
        <f>_xlfn.XLOOKUP(A999, Sheet1!A:A, Sheet1!G:G)</f>
        <v>1</v>
      </c>
      <c r="F999" s="10">
        <f t="shared" si="15"/>
        <v>1</v>
      </c>
      <c r="G999" cm="1">
        <f t="array" ref="G999:J999">_xlfn.XLOOKUP(A999, Sheet1!A:A, Sheet1!C:F)</f>
        <v>13.33333333</v>
      </c>
      <c r="H999">
        <v>16.666666670000001</v>
      </c>
      <c r="I999">
        <v>16.666666670000001</v>
      </c>
      <c r="J999">
        <v>36.666666669999998</v>
      </c>
    </row>
    <row r="1000" spans="1:10" x14ac:dyDescent="0.3">
      <c r="A1000" t="str" cm="1">
        <f t="array" ref="A1000">IF(ROW()&lt;=COUNTA(Sheet1!A:A), INDEX(Sheet1!A:A, ROW()),
INDEX(Sheet4!A:A, ROW()-COUNTA(Sheet1!A:A)))</f>
        <v>Al16.748Cr11.833Fe15.412Co24.729Ni31.277</v>
      </c>
      <c r="B1000" s="10">
        <f>_xlfn.XLOOKUP(A1000, Sheet4!A:A, Sheet4!C:C)</f>
        <v>0</v>
      </c>
      <c r="C1000" s="10">
        <v>-1</v>
      </c>
      <c r="D1000" s="10">
        <f>_xlfn.XLOOKUP(A1000, Sheet2!A:A, Sheet2!B:B)</f>
        <v>7.7988</v>
      </c>
      <c r="E1000" s="10">
        <f>_xlfn.XLOOKUP(A1000, Sheet1!A:A, Sheet1!G:G)</f>
        <v>1</v>
      </c>
      <c r="F1000" s="10">
        <f t="shared" si="15"/>
        <v>1</v>
      </c>
      <c r="G1000" cm="1">
        <f t="array" ref="G1000:J1000">_xlfn.XLOOKUP(A1000, Sheet1!A:A, Sheet1!C:F)</f>
        <v>16.666666670000001</v>
      </c>
      <c r="H1000">
        <v>16.666666670000001</v>
      </c>
      <c r="I1000">
        <v>16.666666670000001</v>
      </c>
      <c r="J1000">
        <v>33.333333330000002</v>
      </c>
    </row>
    <row r="1001" spans="1:10" x14ac:dyDescent="0.3">
      <c r="A1001" t="str" cm="1">
        <f t="array" ref="A1001">IF(ROW()&lt;=COUNTA(Sheet1!A:A), INDEX(Sheet1!A:A, ROW()),
INDEX(Sheet4!A:A, ROW()-COUNTA(Sheet1!A:A)))</f>
        <v>Al16.9Cr21.8Fe20.5Co19.7Ni21.1</v>
      </c>
      <c r="B1001" s="10">
        <f>_xlfn.XLOOKUP(A1001, Sheet4!A:A, Sheet4!C:C)</f>
        <v>0</v>
      </c>
      <c r="C1001" s="10">
        <v>-1</v>
      </c>
      <c r="D1001" s="10">
        <f>_xlfn.XLOOKUP(A1001, Sheet2!A:A, Sheet2!B:B)</f>
        <v>7.3380000000000001</v>
      </c>
      <c r="E1001" s="10">
        <f>_xlfn.XLOOKUP(A1001, Sheet1!A:A, Sheet1!G:G)</f>
        <v>-1</v>
      </c>
      <c r="F1001" s="10">
        <f t="shared" si="15"/>
        <v>-1</v>
      </c>
      <c r="G1001" cm="1">
        <f t="array" ref="G1001:J1001">_xlfn.XLOOKUP(A1001, Sheet1!A:A, Sheet1!C:F)</f>
        <v>16.666666670000001</v>
      </c>
      <c r="H1001">
        <v>33.333333330000002</v>
      </c>
      <c r="I1001">
        <v>16.666666670000001</v>
      </c>
      <c r="J1001">
        <v>16.666666670000001</v>
      </c>
    </row>
    <row r="1002" spans="1:10" x14ac:dyDescent="0.3">
      <c r="A1002" t="str" cm="1">
        <f t="array" ref="A1002">IF(ROW()&lt;=COUNTA(Sheet1!A:A), INDEX(Sheet1!A:A, ROW()),
INDEX(Sheet4!A:A, ROW()-COUNTA(Sheet1!A:A)))</f>
        <v>Al16.915Cr21.793Fe20.497Co19.733Ni21.062</v>
      </c>
      <c r="B1002" s="10">
        <f>_xlfn.XLOOKUP(A1002, Sheet4!A:A, Sheet4!C:C)</f>
        <v>0</v>
      </c>
      <c r="C1002" s="10">
        <v>-1</v>
      </c>
      <c r="D1002" s="10">
        <f>_xlfn.XLOOKUP(A1002, Sheet2!A:A, Sheet2!B:B)</f>
        <v>7.3369999999999997</v>
      </c>
      <c r="E1002" s="10">
        <f>_xlfn.XLOOKUP(A1002, Sheet1!A:A, Sheet1!G:G)</f>
        <v>-1</v>
      </c>
      <c r="F1002" s="10">
        <f t="shared" si="15"/>
        <v>-1</v>
      </c>
      <c r="G1002" cm="1">
        <f t="array" ref="G1002:J1002">_xlfn.XLOOKUP(A1002, Sheet1!A:A, Sheet1!C:F)</f>
        <v>20.833333329999999</v>
      </c>
      <c r="H1002">
        <v>20.833333329999999</v>
      </c>
      <c r="I1002">
        <v>20.833333329999999</v>
      </c>
      <c r="J1002">
        <v>20.833333329999999</v>
      </c>
    </row>
    <row r="1003" spans="1:10" x14ac:dyDescent="0.3">
      <c r="A1003" t="str" cm="1">
        <f t="array" ref="A1003">IF(ROW()&lt;=COUNTA(Sheet1!A:A), INDEX(Sheet1!A:A, ROW()),
INDEX(Sheet4!A:A, ROW()-COUNTA(Sheet1!A:A)))</f>
        <v>AlCo1.9CrFeNi</v>
      </c>
      <c r="B1003" s="10">
        <f>_xlfn.XLOOKUP(A1003, Sheet4!A:A, Sheet4!C:C)</f>
        <v>0</v>
      </c>
      <c r="C1003" s="10">
        <v>-1</v>
      </c>
      <c r="D1003" s="10">
        <f>_xlfn.XLOOKUP(A1003, Sheet2!A:A, Sheet2!B:B)</f>
        <v>7.4745999999999997</v>
      </c>
      <c r="E1003" s="10">
        <f>_xlfn.XLOOKUP(A1003, Sheet1!A:A, Sheet1!G:G)</f>
        <v>-1</v>
      </c>
      <c r="F1003" s="10">
        <f t="shared" si="15"/>
        <v>-1</v>
      </c>
      <c r="G1003" cm="1">
        <f t="array" ref="G1003:J1003">_xlfn.XLOOKUP(A1003, Sheet1!A:A, Sheet1!C:F)</f>
        <v>12.9</v>
      </c>
      <c r="H1003">
        <v>22.8</v>
      </c>
      <c r="I1003">
        <v>31.1</v>
      </c>
      <c r="J1003">
        <v>16.5</v>
      </c>
    </row>
    <row r="1004" spans="1:10" x14ac:dyDescent="0.3">
      <c r="A1004" t="str" cm="1">
        <f t="array" ref="A1004">IF(ROW()&lt;=COUNTA(Sheet1!A:A), INDEX(Sheet1!A:A, ROW()),
INDEX(Sheet4!A:A, ROW()-COUNTA(Sheet1!A:A)))</f>
        <v>Al17Co14.3Cr14.3Fe14.3Ni40.1</v>
      </c>
      <c r="B1004" s="10">
        <f>_xlfn.XLOOKUP(A1004, Sheet4!A:A, Sheet4!C:C)</f>
        <v>0</v>
      </c>
      <c r="C1004" s="10">
        <v>-1</v>
      </c>
      <c r="D1004" s="10">
        <f>_xlfn.XLOOKUP(A1004, Sheet2!A:A, Sheet2!B:B)</f>
        <v>7.8090000000000002</v>
      </c>
      <c r="E1004" s="10">
        <f>_xlfn.XLOOKUP(A1004, Sheet1!A:A, Sheet1!G:G)</f>
        <v>-1</v>
      </c>
      <c r="F1004" s="10">
        <f t="shared" si="15"/>
        <v>-1</v>
      </c>
      <c r="G1004" cm="1">
        <f t="array" ref="G1004:J1004">_xlfn.XLOOKUP(A1004, Sheet1!A:A, Sheet1!C:F)</f>
        <v>23.3</v>
      </c>
      <c r="H1004">
        <v>13.3</v>
      </c>
      <c r="I1004">
        <v>17.399999999999999</v>
      </c>
      <c r="J1004">
        <v>29.3</v>
      </c>
    </row>
    <row r="1005" spans="1:10" x14ac:dyDescent="0.3">
      <c r="A1005" t="str" cm="1">
        <f t="array" ref="A1005">IF(ROW()&lt;=COUNTA(Sheet1!A:A), INDEX(Sheet1!A:A, ROW()),
INDEX(Sheet4!A:A, ROW()-COUNTA(Sheet1!A:A)))</f>
        <v>Al17Co14.3Cr14.3Fe28.6Ni25.8</v>
      </c>
      <c r="B1005" s="10">
        <f>_xlfn.XLOOKUP(A1005, Sheet4!A:A, Sheet4!C:C)</f>
        <v>0</v>
      </c>
      <c r="C1005" s="10">
        <v>-1</v>
      </c>
      <c r="D1005" s="10">
        <f>_xlfn.XLOOKUP(A1005, Sheet2!A:A, Sheet2!B:B)</f>
        <v>7.5229999999999997</v>
      </c>
      <c r="E1005" s="10">
        <f>_xlfn.XLOOKUP(A1005, Sheet1!A:A, Sheet1!G:G)</f>
        <v>-1</v>
      </c>
      <c r="F1005" s="10">
        <f t="shared" si="15"/>
        <v>-1</v>
      </c>
      <c r="G1005" cm="1">
        <f t="array" ref="G1005:J1005">_xlfn.XLOOKUP(A1005, Sheet1!A:A, Sheet1!C:F)</f>
        <v>24.7</v>
      </c>
      <c r="H1005">
        <v>11.8</v>
      </c>
      <c r="I1005">
        <v>15.4</v>
      </c>
      <c r="J1005">
        <v>31.3</v>
      </c>
    </row>
    <row r="1006" spans="1:10" x14ac:dyDescent="0.3">
      <c r="A1006" t="str" cm="1">
        <f t="array" ref="A1006">IF(ROW()&lt;=COUNTA(Sheet1!A:A), INDEX(Sheet1!A:A, ROW()),
INDEX(Sheet4!A:A, ROW()-COUNTA(Sheet1!A:A)))</f>
        <v>Al17Co17Cr17Fe17Ni17Fe15</v>
      </c>
      <c r="B1006" s="10">
        <f>_xlfn.XLOOKUP(A1006, Sheet4!A:A, Sheet4!C:C)</f>
        <v>0</v>
      </c>
      <c r="C1006" s="10">
        <v>-1</v>
      </c>
      <c r="D1006" s="10">
        <f>_xlfn.XLOOKUP(A1006, Sheet2!A:A, Sheet2!B:B)</f>
        <v>7.32</v>
      </c>
      <c r="E1006" s="10">
        <f>_xlfn.XLOOKUP(A1006, Sheet1!A:A, Sheet1!G:G)</f>
        <v>-1</v>
      </c>
      <c r="F1006" s="10">
        <f t="shared" si="15"/>
        <v>-1</v>
      </c>
      <c r="G1006" cm="1">
        <f t="array" ref="G1006:J1006">_xlfn.XLOOKUP(A1006, Sheet1!A:A, Sheet1!C:F)</f>
        <v>23.315999999999999</v>
      </c>
      <c r="H1006">
        <v>13.282999999999999</v>
      </c>
      <c r="I1006">
        <v>17.359000000000002</v>
      </c>
      <c r="J1006">
        <v>29.314</v>
      </c>
    </row>
    <row r="1007" spans="1:10" x14ac:dyDescent="0.3">
      <c r="A1007" t="str" cm="1">
        <f t="array" ref="A1007">IF(ROW()&lt;=COUNTA(Sheet1!A:A), INDEX(Sheet1!A:A, ROW()),
INDEX(Sheet4!A:A, ROW()-COUNTA(Sheet1!A:A)))</f>
        <v>Al17Cr21.1Fe23.7Co18.5Ni19.7</v>
      </c>
      <c r="B1007" s="10">
        <f>_xlfn.XLOOKUP(A1007, Sheet4!A:A, Sheet4!C:C)</f>
        <v>0</v>
      </c>
      <c r="C1007" s="10">
        <v>-1</v>
      </c>
      <c r="D1007" s="10">
        <f>_xlfn.XLOOKUP(A1007, Sheet2!A:A, Sheet2!B:B)</f>
        <v>7.3070000000000004</v>
      </c>
      <c r="E1007" s="10">
        <f>_xlfn.XLOOKUP(A1007, Sheet1!A:A, Sheet1!G:G)</f>
        <v>-1</v>
      </c>
      <c r="F1007" s="10">
        <f t="shared" si="15"/>
        <v>-1</v>
      </c>
      <c r="G1007" cm="1">
        <f t="array" ref="G1007:J1007">_xlfn.XLOOKUP(A1007, Sheet1!A:A, Sheet1!C:F)</f>
        <v>12.858000000000001</v>
      </c>
      <c r="H1007">
        <v>22.827999999999999</v>
      </c>
      <c r="I1007">
        <v>31.096</v>
      </c>
      <c r="J1007">
        <v>16.489000000000001</v>
      </c>
    </row>
    <row r="1008" spans="1:10" x14ac:dyDescent="0.3">
      <c r="A1008" t="str" cm="1">
        <f t="array" ref="A1008">IF(ROW()&lt;=COUNTA(Sheet1!A:A), INDEX(Sheet1!A:A, ROW()),
INDEX(Sheet4!A:A, ROW()-COUNTA(Sheet1!A:A)))</f>
        <v>Al17Co28.6Cr14.3Fe14.3Ni25.8</v>
      </c>
      <c r="B1008" s="10">
        <f>_xlfn.XLOOKUP(A1008, Sheet4!A:A, Sheet4!C:C)</f>
        <v>0</v>
      </c>
      <c r="C1008" s="10">
        <v>-1</v>
      </c>
      <c r="D1008" s="10">
        <f>_xlfn.XLOOKUP(A1008, Sheet2!A:A, Sheet2!B:B)</f>
        <v>7.6660000000000004</v>
      </c>
      <c r="E1008" s="10">
        <f>_xlfn.XLOOKUP(A1008, Sheet1!A:A, Sheet1!G:G)</f>
        <v>-1</v>
      </c>
      <c r="F1008" s="10">
        <f t="shared" si="15"/>
        <v>-1</v>
      </c>
      <c r="G1008" cm="1">
        <f t="array" ref="G1008:J1008">_xlfn.XLOOKUP(A1008, Sheet1!A:A, Sheet1!C:F)</f>
        <v>24.728999999999999</v>
      </c>
      <c r="H1008">
        <v>11.833</v>
      </c>
      <c r="I1008">
        <v>15.412000000000001</v>
      </c>
      <c r="J1008">
        <v>31.277000000000001</v>
      </c>
    </row>
    <row r="1009" spans="1:10" x14ac:dyDescent="0.3">
      <c r="A1009" t="str" cm="1">
        <f t="array" ref="A1009">IF(ROW()&lt;=COUNTA(Sheet1!A:A), INDEX(Sheet1!A:A, ROW()),
INDEX(Sheet4!A:A, ROW()-COUNTA(Sheet1!A:A)))</f>
        <v>Al17.014Cr21.136Fe23.663Co18.481Ni19.707</v>
      </c>
      <c r="B1009" s="10">
        <f>_xlfn.XLOOKUP(A1009, Sheet4!A:A, Sheet4!C:C)</f>
        <v>0</v>
      </c>
      <c r="C1009" s="10">
        <v>-1</v>
      </c>
      <c r="D1009" s="10">
        <f>_xlfn.XLOOKUP(A1009, Sheet2!A:A, Sheet2!B:B)</f>
        <v>7.3055000000000003</v>
      </c>
      <c r="E1009" s="10">
        <f>_xlfn.XLOOKUP(A1009, Sheet1!A:A, Sheet1!G:G)</f>
        <v>-1</v>
      </c>
      <c r="F1009" s="10">
        <f t="shared" si="15"/>
        <v>-1</v>
      </c>
      <c r="G1009" cm="1">
        <f t="array" ref="G1009:J1009">_xlfn.XLOOKUP(A1009, Sheet1!A:A, Sheet1!C:F)</f>
        <v>19.7</v>
      </c>
      <c r="H1009">
        <v>21.8</v>
      </c>
      <c r="I1009">
        <v>20.5</v>
      </c>
      <c r="J1009">
        <v>21.1</v>
      </c>
    </row>
    <row r="1010" spans="1:10" x14ac:dyDescent="0.3">
      <c r="A1010" t="str" cm="1">
        <f t="array" ref="A1010">IF(ROW()&lt;=COUNTA(Sheet1!A:A), INDEX(Sheet1!A:A, ROW()),
INDEX(Sheet4!A:A, ROW()-COUNTA(Sheet1!A:A)))</f>
        <v>Al17.052Cr14.546Fe19.406Co21.56Ni27.436</v>
      </c>
      <c r="B1010" s="10">
        <f>_xlfn.XLOOKUP(A1010, Sheet4!A:A, Sheet4!C:C)</f>
        <v>0</v>
      </c>
      <c r="C1010" s="10">
        <v>-1</v>
      </c>
      <c r="D1010" s="10">
        <f>_xlfn.XLOOKUP(A1010, Sheet2!A:A, Sheet2!B:B)</f>
        <v>7.6208</v>
      </c>
      <c r="E1010" s="10">
        <f>_xlfn.XLOOKUP(A1010, Sheet1!A:A, Sheet1!G:G)</f>
        <v>-1</v>
      </c>
      <c r="F1010" s="10">
        <f t="shared" si="15"/>
        <v>-1</v>
      </c>
      <c r="G1010" cm="1">
        <f t="array" ref="G1010:J1010">_xlfn.XLOOKUP(A1010, Sheet1!A:A, Sheet1!C:F)</f>
        <v>19.733000000000001</v>
      </c>
      <c r="H1010">
        <v>21.792999999999999</v>
      </c>
      <c r="I1010">
        <v>20.497</v>
      </c>
      <c r="J1010">
        <v>21.062000000000001</v>
      </c>
    </row>
    <row r="1011" spans="1:10" x14ac:dyDescent="0.3">
      <c r="A1011" t="str" cm="1">
        <f t="array" ref="A1011">IF(ROW()&lt;=COUNTA(Sheet1!A:A), INDEX(Sheet1!A:A, ROW()),
INDEX(Sheet4!A:A, ROW()-COUNTA(Sheet1!A:A)))</f>
        <v>Al17.1Cr14.5Fe19.4Co21.6Ni27.4</v>
      </c>
      <c r="B1011" s="10">
        <f>_xlfn.XLOOKUP(A1011, Sheet4!A:A, Sheet4!C:C)</f>
        <v>0</v>
      </c>
      <c r="C1011" s="10">
        <v>-1</v>
      </c>
      <c r="D1011" s="10">
        <f>_xlfn.XLOOKUP(A1011, Sheet2!A:A, Sheet2!B:B)</f>
        <v>7.6189999999999998</v>
      </c>
      <c r="E1011" s="10">
        <f>_xlfn.XLOOKUP(A1011, Sheet1!A:A, Sheet1!G:G)</f>
        <v>-1</v>
      </c>
      <c r="F1011" s="10">
        <f t="shared" si="15"/>
        <v>-1</v>
      </c>
      <c r="G1011" cm="1">
        <f t="array" ref="G1011:J1011">_xlfn.XLOOKUP(A1011, Sheet1!A:A, Sheet1!C:F)</f>
        <v>32.203389829999999</v>
      </c>
      <c r="H1011">
        <v>16.94915254</v>
      </c>
      <c r="I1011">
        <v>16.94915254</v>
      </c>
      <c r="J1011">
        <v>16.94915254</v>
      </c>
    </row>
    <row r="1012" spans="1:10" x14ac:dyDescent="0.3">
      <c r="A1012" t="str" cm="1">
        <f t="array" ref="A1012">IF(ROW()&lt;=COUNTA(Sheet1!A:A), INDEX(Sheet1!A:A, ROW()),
INDEX(Sheet4!A:A, ROW()-COUNTA(Sheet1!A:A)))</f>
        <v>AlCoCrFeNi1.75</v>
      </c>
      <c r="B1012" s="10">
        <f>_xlfn.XLOOKUP(A1012, Sheet4!A:A, Sheet4!C:C)</f>
        <v>0</v>
      </c>
      <c r="C1012" s="10">
        <v>-1</v>
      </c>
      <c r="D1012" s="10">
        <f>_xlfn.XLOOKUP(A1012, Sheet2!A:A, Sheet2!B:B)</f>
        <v>7.5651999999999999</v>
      </c>
      <c r="E1012" s="10">
        <f>_xlfn.XLOOKUP(A1012, Sheet1!A:A, Sheet1!G:G)</f>
        <v>1</v>
      </c>
      <c r="F1012" s="10">
        <f t="shared" si="15"/>
        <v>1</v>
      </c>
      <c r="G1012" cm="1">
        <f t="array" ref="G1012:J1012">_xlfn.XLOOKUP(A1012, Sheet1!A:A, Sheet1!C:F)</f>
        <v>14.3</v>
      </c>
      <c r="H1012">
        <v>14.3</v>
      </c>
      <c r="I1012">
        <v>14.3</v>
      </c>
      <c r="J1012">
        <v>40.1</v>
      </c>
    </row>
    <row r="1013" spans="1:10" x14ac:dyDescent="0.3">
      <c r="A1013" t="str" cm="1">
        <f t="array" ref="A1013">IF(ROW()&lt;=COUNTA(Sheet1!A:A), INDEX(Sheet1!A:A, ROW()),
INDEX(Sheet4!A:A, ROW()-COUNTA(Sheet1!A:A)))</f>
        <v>Al17.4Cr22.5Fe17.3Co20.7Ni22.1</v>
      </c>
      <c r="B1013" s="10">
        <f>_xlfn.XLOOKUP(A1013, Sheet4!A:A, Sheet4!C:C)</f>
        <v>0</v>
      </c>
      <c r="C1013" s="10">
        <v>-1</v>
      </c>
      <c r="D1013" s="10">
        <f>_xlfn.XLOOKUP(A1013, Sheet2!A:A, Sheet2!B:B)</f>
        <v>7.3289999999999997</v>
      </c>
      <c r="E1013" s="10">
        <f>_xlfn.XLOOKUP(A1013, Sheet1!A:A, Sheet1!G:G)</f>
        <v>1</v>
      </c>
      <c r="F1013" s="10">
        <f t="shared" si="15"/>
        <v>1</v>
      </c>
      <c r="G1013" cm="1">
        <f t="array" ref="G1013:J1013">_xlfn.XLOOKUP(A1013, Sheet1!A:A, Sheet1!C:F)</f>
        <v>14.3</v>
      </c>
      <c r="H1013">
        <v>14.3</v>
      </c>
      <c r="I1013">
        <v>28.6</v>
      </c>
      <c r="J1013">
        <v>25.8</v>
      </c>
    </row>
    <row r="1014" spans="1:10" x14ac:dyDescent="0.3">
      <c r="A1014" t="str" cm="1">
        <f t="array" ref="A1014">IF(ROW()&lt;=COUNTA(Sheet1!A:A), INDEX(Sheet1!A:A, ROW()),
INDEX(Sheet4!A:A, ROW()-COUNTA(Sheet1!A:A)))</f>
        <v>Al17.409Cr22.472Fe17.258Co20.714Ni22.147</v>
      </c>
      <c r="B1014" s="10">
        <f>_xlfn.XLOOKUP(A1014, Sheet4!A:A, Sheet4!C:C)</f>
        <v>0</v>
      </c>
      <c r="C1014" s="10">
        <v>-1</v>
      </c>
      <c r="D1014" s="10">
        <f>_xlfn.XLOOKUP(A1014, Sheet2!A:A, Sheet2!B:B)</f>
        <v>7.3301999999999996</v>
      </c>
      <c r="E1014" s="10">
        <f>_xlfn.XLOOKUP(A1014, Sheet1!A:A, Sheet1!G:G)</f>
        <v>-1</v>
      </c>
      <c r="F1014" s="10">
        <f t="shared" si="15"/>
        <v>-1</v>
      </c>
      <c r="G1014" cm="1">
        <f t="array" ref="G1014:J1014">_xlfn.XLOOKUP(A1014, Sheet1!A:A, Sheet1!C:F)</f>
        <v>17</v>
      </c>
      <c r="H1014">
        <v>17</v>
      </c>
      <c r="I1014">
        <v>15</v>
      </c>
      <c r="J1014">
        <v>17</v>
      </c>
    </row>
    <row r="1015" spans="1:10" x14ac:dyDescent="0.3">
      <c r="A1015" t="str" cm="1">
        <f t="array" ref="A1015">IF(ROW()&lt;=COUNTA(Sheet1!A:A), INDEX(Sheet1!A:A, ROW()),
INDEX(Sheet4!A:A, ROW()-COUNTA(Sheet1!A:A)))</f>
        <v>Al0.7Co0.3CrFeNi</v>
      </c>
      <c r="B1015" s="10">
        <f>_xlfn.XLOOKUP(A1015, Sheet4!A:A, Sheet4!C:C)</f>
        <v>0</v>
      </c>
      <c r="C1015" s="10">
        <v>-1</v>
      </c>
      <c r="D1015" s="10">
        <f>_xlfn.XLOOKUP(A1015, Sheet2!A:A, Sheet2!B:B)</f>
        <v>7.2</v>
      </c>
      <c r="E1015" s="10">
        <f>_xlfn.XLOOKUP(A1015, Sheet1!A:A, Sheet1!G:G)</f>
        <v>-1</v>
      </c>
      <c r="F1015" s="10">
        <f t="shared" si="15"/>
        <v>-1</v>
      </c>
      <c r="G1015" cm="1">
        <f t="array" ref="G1015:J1015">_xlfn.XLOOKUP(A1015, Sheet1!A:A, Sheet1!C:F)</f>
        <v>18.5</v>
      </c>
      <c r="H1015">
        <v>21.1</v>
      </c>
      <c r="I1015">
        <v>23.7</v>
      </c>
      <c r="J1015">
        <v>19.7</v>
      </c>
    </row>
    <row r="1016" spans="1:10" x14ac:dyDescent="0.3">
      <c r="A1016" t="str" cm="1">
        <f t="array" ref="A1016">IF(ROW()&lt;=COUNTA(Sheet1!A:A), INDEX(Sheet1!A:A, ROW()),
INDEX(Sheet4!A:A, ROW()-COUNTA(Sheet1!A:A)))</f>
        <v>Al17.6Cr23.2Fe6.8Co25.7Ni26.6</v>
      </c>
      <c r="B1016" s="10">
        <f>_xlfn.XLOOKUP(A1016, Sheet4!A:A, Sheet4!C:C)</f>
        <v>0</v>
      </c>
      <c r="C1016" s="10">
        <v>-1</v>
      </c>
      <c r="D1016" s="10">
        <f>_xlfn.XLOOKUP(A1016, Sheet2!A:A, Sheet2!B:B)</f>
        <v>7.4443999999999999</v>
      </c>
      <c r="E1016" s="10">
        <f>_xlfn.XLOOKUP(A1016, Sheet1!A:A, Sheet1!G:G)</f>
        <v>1</v>
      </c>
      <c r="F1016" s="10">
        <f t="shared" si="15"/>
        <v>1</v>
      </c>
      <c r="G1016" cm="1">
        <f t="array" ref="G1016:J1016">_xlfn.XLOOKUP(A1016, Sheet1!A:A, Sheet1!C:F)</f>
        <v>28.6</v>
      </c>
      <c r="H1016">
        <v>14.3</v>
      </c>
      <c r="I1016">
        <v>14.3</v>
      </c>
      <c r="J1016">
        <v>25.8</v>
      </c>
    </row>
    <row r="1017" spans="1:10" x14ac:dyDescent="0.3">
      <c r="A1017" t="str" cm="1">
        <f t="array" ref="A1017">IF(ROW()&lt;=COUNTA(Sheet1!A:A), INDEX(Sheet1!A:A, ROW()),
INDEX(Sheet4!A:A, ROW()-COUNTA(Sheet1!A:A)))</f>
        <v>Al17.642Cr23.177Fe6.8228Co25.723Ni26.636</v>
      </c>
      <c r="B1017" s="10">
        <f>_xlfn.XLOOKUP(A1017, Sheet4!A:A, Sheet4!C:C)</f>
        <v>0</v>
      </c>
      <c r="C1017" s="10">
        <v>-1</v>
      </c>
      <c r="D1017" s="10">
        <f>_xlfn.XLOOKUP(A1017, Sheet2!A:A, Sheet2!B:B)</f>
        <v>7.4443000000000001</v>
      </c>
      <c r="E1017" s="10">
        <f>_xlfn.XLOOKUP(A1017, Sheet1!A:A, Sheet1!G:G)</f>
        <v>-1</v>
      </c>
      <c r="F1017" s="10">
        <f t="shared" si="15"/>
        <v>-1</v>
      </c>
      <c r="G1017" cm="1">
        <f t="array" ref="G1017:J1017">_xlfn.XLOOKUP(A1017, Sheet1!A:A, Sheet1!C:F)</f>
        <v>18.481000000000002</v>
      </c>
      <c r="H1017">
        <v>21.135999999999999</v>
      </c>
      <c r="I1017">
        <v>23.663</v>
      </c>
      <c r="J1017">
        <v>19.707000000000001</v>
      </c>
    </row>
    <row r="1018" spans="1:10" x14ac:dyDescent="0.3">
      <c r="A1018" t="str" cm="1">
        <f t="array" ref="A1018">IF(ROW()&lt;=COUNTA(Sheet1!A:A), INDEX(Sheet1!A:A, ROW()),
INDEX(Sheet4!A:A, ROW()-COUNTA(Sheet1!A:A)))</f>
        <v>Al17.662Cr23.102Fe12.532Co22.78Ni23.924</v>
      </c>
      <c r="B1018" s="10">
        <f>_xlfn.XLOOKUP(A1018, Sheet4!A:A, Sheet4!C:C)</f>
        <v>0</v>
      </c>
      <c r="C1018" s="10">
        <v>-1</v>
      </c>
      <c r="D1018" s="10">
        <f>_xlfn.XLOOKUP(A1018, Sheet2!A:A, Sheet2!B:B)</f>
        <v>7.3611000000000004</v>
      </c>
      <c r="E1018" s="10">
        <f>_xlfn.XLOOKUP(A1018, Sheet1!A:A, Sheet1!G:G)</f>
        <v>-1</v>
      </c>
      <c r="F1018" s="10">
        <f t="shared" si="15"/>
        <v>-1</v>
      </c>
      <c r="G1018" cm="1">
        <f t="array" ref="G1018:J1018">_xlfn.XLOOKUP(A1018, Sheet1!A:A, Sheet1!C:F)</f>
        <v>21.56</v>
      </c>
      <c r="H1018">
        <v>14.545999999999999</v>
      </c>
      <c r="I1018">
        <v>19.405999999999999</v>
      </c>
      <c r="J1018">
        <v>27.436</v>
      </c>
    </row>
    <row r="1019" spans="1:10" x14ac:dyDescent="0.3">
      <c r="A1019" t="str" cm="1">
        <f t="array" ref="A1019">IF(ROW()&lt;=COUNTA(Sheet1!A:A), INDEX(Sheet1!A:A, ROW()),
INDEX(Sheet4!A:A, ROW()-COUNTA(Sheet1!A:A)))</f>
        <v>Al17.698Cr22.938Fe14.456Co21.892Ni23.016</v>
      </c>
      <c r="B1019" s="10">
        <f>_xlfn.XLOOKUP(A1019, Sheet4!A:A, Sheet4!C:C)</f>
        <v>0</v>
      </c>
      <c r="C1019" s="10">
        <v>-1</v>
      </c>
      <c r="D1019" s="10">
        <f>_xlfn.XLOOKUP(A1019, Sheet2!A:A, Sheet2!B:B)</f>
        <v>7.3356000000000003</v>
      </c>
      <c r="E1019" s="10">
        <f>_xlfn.XLOOKUP(A1019, Sheet1!A:A, Sheet1!G:G)</f>
        <v>-1</v>
      </c>
      <c r="F1019" s="10">
        <f t="shared" si="15"/>
        <v>-1</v>
      </c>
      <c r="G1019" cm="1">
        <f t="array" ref="G1019:J1019">_xlfn.XLOOKUP(A1019, Sheet1!A:A, Sheet1!C:F)</f>
        <v>21.6</v>
      </c>
      <c r="H1019">
        <v>14.5</v>
      </c>
      <c r="I1019">
        <v>19.399999999999999</v>
      </c>
      <c r="J1019">
        <v>27.4</v>
      </c>
    </row>
    <row r="1020" spans="1:10" x14ac:dyDescent="0.3">
      <c r="A1020" t="str" cm="1">
        <f t="array" ref="A1020">IF(ROW()&lt;=COUNTA(Sheet1!A:A), INDEX(Sheet1!A:A, ROW()),
INDEX(Sheet4!A:A, ROW()-COUNTA(Sheet1!A:A)))</f>
        <v>Al17.7Cr22.9Fe14.5Co21.9Ni23</v>
      </c>
      <c r="B1020" s="10">
        <f>_xlfn.XLOOKUP(A1020, Sheet4!A:A, Sheet4!C:C)</f>
        <v>0</v>
      </c>
      <c r="C1020" s="10">
        <v>-1</v>
      </c>
      <c r="D1020" s="10">
        <f>_xlfn.XLOOKUP(A1020, Sheet2!A:A, Sheet2!B:B)</f>
        <v>7.3360000000000003</v>
      </c>
      <c r="E1020" s="10">
        <f>_xlfn.XLOOKUP(A1020, Sheet1!A:A, Sheet1!G:G)</f>
        <v>-1</v>
      </c>
      <c r="F1020" s="10">
        <f t="shared" si="15"/>
        <v>-1</v>
      </c>
      <c r="G1020" cm="1">
        <f t="array" ref="G1020:J1020">_xlfn.XLOOKUP(A1020, Sheet1!A:A, Sheet1!C:F)</f>
        <v>17.391304349999999</v>
      </c>
      <c r="H1020">
        <v>17.391304349999999</v>
      </c>
      <c r="I1020">
        <v>17.391304349999999</v>
      </c>
      <c r="J1020">
        <v>30.434782609999999</v>
      </c>
    </row>
    <row r="1021" spans="1:10" x14ac:dyDescent="0.3">
      <c r="A1021" t="str" cm="1">
        <f t="array" ref="A1021">IF(ROW()&lt;=COUNTA(Sheet1!A:A), INDEX(Sheet1!A:A, ROW()),
INDEX(Sheet4!A:A, ROW()-COUNTA(Sheet1!A:A)))</f>
        <v>Al17.7Cr23.1Fe12.5Co22.8Ni23.9</v>
      </c>
      <c r="B1021" s="10">
        <f>_xlfn.XLOOKUP(A1021, Sheet4!A:A, Sheet4!C:C)</f>
        <v>0</v>
      </c>
      <c r="C1021" s="10">
        <v>-1</v>
      </c>
      <c r="D1021" s="10">
        <f>_xlfn.XLOOKUP(A1021, Sheet2!A:A, Sheet2!B:B)</f>
        <v>7.359</v>
      </c>
      <c r="E1021" s="10">
        <f>_xlfn.XLOOKUP(A1021, Sheet1!A:A, Sheet1!G:G)</f>
        <v>-1</v>
      </c>
      <c r="F1021" s="10">
        <f t="shared" si="15"/>
        <v>-1</v>
      </c>
      <c r="G1021" cm="1">
        <f t="array" ref="G1021:J1021">_xlfn.XLOOKUP(A1021, Sheet1!A:A, Sheet1!C:F)</f>
        <v>20.7</v>
      </c>
      <c r="H1021">
        <v>22.5</v>
      </c>
      <c r="I1021">
        <v>17.3</v>
      </c>
      <c r="J1021">
        <v>22.1</v>
      </c>
    </row>
    <row r="1022" spans="1:10" x14ac:dyDescent="0.3">
      <c r="A1022" t="str" cm="1">
        <f t="array" ref="A1022">IF(ROW()&lt;=COUNTA(Sheet1!A:A), INDEX(Sheet1!A:A, ROW()),
INDEX(Sheet4!A:A, ROW()-COUNTA(Sheet1!A:A)))</f>
        <v>Al1.1CoCrFeNi2.1</v>
      </c>
      <c r="B1022" s="10">
        <f>_xlfn.XLOOKUP(A1022, Sheet4!A:A, Sheet4!C:C)</f>
        <v>0</v>
      </c>
      <c r="C1022" s="10">
        <v>-1</v>
      </c>
      <c r="D1022" s="10">
        <f>_xlfn.XLOOKUP(A1022, Sheet2!A:A, Sheet2!B:B)</f>
        <v>7.6289999999999996</v>
      </c>
      <c r="E1022" s="10">
        <f>_xlfn.XLOOKUP(A1022, Sheet1!A:A, Sheet1!G:G)</f>
        <v>-1</v>
      </c>
      <c r="F1022" s="10">
        <f t="shared" si="15"/>
        <v>-1</v>
      </c>
      <c r="G1022" cm="1">
        <f t="array" ref="G1022:J1022">_xlfn.XLOOKUP(A1022, Sheet1!A:A, Sheet1!C:F)</f>
        <v>20.713999999999999</v>
      </c>
      <c r="H1022">
        <v>22.472000000000001</v>
      </c>
      <c r="I1022">
        <v>17.257999999999999</v>
      </c>
      <c r="J1022">
        <v>22.146999999999998</v>
      </c>
    </row>
    <row r="1023" spans="1:10" x14ac:dyDescent="0.3">
      <c r="A1023" t="str" cm="1">
        <f t="array" ref="A1023">IF(ROW()&lt;=COUNTA(Sheet1!A:A), INDEX(Sheet1!A:A, ROW()),
INDEX(Sheet4!A:A, ROW()-COUNTA(Sheet1!A:A)))</f>
        <v>Al17.791Cr23.36Fe9.1903Co24.246Ni25.413</v>
      </c>
      <c r="B1023" s="10">
        <f>_xlfn.XLOOKUP(A1023, Sheet4!A:A, Sheet4!C:C)</f>
        <v>0</v>
      </c>
      <c r="C1023" s="10">
        <v>-1</v>
      </c>
      <c r="D1023" s="10">
        <f>_xlfn.XLOOKUP(A1023, Sheet2!A:A, Sheet2!B:B)</f>
        <v>7.3940000000000001</v>
      </c>
      <c r="E1023" s="10">
        <f>_xlfn.XLOOKUP(A1023, Sheet1!A:A, Sheet1!G:G)</f>
        <v>-1</v>
      </c>
      <c r="F1023" s="10">
        <f t="shared" si="15"/>
        <v>-1</v>
      </c>
      <c r="G1023" cm="1">
        <f t="array" ref="G1023:J1023">_xlfn.XLOOKUP(A1023, Sheet1!A:A, Sheet1!C:F)</f>
        <v>7.5</v>
      </c>
      <c r="H1023">
        <v>25</v>
      </c>
      <c r="I1023">
        <v>25</v>
      </c>
      <c r="J1023">
        <v>25</v>
      </c>
    </row>
    <row r="1024" spans="1:10" x14ac:dyDescent="0.3">
      <c r="A1024" t="str" cm="1">
        <f t="array" ref="A1024">IF(ROW()&lt;=COUNTA(Sheet1!A:A), INDEX(Sheet1!A:A, ROW()),
INDEX(Sheet4!A:A, ROW()-COUNTA(Sheet1!A:A)))</f>
        <v>Al17.8Cr23.4Fe9.2Co24.2Ni25.4</v>
      </c>
      <c r="B1024" s="10">
        <f>_xlfn.XLOOKUP(A1024, Sheet4!A:A, Sheet4!C:C)</f>
        <v>0</v>
      </c>
      <c r="C1024" s="10">
        <v>-1</v>
      </c>
      <c r="D1024" s="10">
        <f>_xlfn.XLOOKUP(A1024, Sheet2!A:A, Sheet2!B:B)</f>
        <v>7.3920000000000003</v>
      </c>
      <c r="E1024" s="10">
        <f>_xlfn.XLOOKUP(A1024, Sheet1!A:A, Sheet1!G:G)</f>
        <v>-1</v>
      </c>
      <c r="F1024" s="10">
        <f t="shared" si="15"/>
        <v>-1</v>
      </c>
      <c r="G1024" cm="1">
        <f t="array" ref="G1024:J1024">_xlfn.XLOOKUP(A1024, Sheet1!A:A, Sheet1!C:F)</f>
        <v>25.7</v>
      </c>
      <c r="H1024">
        <v>23.2</v>
      </c>
      <c r="I1024">
        <v>6.8</v>
      </c>
      <c r="J1024">
        <v>26.6</v>
      </c>
    </row>
    <row r="1025" spans="1:10" x14ac:dyDescent="0.3">
      <c r="A1025" t="str" cm="1">
        <f t="array" ref="A1025">IF(ROW()&lt;=COUNTA(Sheet1!A:A), INDEX(Sheet1!A:A, ROW()),
INDEX(Sheet4!A:A, ROW()-COUNTA(Sheet1!A:A)))</f>
        <v>Al0.875CoCrFeNi</v>
      </c>
      <c r="B1025" s="10" t="str">
        <f>_xlfn.XLOOKUP(A1025, Sheet4!A:A, Sheet4!C:C)</f>
        <v>BCC</v>
      </c>
      <c r="C1025" s="10">
        <v>0</v>
      </c>
      <c r="D1025" s="10">
        <f>_xlfn.XLOOKUP(A1025, Sheet2!A:A, Sheet2!B:B)</f>
        <v>7.3076999999999996</v>
      </c>
      <c r="E1025" s="10">
        <f>_xlfn.XLOOKUP(A1025, Sheet1!A:A, Sheet1!G:G)</f>
        <v>-1</v>
      </c>
      <c r="F1025" s="10">
        <f t="shared" si="15"/>
        <v>0</v>
      </c>
      <c r="G1025" cm="1">
        <f t="array" ref="G1025:J1025">_xlfn.XLOOKUP(A1025, Sheet1!A:A, Sheet1!C:F)</f>
        <v>25.722999999999999</v>
      </c>
      <c r="H1025">
        <v>23.177</v>
      </c>
      <c r="I1025">
        <v>6.8228</v>
      </c>
      <c r="J1025">
        <v>26.635999999999999</v>
      </c>
    </row>
    <row r="1026" spans="1:10" x14ac:dyDescent="0.3">
      <c r="A1026" t="str" cm="1">
        <f t="array" ref="A1026">IF(ROW()&lt;=COUNTA(Sheet1!A:A), INDEX(Sheet1!A:A, ROW()),
INDEX(Sheet4!A:A, ROW()-COUNTA(Sheet1!A:A)))</f>
        <v>Al0.875CoCrFeNi</v>
      </c>
      <c r="B1026" s="10" t="str">
        <f>_xlfn.XLOOKUP(A1026, Sheet4!A:A, Sheet4!C:C)</f>
        <v>BCC</v>
      </c>
      <c r="C1026" s="10">
        <v>0</v>
      </c>
      <c r="D1026" s="10">
        <f>_xlfn.XLOOKUP(A1026, Sheet2!A:A, Sheet2!B:B)</f>
        <v>7.3076999999999996</v>
      </c>
      <c r="E1026" s="10">
        <f>_xlfn.XLOOKUP(A1026, Sheet1!A:A, Sheet1!G:G)</f>
        <v>-1</v>
      </c>
      <c r="F1026" s="10">
        <f t="shared" si="15"/>
        <v>0</v>
      </c>
      <c r="G1026" cm="1">
        <f t="array" ref="G1026:J1026">_xlfn.XLOOKUP(A1026, Sheet1!A:A, Sheet1!C:F)</f>
        <v>25.722999999999999</v>
      </c>
      <c r="H1026">
        <v>23.177</v>
      </c>
      <c r="I1026">
        <v>6.8228</v>
      </c>
      <c r="J1026">
        <v>26.635999999999999</v>
      </c>
    </row>
    <row r="1027" spans="1:10" x14ac:dyDescent="0.3">
      <c r="A1027" t="str" cm="1">
        <f t="array" ref="A1027">IF(ROW()&lt;=COUNTA(Sheet1!A:A), INDEX(Sheet1!A:A, ROW()),
INDEX(Sheet4!A:A, ROW()-COUNTA(Sheet1!A:A)))</f>
        <v>Al17.999Cr22.526Fe27.296Co15.615Ni16.563</v>
      </c>
      <c r="B1027" s="10">
        <f>_xlfn.XLOOKUP(A1027, Sheet4!A:A, Sheet4!C:C)</f>
        <v>0</v>
      </c>
      <c r="C1027" s="10">
        <v>-1</v>
      </c>
      <c r="D1027" s="10">
        <f>_xlfn.XLOOKUP(A1027, Sheet2!A:A, Sheet2!B:B)</f>
        <v>7.1368999999999998</v>
      </c>
      <c r="E1027" s="10">
        <f>_xlfn.XLOOKUP(A1027, Sheet1!A:A, Sheet1!G:G)</f>
        <v>-1</v>
      </c>
      <c r="F1027" s="10">
        <f t="shared" ref="F1027:F1090" si="16">IF(OR(C1027=1, E1027=1), 1,
   IF(OR(C1027=0, E1027=0), 0,
      -1))</f>
        <v>-1</v>
      </c>
      <c r="G1027" cm="1">
        <f t="array" ref="G1027:J1027">_xlfn.XLOOKUP(A1027, Sheet1!A:A, Sheet1!C:F)</f>
        <v>22.78</v>
      </c>
      <c r="H1027">
        <v>23.102</v>
      </c>
      <c r="I1027">
        <v>12.532</v>
      </c>
      <c r="J1027">
        <v>23.923999999999999</v>
      </c>
    </row>
    <row r="1028" spans="1:10" x14ac:dyDescent="0.3">
      <c r="A1028" t="str" cm="1">
        <f t="array" ref="A1028">IF(ROW()&lt;=COUNTA(Sheet1!A:A), INDEX(Sheet1!A:A, ROW()),
INDEX(Sheet4!A:A, ROW()-COUNTA(Sheet1!A:A)))</f>
        <v>Al18Cr22.5Fe27.3Co15.6Ni16.6</v>
      </c>
      <c r="B1028" s="10">
        <f>_xlfn.XLOOKUP(A1028, Sheet4!A:A, Sheet4!C:C)</f>
        <v>0</v>
      </c>
      <c r="C1028" s="10">
        <v>-1</v>
      </c>
      <c r="D1028" s="10">
        <f>_xlfn.XLOOKUP(A1028, Sheet2!A:A, Sheet2!B:B)</f>
        <v>7.1379999999999999</v>
      </c>
      <c r="E1028" s="10">
        <f>_xlfn.XLOOKUP(A1028, Sheet1!A:A, Sheet1!G:G)</f>
        <v>-1</v>
      </c>
      <c r="F1028" s="10">
        <f t="shared" si="16"/>
        <v>-1</v>
      </c>
      <c r="G1028" cm="1">
        <f t="array" ref="G1028:J1028">_xlfn.XLOOKUP(A1028, Sheet1!A:A, Sheet1!C:F)</f>
        <v>21.891999999999999</v>
      </c>
      <c r="H1028">
        <v>22.937999999999999</v>
      </c>
      <c r="I1028">
        <v>14.456</v>
      </c>
      <c r="J1028">
        <v>23.015999999999998</v>
      </c>
    </row>
    <row r="1029" spans="1:10" x14ac:dyDescent="0.3">
      <c r="A1029" t="str" cm="1">
        <f t="array" ref="A1029">IF(ROW()&lt;=COUNTA(Sheet1!A:A), INDEX(Sheet1!A:A, ROW()),
INDEX(Sheet4!A:A, ROW()-COUNTA(Sheet1!A:A)))</f>
        <v>Al18Cr21Fe20Co20Ni21</v>
      </c>
      <c r="B1029" s="10">
        <f>_xlfn.XLOOKUP(A1029, Sheet4!A:A, Sheet4!C:C)</f>
        <v>0</v>
      </c>
      <c r="C1029" s="10">
        <v>-1</v>
      </c>
      <c r="D1029" s="10">
        <f>_xlfn.XLOOKUP(A1029, Sheet2!A:A, Sheet2!B:B)</f>
        <v>7.3</v>
      </c>
      <c r="E1029" s="10">
        <f>_xlfn.XLOOKUP(A1029, Sheet1!A:A, Sheet1!G:G)</f>
        <v>-1</v>
      </c>
      <c r="F1029" s="10">
        <f t="shared" si="16"/>
        <v>-1</v>
      </c>
      <c r="G1029" cm="1">
        <f t="array" ref="G1029:J1029">_xlfn.XLOOKUP(A1029, Sheet1!A:A, Sheet1!C:F)</f>
        <v>21.9</v>
      </c>
      <c r="H1029">
        <v>22.9</v>
      </c>
      <c r="I1029">
        <v>14.5</v>
      </c>
      <c r="J1029">
        <v>23</v>
      </c>
    </row>
    <row r="1030" spans="1:10" x14ac:dyDescent="0.3">
      <c r="A1030" t="str" cm="1">
        <f t="array" ref="A1030">IF(ROW()&lt;=COUNTA(Sheet1!A:A), INDEX(Sheet1!A:A, ROW()),
INDEX(Sheet4!A:A, ROW()-COUNTA(Sheet1!A:A)))</f>
        <v>Al18Cr23.4Fe7.7Co24.8Ni26.1</v>
      </c>
      <c r="B1030" s="10">
        <f>_xlfn.XLOOKUP(A1030, Sheet4!A:A, Sheet4!C:C)</f>
        <v>0</v>
      </c>
      <c r="C1030" s="10">
        <v>-1</v>
      </c>
      <c r="D1030" s="10">
        <f>_xlfn.XLOOKUP(A1030, Sheet2!A:A, Sheet2!B:B)</f>
        <v>7.4020000000000001</v>
      </c>
      <c r="E1030" s="10">
        <f>_xlfn.XLOOKUP(A1030, Sheet1!A:A, Sheet1!G:G)</f>
        <v>-1</v>
      </c>
      <c r="F1030" s="10">
        <f t="shared" si="16"/>
        <v>-1</v>
      </c>
      <c r="G1030" cm="1">
        <f t="array" ref="G1030:J1030">_xlfn.XLOOKUP(A1030, Sheet1!A:A, Sheet1!C:F)</f>
        <v>22.8</v>
      </c>
      <c r="H1030">
        <v>23.1</v>
      </c>
      <c r="I1030">
        <v>12.5</v>
      </c>
      <c r="J1030">
        <v>23.9</v>
      </c>
    </row>
    <row r="1031" spans="1:10" x14ac:dyDescent="0.3">
      <c r="A1031" t="str" cm="1">
        <f t="array" ref="A1031">IF(ROW()&lt;=COUNTA(Sheet1!A:A), INDEX(Sheet1!A:A, ROW()),
INDEX(Sheet4!A:A, ROW()-COUNTA(Sheet1!A:A)))</f>
        <v>Co30Cr10Fe10Al18Ni32</v>
      </c>
      <c r="B1031" s="10">
        <f>_xlfn.XLOOKUP(A1031, Sheet4!A:A, Sheet4!C:C)</f>
        <v>0</v>
      </c>
      <c r="C1031" s="10">
        <v>-1</v>
      </c>
      <c r="D1031" s="10">
        <f>_xlfn.XLOOKUP(A1031, Sheet2!A:A, Sheet2!B:B)</f>
        <v>7.84</v>
      </c>
      <c r="E1031" s="10">
        <f>_xlfn.XLOOKUP(A1031, Sheet1!A:A, Sheet1!G:G)</f>
        <v>-1</v>
      </c>
      <c r="F1031" s="10">
        <f t="shared" si="16"/>
        <v>-1</v>
      </c>
      <c r="G1031" cm="1">
        <f t="array" ref="G1031:J1031">_xlfn.XLOOKUP(A1031, Sheet1!A:A, Sheet1!C:F)</f>
        <v>16.129032259999999</v>
      </c>
      <c r="H1031">
        <v>16.129032259999999</v>
      </c>
      <c r="I1031">
        <v>16.129032259999999</v>
      </c>
      <c r="J1031">
        <v>33.870967739999998</v>
      </c>
    </row>
    <row r="1032" spans="1:10" x14ac:dyDescent="0.3">
      <c r="A1032" t="str" cm="1">
        <f t="array" ref="A1032">IF(ROW()&lt;=COUNTA(Sheet1!A:A), INDEX(Sheet1!A:A, ROW()),
INDEX(Sheet4!A:A, ROW()-COUNTA(Sheet1!A:A)))</f>
        <v>Al18.01Cr23.444Fe7.7195Co24.775Ni26.051</v>
      </c>
      <c r="B1032" s="10">
        <f>_xlfn.XLOOKUP(A1032, Sheet4!A:A, Sheet4!C:C)</f>
        <v>0</v>
      </c>
      <c r="C1032" s="10">
        <v>-1</v>
      </c>
      <c r="D1032" s="10">
        <f>_xlfn.XLOOKUP(A1032, Sheet2!A:A, Sheet2!B:B)</f>
        <v>7.3994</v>
      </c>
      <c r="E1032" s="10">
        <f>_xlfn.XLOOKUP(A1032, Sheet1!A:A, Sheet1!G:G)</f>
        <v>-1</v>
      </c>
      <c r="F1032" s="10">
        <f t="shared" si="16"/>
        <v>-1</v>
      </c>
      <c r="G1032" cm="1">
        <f t="array" ref="G1032:J1032">_xlfn.XLOOKUP(A1032, Sheet1!A:A, Sheet1!C:F)</f>
        <v>24.245999999999999</v>
      </c>
      <c r="H1032">
        <v>23.36</v>
      </c>
      <c r="I1032">
        <v>9.1903000000000006</v>
      </c>
      <c r="J1032">
        <v>25.413</v>
      </c>
    </row>
    <row r="1033" spans="1:10" x14ac:dyDescent="0.3">
      <c r="A1033" t="str" cm="1">
        <f t="array" ref="A1033">IF(ROW()&lt;=COUNTA(Sheet1!A:A), INDEX(Sheet1!A:A, ROW()),
INDEX(Sheet4!A:A, ROW()-COUNTA(Sheet1!A:A)))</f>
        <v>CoCrFeNiAl0.88</v>
      </c>
      <c r="B1033" s="10">
        <f>_xlfn.XLOOKUP(A1033, Sheet4!A:A, Sheet4!C:C)</f>
        <v>0</v>
      </c>
      <c r="C1033" s="10">
        <v>-1</v>
      </c>
      <c r="D1033" s="10">
        <f>_xlfn.XLOOKUP(A1033, Sheet2!A:A, Sheet2!B:B)</f>
        <v>7.3033000000000001</v>
      </c>
      <c r="E1033" s="10">
        <f>_xlfn.XLOOKUP(A1033, Sheet1!A:A, Sheet1!G:G)</f>
        <v>-1</v>
      </c>
      <c r="F1033" s="10">
        <f t="shared" si="16"/>
        <v>-1</v>
      </c>
      <c r="G1033" cm="1">
        <f t="array" ref="G1033:J1033">_xlfn.XLOOKUP(A1033, Sheet1!A:A, Sheet1!C:F)</f>
        <v>24.2</v>
      </c>
      <c r="H1033">
        <v>23.4</v>
      </c>
      <c r="I1033">
        <v>9.1999999999999993</v>
      </c>
      <c r="J1033">
        <v>25.4</v>
      </c>
    </row>
    <row r="1034" spans="1:10" x14ac:dyDescent="0.3">
      <c r="A1034" t="str" cm="1">
        <f t="array" ref="A1034">IF(ROW()&lt;=COUNTA(Sheet1!A:A), INDEX(Sheet1!A:A, ROW()),
INDEX(Sheet4!A:A, ROW()-COUNTA(Sheet1!A:A)))</f>
        <v>Al18.071Cr23.327Fe10.652Co23.492Ni24.458</v>
      </c>
      <c r="B1034" s="10">
        <f>_xlfn.XLOOKUP(A1034, Sheet4!A:A, Sheet4!C:C)</f>
        <v>0</v>
      </c>
      <c r="C1034" s="10">
        <v>-1</v>
      </c>
      <c r="D1034" s="10">
        <f>_xlfn.XLOOKUP(A1034, Sheet2!A:A, Sheet2!B:B)</f>
        <v>7.3540000000000001</v>
      </c>
      <c r="E1034" s="10">
        <f>_xlfn.XLOOKUP(A1034, Sheet1!A:A, Sheet1!G:G)</f>
        <v>-1</v>
      </c>
      <c r="F1034" s="10">
        <f t="shared" si="16"/>
        <v>-1</v>
      </c>
      <c r="G1034" cm="1">
        <f t="array" ref="G1034:J1034">_xlfn.XLOOKUP(A1034, Sheet1!A:A, Sheet1!C:F)</f>
        <v>20.512820510000001</v>
      </c>
      <c r="H1034">
        <v>20.512820510000001</v>
      </c>
      <c r="I1034">
        <v>20.512820510000001</v>
      </c>
      <c r="J1034">
        <v>20.512820510000001</v>
      </c>
    </row>
    <row r="1035" spans="1:10" x14ac:dyDescent="0.3">
      <c r="A1035" t="str" cm="1">
        <f t="array" ref="A1035">IF(ROW()&lt;=COUNTA(Sheet1!A:A), INDEX(Sheet1!A:A, ROW()),
INDEX(Sheet4!A:A, ROW()-COUNTA(Sheet1!A:A)))</f>
        <v>Al18.079Cr20.981Fe28.345Co14.222Ni18.373</v>
      </c>
      <c r="B1035" s="10">
        <f>_xlfn.XLOOKUP(A1035, Sheet4!A:A, Sheet4!C:C)</f>
        <v>0</v>
      </c>
      <c r="C1035" s="10">
        <v>-1</v>
      </c>
      <c r="D1035" s="10">
        <f>_xlfn.XLOOKUP(A1035, Sheet2!A:A, Sheet2!B:B)</f>
        <v>7.1860999999999997</v>
      </c>
      <c r="E1035" s="10">
        <f>_xlfn.XLOOKUP(A1035, Sheet1!A:A, Sheet1!G:G)</f>
        <v>-1</v>
      </c>
      <c r="F1035" s="10">
        <f t="shared" si="16"/>
        <v>-1</v>
      </c>
      <c r="G1035" cm="1">
        <f t="array" ref="G1035:J1035">_xlfn.XLOOKUP(A1035, Sheet1!A:A, Sheet1!C:F)</f>
        <v>20.512820510000001</v>
      </c>
      <c r="H1035">
        <v>20.512820510000001</v>
      </c>
      <c r="I1035">
        <v>20.512820510000001</v>
      </c>
      <c r="J1035">
        <v>20.512820510000001</v>
      </c>
    </row>
    <row r="1036" spans="1:10" x14ac:dyDescent="0.3">
      <c r="A1036" t="str" cm="1">
        <f t="array" ref="A1036">IF(ROW()&lt;=COUNTA(Sheet1!A:A), INDEX(Sheet1!A:A, ROW()),
INDEX(Sheet4!A:A, ROW()-COUNTA(Sheet1!A:A)))</f>
        <v>Al18.1Cr23.3Fe10.7Co23.5Ni24.5</v>
      </c>
      <c r="B1036" s="10">
        <f>_xlfn.XLOOKUP(A1036, Sheet4!A:A, Sheet4!C:C)</f>
        <v>0</v>
      </c>
      <c r="C1036" s="10">
        <v>-1</v>
      </c>
      <c r="D1036" s="10">
        <f>_xlfn.XLOOKUP(A1036, Sheet2!A:A, Sheet2!B:B)</f>
        <v>7.3545999999999996</v>
      </c>
      <c r="E1036" s="10">
        <f>_xlfn.XLOOKUP(A1036, Sheet1!A:A, Sheet1!G:G)</f>
        <v>-1</v>
      </c>
      <c r="F1036" s="10">
        <f t="shared" si="16"/>
        <v>-1</v>
      </c>
      <c r="G1036" cm="1">
        <f t="array" ref="G1036:J1036">_xlfn.XLOOKUP(A1036, Sheet1!A:A, Sheet1!C:F)</f>
        <v>15.615</v>
      </c>
      <c r="H1036">
        <v>22.526</v>
      </c>
      <c r="I1036">
        <v>27.295999999999999</v>
      </c>
      <c r="J1036">
        <v>16.562999999999999</v>
      </c>
    </row>
    <row r="1037" spans="1:10" x14ac:dyDescent="0.3">
      <c r="A1037" t="str" cm="1">
        <f t="array" ref="A1037">IF(ROW()&lt;=COUNTA(Sheet1!A:A), INDEX(Sheet1!A:A, ROW()),
INDEX(Sheet4!A:A, ROW()-COUNTA(Sheet1!A:A)))</f>
        <v>Al18.1Cr21Fe28.3Co14.2Ni18.4</v>
      </c>
      <c r="B1037" s="10">
        <f>_xlfn.XLOOKUP(A1037, Sheet4!A:A, Sheet4!C:C)</f>
        <v>0</v>
      </c>
      <c r="C1037" s="10">
        <v>-1</v>
      </c>
      <c r="D1037" s="10">
        <f>_xlfn.XLOOKUP(A1037, Sheet2!A:A, Sheet2!B:B)</f>
        <v>7.1849999999999996</v>
      </c>
      <c r="E1037" s="10">
        <f>_xlfn.XLOOKUP(A1037, Sheet1!A:A, Sheet1!G:G)</f>
        <v>-1</v>
      </c>
      <c r="F1037" s="10">
        <f t="shared" si="16"/>
        <v>-1</v>
      </c>
      <c r="G1037" cm="1">
        <f t="array" ref="G1037:J1037">_xlfn.XLOOKUP(A1037, Sheet1!A:A, Sheet1!C:F)</f>
        <v>15.6</v>
      </c>
      <c r="H1037">
        <v>22.5</v>
      </c>
      <c r="I1037">
        <v>27.3</v>
      </c>
      <c r="J1037">
        <v>16.600000000000001</v>
      </c>
    </row>
    <row r="1038" spans="1:10" x14ac:dyDescent="0.3">
      <c r="A1038" t="str" cm="1">
        <f t="array" ref="A1038">IF(ROW()&lt;=COUNTA(Sheet1!A:A), INDEX(Sheet1!A:A, ROW()),
INDEX(Sheet4!A:A, ROW()-COUNTA(Sheet1!A:A)))</f>
        <v>AlCoCrFeNi1.5</v>
      </c>
      <c r="B1038" s="10">
        <f>_xlfn.XLOOKUP(A1038, Sheet4!A:A, Sheet4!C:C)</f>
        <v>0</v>
      </c>
      <c r="C1038" s="10">
        <v>-1</v>
      </c>
      <c r="D1038" s="10">
        <f>_xlfn.XLOOKUP(A1038, Sheet2!A:A, Sheet2!B:B)</f>
        <v>7.4545000000000003</v>
      </c>
      <c r="E1038" s="10">
        <f>_xlfn.XLOOKUP(A1038, Sheet1!A:A, Sheet1!G:G)</f>
        <v>-1</v>
      </c>
      <c r="F1038" s="10">
        <f t="shared" si="16"/>
        <v>-1</v>
      </c>
      <c r="G1038" cm="1">
        <f t="array" ref="G1038:J1038">_xlfn.XLOOKUP(A1038, Sheet1!A:A, Sheet1!C:F)</f>
        <v>20</v>
      </c>
      <c r="H1038">
        <v>21</v>
      </c>
      <c r="I1038">
        <v>20</v>
      </c>
      <c r="J1038">
        <v>21</v>
      </c>
    </row>
    <row r="1039" spans="1:10" x14ac:dyDescent="0.3">
      <c r="A1039" t="str" cm="1">
        <f t="array" ref="A1039">IF(ROW()&lt;=COUNTA(Sheet1!A:A), INDEX(Sheet1!A:A, ROW()),
INDEX(Sheet4!A:A, ROW()-COUNTA(Sheet1!A:A)))</f>
        <v>Al0.9CoCrFeNi</v>
      </c>
      <c r="B1039" s="10" t="str">
        <f>_xlfn.XLOOKUP(A1039, Sheet4!A:A, Sheet4!C:C)</f>
        <v>BCC</v>
      </c>
      <c r="C1039" s="10">
        <v>0</v>
      </c>
      <c r="D1039" s="10">
        <f>_xlfn.XLOOKUP(A1039, Sheet2!A:A, Sheet2!B:B)</f>
        <v>7.2857000000000003</v>
      </c>
      <c r="E1039" s="10">
        <f>_xlfn.XLOOKUP(A1039, Sheet1!A:A, Sheet1!G:G)</f>
        <v>-1</v>
      </c>
      <c r="F1039" s="10">
        <f t="shared" si="16"/>
        <v>0</v>
      </c>
      <c r="G1039" cm="1">
        <f t="array" ref="G1039:J1039">_xlfn.XLOOKUP(A1039, Sheet1!A:A, Sheet1!C:F)</f>
        <v>24.8</v>
      </c>
      <c r="H1039">
        <v>23.4</v>
      </c>
      <c r="I1039">
        <v>7.7</v>
      </c>
      <c r="J1039">
        <v>26.1</v>
      </c>
    </row>
    <row r="1040" spans="1:10" x14ac:dyDescent="0.3">
      <c r="A1040" t="str" cm="1">
        <f t="array" ref="A1040">IF(ROW()&lt;=COUNTA(Sheet1!A:A), INDEX(Sheet1!A:A, ROW()),
INDEX(Sheet4!A:A, ROW()-COUNTA(Sheet1!A:A)))</f>
        <v>Al18.4Co20.4Cr20.4Fe20.4Ni20.4</v>
      </c>
      <c r="B1040" s="10" t="str">
        <f>_xlfn.XLOOKUP(A1040, Sheet4!A:A, Sheet4!C:C)</f>
        <v>BCC+B2(ordered BCC)</v>
      </c>
      <c r="C1040" s="10">
        <v>1</v>
      </c>
      <c r="D1040" s="10">
        <f>_xlfn.XLOOKUP(A1040, Sheet2!A:A, Sheet2!B:B)</f>
        <v>7.2839999999999998</v>
      </c>
      <c r="E1040" s="10">
        <f>_xlfn.XLOOKUP(A1040, Sheet1!A:A, Sheet1!G:G)</f>
        <v>-1</v>
      </c>
      <c r="F1040" s="10">
        <f t="shared" si="16"/>
        <v>1</v>
      </c>
      <c r="G1040" cm="1">
        <f t="array" ref="G1040:J1040">_xlfn.XLOOKUP(A1040, Sheet1!A:A, Sheet1!C:F)</f>
        <v>30</v>
      </c>
      <c r="H1040">
        <v>10</v>
      </c>
      <c r="I1040">
        <v>10</v>
      </c>
      <c r="J1040">
        <v>32</v>
      </c>
    </row>
    <row r="1041" spans="1:10" x14ac:dyDescent="0.3">
      <c r="A1041" t="str" cm="1">
        <f t="array" ref="A1041">IF(ROW()&lt;=COUNTA(Sheet1!A:A), INDEX(Sheet1!A:A, ROW()),
INDEX(Sheet4!A:A, ROW()-COUNTA(Sheet1!A:A)))</f>
        <v>Al18.554Cr23.963Fe32.502Co10.887Ni14.094</v>
      </c>
      <c r="B1041" s="10">
        <f>_xlfn.XLOOKUP(A1041, Sheet4!A:A, Sheet4!C:C)</f>
        <v>0</v>
      </c>
      <c r="C1041" s="10">
        <v>-1</v>
      </c>
      <c r="D1041" s="10">
        <f>_xlfn.XLOOKUP(A1041, Sheet2!A:A, Sheet2!B:B)</f>
        <v>6.9837999999999996</v>
      </c>
      <c r="E1041" s="10">
        <f>_xlfn.XLOOKUP(A1041, Sheet1!A:A, Sheet1!G:G)</f>
        <v>-1</v>
      </c>
      <c r="F1041" s="10">
        <f t="shared" si="16"/>
        <v>-1</v>
      </c>
      <c r="G1041" cm="1">
        <f t="array" ref="G1041:J1041">_xlfn.XLOOKUP(A1041, Sheet1!A:A, Sheet1!C:F)</f>
        <v>24.774999999999999</v>
      </c>
      <c r="H1041">
        <v>23.443999999999999</v>
      </c>
      <c r="I1041">
        <v>7.7195</v>
      </c>
      <c r="J1041">
        <v>26.050999999999998</v>
      </c>
    </row>
    <row r="1042" spans="1:10" x14ac:dyDescent="0.3">
      <c r="A1042" t="str" cm="1">
        <f t="array" ref="A1042">IF(ROW()&lt;=COUNTA(Sheet1!A:A), INDEX(Sheet1!A:A, ROW()),
INDEX(Sheet4!A:A, ROW()-COUNTA(Sheet1!A:A)))</f>
        <v>Al18.6Cr24Fe32.5Co10.9Ni14.1</v>
      </c>
      <c r="B1042" s="10">
        <f>_xlfn.XLOOKUP(A1042, Sheet4!A:A, Sheet4!C:C)</f>
        <v>0</v>
      </c>
      <c r="C1042" s="10">
        <v>-1</v>
      </c>
      <c r="D1042" s="10">
        <f>_xlfn.XLOOKUP(A1042, Sheet2!A:A, Sheet2!B:B)</f>
        <v>6.9820000000000002</v>
      </c>
      <c r="E1042" s="10">
        <f>_xlfn.XLOOKUP(A1042, Sheet1!A:A, Sheet1!G:G)</f>
        <v>-1</v>
      </c>
      <c r="F1042" s="10">
        <f t="shared" si="16"/>
        <v>-1</v>
      </c>
      <c r="G1042" cm="1">
        <f t="array" ref="G1042:J1042">_xlfn.XLOOKUP(A1042, Sheet1!A:A, Sheet1!C:F)</f>
        <v>20.491803279999999</v>
      </c>
      <c r="H1042">
        <v>20.491803279999999</v>
      </c>
      <c r="I1042">
        <v>20.491803279999999</v>
      </c>
      <c r="J1042">
        <v>20.491803279999999</v>
      </c>
    </row>
    <row r="1043" spans="1:10" x14ac:dyDescent="0.3">
      <c r="A1043" t="str" cm="1">
        <f t="array" ref="A1043">IF(ROW()&lt;=COUNTA(Sheet1!A:A), INDEX(Sheet1!A:A, ROW()),
INDEX(Sheet4!A:A, ROW()-COUNTA(Sheet1!A:A)))</f>
        <v>Al18.595Cr23.706Fe30.334Co13.135Ni14.231</v>
      </c>
      <c r="B1043" s="10">
        <f>_xlfn.XLOOKUP(A1043, Sheet4!A:A, Sheet4!C:C)</f>
        <v>0</v>
      </c>
      <c r="C1043" s="10">
        <v>-1</v>
      </c>
      <c r="D1043" s="10">
        <f>_xlfn.XLOOKUP(A1043, Sheet2!A:A, Sheet2!B:B)</f>
        <v>7.0121000000000002</v>
      </c>
      <c r="E1043" s="10">
        <f>_xlfn.XLOOKUP(A1043, Sheet1!A:A, Sheet1!G:G)</f>
        <v>-1</v>
      </c>
      <c r="F1043" s="10">
        <f t="shared" si="16"/>
        <v>-1</v>
      </c>
      <c r="G1043" cm="1">
        <f t="array" ref="G1043:J1043">_xlfn.XLOOKUP(A1043, Sheet1!A:A, Sheet1!C:F)</f>
        <v>23.492000000000001</v>
      </c>
      <c r="H1043">
        <v>23.327000000000002</v>
      </c>
      <c r="I1043">
        <v>10.651999999999999</v>
      </c>
      <c r="J1043">
        <v>24.457999999999998</v>
      </c>
    </row>
    <row r="1044" spans="1:10" x14ac:dyDescent="0.3">
      <c r="A1044" t="str" cm="1">
        <f t="array" ref="A1044">IF(ROW()&lt;=COUNTA(Sheet1!A:A), INDEX(Sheet1!A:A, ROW()),
INDEX(Sheet4!A:A, ROW()-COUNTA(Sheet1!A:A)))</f>
        <v>Al18.6Cr23.7Fe30.3Co13.1Ni14.2</v>
      </c>
      <c r="B1044" s="10">
        <f>_xlfn.XLOOKUP(A1044, Sheet4!A:A, Sheet4!C:C)</f>
        <v>0</v>
      </c>
      <c r="C1044" s="10">
        <v>-1</v>
      </c>
      <c r="D1044" s="10">
        <f>_xlfn.XLOOKUP(A1044, Sheet2!A:A, Sheet2!B:B)</f>
        <v>7.01</v>
      </c>
      <c r="E1044" s="10">
        <f>_xlfn.XLOOKUP(A1044, Sheet1!A:A, Sheet1!G:G)</f>
        <v>-1</v>
      </c>
      <c r="F1044" s="10">
        <f t="shared" si="16"/>
        <v>-1</v>
      </c>
      <c r="G1044" cm="1">
        <f t="array" ref="G1044:J1044">_xlfn.XLOOKUP(A1044, Sheet1!A:A, Sheet1!C:F)</f>
        <v>14.222</v>
      </c>
      <c r="H1044">
        <v>20.981000000000002</v>
      </c>
      <c r="I1044">
        <v>28.344999999999999</v>
      </c>
      <c r="J1044">
        <v>18.373000000000001</v>
      </c>
    </row>
    <row r="1045" spans="1:10" x14ac:dyDescent="0.3">
      <c r="A1045" t="str" cm="1">
        <f t="array" ref="A1045">IF(ROW()&lt;=COUNTA(Sheet1!A:A), INDEX(Sheet1!A:A, ROW()),
INDEX(Sheet4!A:A, ROW()-COUNTA(Sheet1!A:A)))</f>
        <v>Al0.92NiCoFeCr</v>
      </c>
      <c r="B1045" s="10">
        <f>_xlfn.XLOOKUP(A1045, Sheet4!A:A, Sheet4!C:C)</f>
        <v>0</v>
      </c>
      <c r="C1045" s="10">
        <v>-1</v>
      </c>
      <c r="D1045" s="10">
        <f>_xlfn.XLOOKUP(A1045, Sheet2!A:A, Sheet2!B:B)</f>
        <v>7.2683</v>
      </c>
      <c r="E1045" s="10">
        <f>_xlfn.XLOOKUP(A1045, Sheet1!A:A, Sheet1!G:G)</f>
        <v>-1</v>
      </c>
      <c r="F1045" s="10">
        <f t="shared" si="16"/>
        <v>-1</v>
      </c>
      <c r="G1045" cm="1">
        <f t="array" ref="G1045:J1045">_xlfn.XLOOKUP(A1045, Sheet1!A:A, Sheet1!C:F)</f>
        <v>23.5</v>
      </c>
      <c r="H1045">
        <v>23.3</v>
      </c>
      <c r="I1045">
        <v>10.7</v>
      </c>
      <c r="J1045">
        <v>24.5</v>
      </c>
    </row>
    <row r="1046" spans="1:10" x14ac:dyDescent="0.3">
      <c r="A1046" t="str" cm="1">
        <f t="array" ref="A1046">IF(ROW()&lt;=COUNTA(Sheet1!A:A), INDEX(Sheet1!A:A, ROW()),
INDEX(Sheet4!A:A, ROW()-COUNTA(Sheet1!A:A)))</f>
        <v>Al18.763Cr19.403Fe26.079Co15.608Ni20.148</v>
      </c>
      <c r="B1046" s="10">
        <f>_xlfn.XLOOKUP(A1046, Sheet4!A:A, Sheet4!C:C)</f>
        <v>0</v>
      </c>
      <c r="C1046" s="10">
        <v>-1</v>
      </c>
      <c r="D1046" s="10">
        <f>_xlfn.XLOOKUP(A1046, Sheet2!A:A, Sheet2!B:B)</f>
        <v>7.2328000000000001</v>
      </c>
      <c r="E1046" s="10">
        <f>_xlfn.XLOOKUP(A1046, Sheet1!A:A, Sheet1!G:G)</f>
        <v>-1</v>
      </c>
      <c r="F1046" s="10">
        <f t="shared" si="16"/>
        <v>-1</v>
      </c>
      <c r="G1046" cm="1">
        <f t="array" ref="G1046:J1046">_xlfn.XLOOKUP(A1046, Sheet1!A:A, Sheet1!C:F)</f>
        <v>14.2</v>
      </c>
      <c r="H1046">
        <v>21</v>
      </c>
      <c r="I1046">
        <v>28.3</v>
      </c>
      <c r="J1046">
        <v>18.399999999999999</v>
      </c>
    </row>
    <row r="1047" spans="1:10" x14ac:dyDescent="0.3">
      <c r="A1047" t="str" cm="1">
        <f t="array" ref="A1047">IF(ROW()&lt;=COUNTA(Sheet1!A:A), INDEX(Sheet1!A:A, ROW()),
INDEX(Sheet4!A:A, ROW()-COUNTA(Sheet1!A:A)))</f>
        <v>Al18.77Cr23.518Fe23.335Co16.664Ni17.713</v>
      </c>
      <c r="B1047" s="10">
        <f>_xlfn.XLOOKUP(A1047, Sheet4!A:A, Sheet4!C:C)</f>
        <v>0</v>
      </c>
      <c r="C1047" s="10">
        <v>-1</v>
      </c>
      <c r="D1047" s="10">
        <f>_xlfn.XLOOKUP(A1047, Sheet2!A:A, Sheet2!B:B)</f>
        <v>7.1120000000000001</v>
      </c>
      <c r="E1047" s="10">
        <f>_xlfn.XLOOKUP(A1047, Sheet1!A:A, Sheet1!G:G)</f>
        <v>-1</v>
      </c>
      <c r="F1047" s="10">
        <f t="shared" si="16"/>
        <v>-1</v>
      </c>
      <c r="G1047" cm="1">
        <f t="array" ref="G1047:J1047">_xlfn.XLOOKUP(A1047, Sheet1!A:A, Sheet1!C:F)</f>
        <v>18.18181818</v>
      </c>
      <c r="H1047">
        <v>18.18181818</v>
      </c>
      <c r="I1047">
        <v>18.18181818</v>
      </c>
      <c r="J1047">
        <v>27.272727270000001</v>
      </c>
    </row>
    <row r="1048" spans="1:10" x14ac:dyDescent="0.3">
      <c r="A1048" t="str" cm="1">
        <f t="array" ref="A1048">IF(ROW()&lt;=COUNTA(Sheet1!A:A), INDEX(Sheet1!A:A, ROW()),
INDEX(Sheet4!A:A, ROW()-COUNTA(Sheet1!A:A)))</f>
        <v>Al18.8Cr19.4Fe26.1Co15.6Ni20.1</v>
      </c>
      <c r="B1048" s="10">
        <f>_xlfn.XLOOKUP(A1048, Sheet4!A:A, Sheet4!C:C)</f>
        <v>0</v>
      </c>
      <c r="C1048" s="10">
        <v>-1</v>
      </c>
      <c r="D1048" s="10">
        <f>_xlfn.XLOOKUP(A1048, Sheet2!A:A, Sheet2!B:B)</f>
        <v>7.23</v>
      </c>
      <c r="E1048" s="10">
        <f>_xlfn.XLOOKUP(A1048, Sheet1!A:A, Sheet1!G:G)</f>
        <v>-1</v>
      </c>
      <c r="F1048" s="10">
        <f t="shared" si="16"/>
        <v>-1</v>
      </c>
      <c r="G1048" cm="1">
        <f t="array" ref="G1048:J1048">_xlfn.XLOOKUP(A1048, Sheet1!A:A, Sheet1!C:F)</f>
        <v>20.408163269999999</v>
      </c>
      <c r="H1048">
        <v>20.408163269999999</v>
      </c>
      <c r="I1048">
        <v>20.408163269999999</v>
      </c>
      <c r="J1048">
        <v>20.408163269999999</v>
      </c>
    </row>
    <row r="1049" spans="1:10" x14ac:dyDescent="0.3">
      <c r="A1049" t="str" cm="1">
        <f t="array" ref="A1049">IF(ROW()&lt;=COUNTA(Sheet1!A:A), INDEX(Sheet1!A:A, ROW()),
INDEX(Sheet4!A:A, ROW()-COUNTA(Sheet1!A:A)))</f>
        <v>Al18.8Cr23.5Fe23.3Co16.7Ni17.7</v>
      </c>
      <c r="B1049" s="10">
        <f>_xlfn.XLOOKUP(A1049, Sheet4!A:A, Sheet4!C:C)</f>
        <v>0</v>
      </c>
      <c r="C1049" s="10">
        <v>-1</v>
      </c>
      <c r="D1049" s="10">
        <f>_xlfn.XLOOKUP(A1049, Sheet2!A:A, Sheet2!B:B)</f>
        <v>7.1109999999999998</v>
      </c>
      <c r="E1049" s="10">
        <f>_xlfn.XLOOKUP(A1049, Sheet1!A:A, Sheet1!G:G)</f>
        <v>-1</v>
      </c>
      <c r="F1049" s="10">
        <f t="shared" si="16"/>
        <v>-1</v>
      </c>
      <c r="G1049" cm="1">
        <f t="array" ref="G1049:J1049">_xlfn.XLOOKUP(A1049, Sheet1!A:A, Sheet1!C:F)</f>
        <v>20.399999999999999</v>
      </c>
      <c r="H1049">
        <v>20.399999999999999</v>
      </c>
      <c r="I1049">
        <v>20.399999999999999</v>
      </c>
      <c r="J1049">
        <v>20.399999999999999</v>
      </c>
    </row>
    <row r="1050" spans="1:10" x14ac:dyDescent="0.3">
      <c r="A1050" t="str" cm="1">
        <f t="array" ref="A1050">IF(ROW()&lt;=COUNTA(Sheet1!A:A), INDEX(Sheet1!A:A, ROW()),
INDEX(Sheet4!A:A, ROW()-COUNTA(Sheet1!A:A)))</f>
        <v>Al18.954Cr24.332Fe19.843Co17.873Ni18.998</v>
      </c>
      <c r="B1050" s="10">
        <f>_xlfn.XLOOKUP(A1050, Sheet4!A:A, Sheet4!C:C)</f>
        <v>0</v>
      </c>
      <c r="C1050" s="10">
        <v>-1</v>
      </c>
      <c r="D1050" s="10">
        <f>_xlfn.XLOOKUP(A1050, Sheet2!A:A, Sheet2!B:B)</f>
        <v>7.1243999999999996</v>
      </c>
      <c r="E1050" s="10">
        <f>_xlfn.XLOOKUP(A1050, Sheet1!A:A, Sheet1!G:G)</f>
        <v>-1</v>
      </c>
      <c r="F1050" s="10">
        <f t="shared" si="16"/>
        <v>-1</v>
      </c>
      <c r="G1050" cm="1">
        <f t="array" ref="G1050:J1050">_xlfn.XLOOKUP(A1050, Sheet1!A:A, Sheet1!C:F)</f>
        <v>10.887</v>
      </c>
      <c r="H1050">
        <v>23.963000000000001</v>
      </c>
      <c r="I1050">
        <v>32.502000000000002</v>
      </c>
      <c r="J1050">
        <v>14.093999999999999</v>
      </c>
    </row>
    <row r="1051" spans="1:10" x14ac:dyDescent="0.3">
      <c r="A1051" t="str" cm="1">
        <f t="array" ref="A1051">IF(ROW()&lt;=COUNTA(Sheet1!A:A), INDEX(Sheet1!A:A, ROW()),
INDEX(Sheet4!A:A, ROW()-COUNTA(Sheet1!A:A)))</f>
        <v>Al19Cr17.6Fe23.6Co17.6Ni22.2</v>
      </c>
      <c r="B1051" s="10">
        <f>_xlfn.XLOOKUP(A1051, Sheet4!A:A, Sheet4!C:C)</f>
        <v>0</v>
      </c>
      <c r="C1051" s="10">
        <v>-1</v>
      </c>
      <c r="D1051" s="10">
        <f>_xlfn.XLOOKUP(A1051, Sheet2!A:A, Sheet2!B:B)</f>
        <v>7.3179999999999996</v>
      </c>
      <c r="E1051" s="10">
        <f>_xlfn.XLOOKUP(A1051, Sheet1!A:A, Sheet1!G:G)</f>
        <v>-1</v>
      </c>
      <c r="F1051" s="10">
        <f t="shared" si="16"/>
        <v>-1</v>
      </c>
      <c r="G1051" cm="1">
        <f t="array" ref="G1051:J1051">_xlfn.XLOOKUP(A1051, Sheet1!A:A, Sheet1!C:F)</f>
        <v>10.9</v>
      </c>
      <c r="H1051">
        <v>24</v>
      </c>
      <c r="I1051">
        <v>32.5</v>
      </c>
      <c r="J1051">
        <v>14.1</v>
      </c>
    </row>
    <row r="1052" spans="1:10" x14ac:dyDescent="0.3">
      <c r="A1052" t="str" cm="1">
        <f t="array" ref="A1052">IF(ROW()&lt;=COUNTA(Sheet1!A:A), INDEX(Sheet1!A:A, ROW()),
INDEX(Sheet4!A:A, ROW()-COUNTA(Sheet1!A:A)))</f>
        <v>Al19Cr24.3Fe19.8Co17.9Ni19</v>
      </c>
      <c r="B1052" s="10">
        <f>_xlfn.XLOOKUP(A1052, Sheet4!A:A, Sheet4!C:C)</f>
        <v>0</v>
      </c>
      <c r="C1052" s="10">
        <v>-1</v>
      </c>
      <c r="D1052" s="10">
        <f>_xlfn.XLOOKUP(A1052, Sheet2!A:A, Sheet2!B:B)</f>
        <v>7.1230000000000002</v>
      </c>
      <c r="E1052" s="10">
        <f>_xlfn.XLOOKUP(A1052, Sheet1!A:A, Sheet1!G:G)</f>
        <v>-1</v>
      </c>
      <c r="F1052" s="10">
        <f t="shared" si="16"/>
        <v>-1</v>
      </c>
      <c r="G1052" cm="1">
        <f t="array" ref="G1052:J1052">_xlfn.XLOOKUP(A1052, Sheet1!A:A, Sheet1!C:F)</f>
        <v>13.135</v>
      </c>
      <c r="H1052">
        <v>23.706</v>
      </c>
      <c r="I1052">
        <v>30.334</v>
      </c>
      <c r="J1052">
        <v>14.231</v>
      </c>
    </row>
    <row r="1053" spans="1:10" x14ac:dyDescent="0.3">
      <c r="A1053" t="str" cm="1">
        <f t="array" ref="A1053">IF(ROW()&lt;=COUNTA(Sheet1!A:A), INDEX(Sheet1!A:A, ROW()),
INDEX(Sheet4!A:A, ROW()-COUNTA(Sheet1!A:A)))</f>
        <v>Al19Co19Cr19Fe19Ni19Fe5</v>
      </c>
      <c r="B1053" s="10">
        <f>_xlfn.XLOOKUP(A1053, Sheet4!A:A, Sheet4!C:C)</f>
        <v>0</v>
      </c>
      <c r="C1053" s="10">
        <v>-1</v>
      </c>
      <c r="D1053" s="10">
        <f>_xlfn.XLOOKUP(A1053, Sheet2!A:A, Sheet2!B:B)</f>
        <v>7.24</v>
      </c>
      <c r="E1053" s="10">
        <f>_xlfn.XLOOKUP(A1053, Sheet1!A:A, Sheet1!G:G)</f>
        <v>-1</v>
      </c>
      <c r="F1053" s="10">
        <f t="shared" si="16"/>
        <v>-1</v>
      </c>
      <c r="G1053" cm="1">
        <f t="array" ref="G1053:J1053">_xlfn.XLOOKUP(A1053, Sheet1!A:A, Sheet1!C:F)</f>
        <v>13.1</v>
      </c>
      <c r="H1053">
        <v>23.7</v>
      </c>
      <c r="I1053">
        <v>30.3</v>
      </c>
      <c r="J1053">
        <v>14.2</v>
      </c>
    </row>
    <row r="1054" spans="1:10" x14ac:dyDescent="0.3">
      <c r="A1054" t="str" cm="1">
        <f t="array" ref="A1054">IF(ROW()&lt;=COUNTA(Sheet1!A:A), INDEX(Sheet1!A:A, ROW()),
INDEX(Sheet4!A:A, ROW()-COUNTA(Sheet1!A:A)))</f>
        <v>Al19.031Cr17.569Fe23.603Co17.575Ni22.222</v>
      </c>
      <c r="B1054" s="10">
        <f>_xlfn.XLOOKUP(A1054, Sheet4!A:A, Sheet4!C:C)</f>
        <v>0</v>
      </c>
      <c r="C1054" s="10">
        <v>-1</v>
      </c>
      <c r="D1054" s="10">
        <f>_xlfn.XLOOKUP(A1054, Sheet2!A:A, Sheet2!B:B)</f>
        <v>7.3173000000000004</v>
      </c>
      <c r="E1054" s="10">
        <f>_xlfn.XLOOKUP(A1054, Sheet1!A:A, Sheet1!G:G)</f>
        <v>-1</v>
      </c>
      <c r="F1054" s="10">
        <f t="shared" si="16"/>
        <v>-1</v>
      </c>
      <c r="G1054" cm="1">
        <f t="array" ref="G1054:J1054">_xlfn.XLOOKUP(A1054, Sheet1!A:A, Sheet1!C:F)</f>
        <v>20.325203250000001</v>
      </c>
      <c r="H1054">
        <v>20.325203250000001</v>
      </c>
      <c r="I1054">
        <v>20.325203250000001</v>
      </c>
      <c r="J1054">
        <v>20.325203250000001</v>
      </c>
    </row>
    <row r="1055" spans="1:10" x14ac:dyDescent="0.3">
      <c r="A1055" t="str" cm="1">
        <f t="array" ref="A1055">IF(ROW()&lt;=COUNTA(Sheet1!A:A), INDEX(Sheet1!A:A, ROW()),
INDEX(Sheet4!A:A, ROW()-COUNTA(Sheet1!A:A)))</f>
        <v>Al19.1Cr24.4Fe33.4Co11Ni12</v>
      </c>
      <c r="B1055" s="10">
        <f>_xlfn.XLOOKUP(A1055, Sheet4!A:A, Sheet4!C:C)</f>
        <v>0</v>
      </c>
      <c r="C1055" s="10">
        <v>-1</v>
      </c>
      <c r="D1055" s="10">
        <f>_xlfn.XLOOKUP(A1055, Sheet2!A:A, Sheet2!B:B)</f>
        <v>6.9058999999999999</v>
      </c>
      <c r="E1055" s="10">
        <f>_xlfn.XLOOKUP(A1055, Sheet1!A:A, Sheet1!G:G)</f>
        <v>-1</v>
      </c>
      <c r="F1055" s="10">
        <f t="shared" si="16"/>
        <v>-1</v>
      </c>
      <c r="G1055" cm="1">
        <f t="array" ref="G1055:J1055">_xlfn.XLOOKUP(A1055, Sheet1!A:A, Sheet1!C:F)</f>
        <v>15.608000000000001</v>
      </c>
      <c r="H1055">
        <v>19.402999999999999</v>
      </c>
      <c r="I1055">
        <v>26.079000000000001</v>
      </c>
      <c r="J1055">
        <v>20.148</v>
      </c>
    </row>
    <row r="1056" spans="1:10" x14ac:dyDescent="0.3">
      <c r="A1056" t="str" cm="1">
        <f t="array" ref="A1056">IF(ROW()&lt;=COUNTA(Sheet1!A:A), INDEX(Sheet1!A:A, ROW()),
INDEX(Sheet4!A:A, ROW()-COUNTA(Sheet1!A:A)))</f>
        <v>Al19.134Cr24.446Fe33.431Co11.024Ni11.966</v>
      </c>
      <c r="B1056" s="10">
        <f>_xlfn.XLOOKUP(A1056, Sheet4!A:A, Sheet4!C:C)</f>
        <v>0</v>
      </c>
      <c r="C1056" s="10">
        <v>-1</v>
      </c>
      <c r="D1056" s="10">
        <f>_xlfn.XLOOKUP(A1056, Sheet2!A:A, Sheet2!B:B)</f>
        <v>6.9039999999999999</v>
      </c>
      <c r="E1056" s="10">
        <f>_xlfn.XLOOKUP(A1056, Sheet1!A:A, Sheet1!G:G)</f>
        <v>-1</v>
      </c>
      <c r="F1056" s="10">
        <f t="shared" si="16"/>
        <v>-1</v>
      </c>
      <c r="G1056" cm="1">
        <f t="array" ref="G1056:J1056">_xlfn.XLOOKUP(A1056, Sheet1!A:A, Sheet1!C:F)</f>
        <v>16.664000000000001</v>
      </c>
      <c r="H1056">
        <v>23.518000000000001</v>
      </c>
      <c r="I1056">
        <v>23.335000000000001</v>
      </c>
      <c r="J1056">
        <v>17.713000000000001</v>
      </c>
    </row>
    <row r="1057" spans="1:10" x14ac:dyDescent="0.3">
      <c r="A1057" t="str" cm="1">
        <f t="array" ref="A1057">IF(ROW()&lt;=COUNTA(Sheet1!A:A), INDEX(Sheet1!A:A, ROW()),
INDEX(Sheet4!A:A, ROW()-COUNTA(Sheet1!A:A)))</f>
        <v>Al19.37Cr25.34Fe16.827Co18.685Ni19.778</v>
      </c>
      <c r="B1057" s="10">
        <f>_xlfn.XLOOKUP(A1057, Sheet4!A:A, Sheet4!C:C)</f>
        <v>0</v>
      </c>
      <c r="C1057" s="10">
        <v>-1</v>
      </c>
      <c r="D1057" s="10">
        <f>_xlfn.XLOOKUP(A1057, Sheet2!A:A, Sheet2!B:B)</f>
        <v>7.1071</v>
      </c>
      <c r="E1057" s="10">
        <f>_xlfn.XLOOKUP(A1057, Sheet1!A:A, Sheet1!G:G)</f>
        <v>-1</v>
      </c>
      <c r="F1057" s="10">
        <f t="shared" si="16"/>
        <v>-1</v>
      </c>
      <c r="G1057" cm="1">
        <f t="array" ref="G1057:J1057">_xlfn.XLOOKUP(A1057, Sheet1!A:A, Sheet1!C:F)</f>
        <v>15.6</v>
      </c>
      <c r="H1057">
        <v>19.399999999999999</v>
      </c>
      <c r="I1057">
        <v>26.1</v>
      </c>
      <c r="J1057">
        <v>20.100000000000001</v>
      </c>
    </row>
    <row r="1058" spans="1:10" x14ac:dyDescent="0.3">
      <c r="A1058" t="str" cm="1">
        <f t="array" ref="A1058">IF(ROW()&lt;=COUNTA(Sheet1!A:A), INDEX(Sheet1!A:A, ROW()),
INDEX(Sheet4!A:A, ROW()-COUNTA(Sheet1!A:A)))</f>
        <v>Al19.4Cr25.3Fe16.8Co18.7Ni19.8</v>
      </c>
      <c r="B1058" s="10">
        <f>_xlfn.XLOOKUP(A1058, Sheet4!A:A, Sheet4!C:C)</f>
        <v>0</v>
      </c>
      <c r="C1058" s="10">
        <v>-1</v>
      </c>
      <c r="D1058" s="10">
        <f>_xlfn.XLOOKUP(A1058, Sheet2!A:A, Sheet2!B:B)</f>
        <v>7.1070000000000002</v>
      </c>
      <c r="E1058" s="10">
        <f>_xlfn.XLOOKUP(A1058, Sheet1!A:A, Sheet1!G:G)</f>
        <v>-1</v>
      </c>
      <c r="F1058" s="10">
        <f t="shared" si="16"/>
        <v>-1</v>
      </c>
      <c r="G1058" cm="1">
        <f t="array" ref="G1058:J1058">_xlfn.XLOOKUP(A1058, Sheet1!A:A, Sheet1!C:F)</f>
        <v>16.7</v>
      </c>
      <c r="H1058">
        <v>23.5</v>
      </c>
      <c r="I1058">
        <v>23.3</v>
      </c>
      <c r="J1058">
        <v>17.7</v>
      </c>
    </row>
    <row r="1059" spans="1:10" x14ac:dyDescent="0.3">
      <c r="A1059" t="str" cm="1">
        <f t="array" ref="A1059">IF(ROW()&lt;=COUNTA(Sheet1!A:A), INDEX(Sheet1!A:A, ROW()),
INDEX(Sheet4!A:A, ROW()-COUNTA(Sheet1!A:A)))</f>
        <v>Al19.5Cr22.2Fe30.2Co12.3Ni15.7</v>
      </c>
      <c r="B1059" s="10">
        <f>_xlfn.XLOOKUP(A1059, Sheet4!A:A, Sheet4!C:C)</f>
        <v>0</v>
      </c>
      <c r="C1059" s="10">
        <v>-1</v>
      </c>
      <c r="D1059" s="10">
        <f>_xlfn.XLOOKUP(A1059, Sheet2!A:A, Sheet2!B:B)</f>
        <v>7.0170000000000003</v>
      </c>
      <c r="E1059" s="10">
        <f>_xlfn.XLOOKUP(A1059, Sheet1!A:A, Sheet1!G:G)</f>
        <v>-1</v>
      </c>
      <c r="F1059" s="10">
        <f t="shared" si="16"/>
        <v>-1</v>
      </c>
      <c r="G1059" cm="1">
        <f t="array" ref="G1059:J1059">_xlfn.XLOOKUP(A1059, Sheet1!A:A, Sheet1!C:F)</f>
        <v>17.873000000000001</v>
      </c>
      <c r="H1059">
        <v>24.332000000000001</v>
      </c>
      <c r="I1059">
        <v>19.843</v>
      </c>
      <c r="J1059">
        <v>18.998000000000001</v>
      </c>
    </row>
    <row r="1060" spans="1:10" x14ac:dyDescent="0.3">
      <c r="A1060" t="str" cm="1">
        <f t="array" ref="A1060">IF(ROW()&lt;=COUNTA(Sheet1!A:A), INDEX(Sheet1!A:A, ROW()),
INDEX(Sheet4!A:A, ROW()-COUNTA(Sheet1!A:A)))</f>
        <v>Al19.54Cr22.204Fe30.232Co12.315Ni15.708</v>
      </c>
      <c r="B1060" s="10">
        <f>_xlfn.XLOOKUP(A1060, Sheet4!A:A, Sheet4!C:C)</f>
        <v>0</v>
      </c>
      <c r="C1060" s="10">
        <v>-1</v>
      </c>
      <c r="D1060" s="10">
        <f>_xlfn.XLOOKUP(A1060, Sheet2!A:A, Sheet2!B:B)</f>
        <v>7.0162000000000004</v>
      </c>
      <c r="E1060" s="10">
        <f>_xlfn.XLOOKUP(A1060, Sheet1!A:A, Sheet1!G:G)</f>
        <v>-1</v>
      </c>
      <c r="F1060" s="10">
        <f t="shared" si="16"/>
        <v>-1</v>
      </c>
      <c r="G1060" cm="1">
        <f t="array" ref="G1060:J1060">_xlfn.XLOOKUP(A1060, Sheet1!A:A, Sheet1!C:F)</f>
        <v>17.600000000000001</v>
      </c>
      <c r="H1060">
        <v>17.600000000000001</v>
      </c>
      <c r="I1060">
        <v>23.6</v>
      </c>
      <c r="J1060">
        <v>22.2</v>
      </c>
    </row>
    <row r="1061" spans="1:10" x14ac:dyDescent="0.3">
      <c r="A1061" t="str" cm="1">
        <f t="array" ref="A1061">IF(ROW()&lt;=COUNTA(Sheet1!A:A), INDEX(Sheet1!A:A, ROW()),
INDEX(Sheet4!A:A, ROW()-COUNTA(Sheet1!A:A)))</f>
        <v>Al19.565Cr24.993Fe26.237Co14.143Ni15.062</v>
      </c>
      <c r="B1061" s="10">
        <f>_xlfn.XLOOKUP(A1061, Sheet4!A:A, Sheet4!C:C)</f>
        <v>0</v>
      </c>
      <c r="C1061" s="10">
        <v>-1</v>
      </c>
      <c r="D1061" s="10">
        <f>_xlfn.XLOOKUP(A1061, Sheet2!A:A, Sheet2!B:B)</f>
        <v>6.9645999999999999</v>
      </c>
      <c r="E1061" s="10">
        <f>_xlfn.XLOOKUP(A1061, Sheet1!A:A, Sheet1!G:G)</f>
        <v>-1</v>
      </c>
      <c r="F1061" s="10">
        <f t="shared" si="16"/>
        <v>-1</v>
      </c>
      <c r="G1061" cm="1">
        <f t="array" ref="G1061:J1061">_xlfn.XLOOKUP(A1061, Sheet1!A:A, Sheet1!C:F)</f>
        <v>17.899999999999999</v>
      </c>
      <c r="H1061">
        <v>24.3</v>
      </c>
      <c r="I1061">
        <v>19.8</v>
      </c>
      <c r="J1061">
        <v>19</v>
      </c>
    </row>
    <row r="1062" spans="1:10" x14ac:dyDescent="0.3">
      <c r="A1062" t="str" cm="1">
        <f t="array" ref="A1062">IF(ROW()&lt;=COUNTA(Sheet1!A:A), INDEX(Sheet1!A:A, ROW()),
INDEX(Sheet4!A:A, ROW()-COUNTA(Sheet1!A:A)))</f>
        <v>Al19.584Cr16.114Fe21.306Co18.98Ni24.016</v>
      </c>
      <c r="B1062" s="10">
        <f>_xlfn.XLOOKUP(A1062, Sheet4!A:A, Sheet4!C:C)</f>
        <v>0</v>
      </c>
      <c r="C1062" s="10">
        <v>-1</v>
      </c>
      <c r="D1062" s="10">
        <f>_xlfn.XLOOKUP(A1062, Sheet2!A:A, Sheet2!B:B)</f>
        <v>7.3685999999999998</v>
      </c>
      <c r="E1062" s="10">
        <f>_xlfn.XLOOKUP(A1062, Sheet1!A:A, Sheet1!G:G)</f>
        <v>-1</v>
      </c>
      <c r="F1062" s="10">
        <f t="shared" si="16"/>
        <v>-1</v>
      </c>
      <c r="G1062" cm="1">
        <f t="array" ref="G1062:J1062">_xlfn.XLOOKUP(A1062, Sheet1!A:A, Sheet1!C:F)</f>
        <v>19</v>
      </c>
      <c r="H1062">
        <v>19</v>
      </c>
      <c r="I1062">
        <v>5</v>
      </c>
      <c r="J1062">
        <v>19</v>
      </c>
    </row>
    <row r="1063" spans="1:10" x14ac:dyDescent="0.3">
      <c r="A1063" t="str" cm="1">
        <f t="array" ref="A1063">IF(ROW()&lt;=COUNTA(Sheet1!A:A), INDEX(Sheet1!A:A, ROW()),
INDEX(Sheet4!A:A, ROW()-COUNTA(Sheet1!A:A)))</f>
        <v>Al19.6Cr25Fe26.2Co14.1Ni15.1</v>
      </c>
      <c r="B1063" s="10">
        <f>_xlfn.XLOOKUP(A1063, Sheet4!A:A, Sheet4!C:C)</f>
        <v>0</v>
      </c>
      <c r="C1063" s="10">
        <v>-1</v>
      </c>
      <c r="D1063" s="10">
        <f>_xlfn.XLOOKUP(A1063, Sheet2!A:A, Sheet2!B:B)</f>
        <v>6.9630000000000001</v>
      </c>
      <c r="E1063" s="10">
        <f>_xlfn.XLOOKUP(A1063, Sheet1!A:A, Sheet1!G:G)</f>
        <v>-1</v>
      </c>
      <c r="F1063" s="10">
        <f t="shared" si="16"/>
        <v>-1</v>
      </c>
      <c r="G1063" cm="1">
        <f t="array" ref="G1063:J1063">_xlfn.XLOOKUP(A1063, Sheet1!A:A, Sheet1!C:F)</f>
        <v>17.574999999999999</v>
      </c>
      <c r="H1063">
        <v>17.568999999999999</v>
      </c>
      <c r="I1063">
        <v>23.603000000000002</v>
      </c>
      <c r="J1063">
        <v>22.222000000000001</v>
      </c>
    </row>
    <row r="1064" spans="1:10" x14ac:dyDescent="0.3">
      <c r="A1064" t="str" cm="1">
        <f t="array" ref="A1064">IF(ROW()&lt;=COUNTA(Sheet1!A:A), INDEX(Sheet1!A:A, ROW()),
INDEX(Sheet4!A:A, ROW()-COUNTA(Sheet1!A:A)))</f>
        <v>Al19.6Cr16.1Fe21.3Co19Ni24</v>
      </c>
      <c r="B1064" s="10">
        <f>_xlfn.XLOOKUP(A1064, Sheet4!A:A, Sheet4!C:C)</f>
        <v>0</v>
      </c>
      <c r="C1064" s="10">
        <v>-1</v>
      </c>
      <c r="D1064" s="10">
        <f>_xlfn.XLOOKUP(A1064, Sheet2!A:A, Sheet2!B:B)</f>
        <v>7.3680000000000003</v>
      </c>
      <c r="E1064" s="10">
        <f>_xlfn.XLOOKUP(A1064, Sheet1!A:A, Sheet1!G:G)</f>
        <v>-1</v>
      </c>
      <c r="F1064" s="10">
        <f t="shared" si="16"/>
        <v>-1</v>
      </c>
      <c r="G1064" cm="1">
        <f t="array" ref="G1064:J1064">_xlfn.XLOOKUP(A1064, Sheet1!A:A, Sheet1!C:F)</f>
        <v>11</v>
      </c>
      <c r="H1064">
        <v>24.4</v>
      </c>
      <c r="I1064">
        <v>33.4</v>
      </c>
      <c r="J1064">
        <v>12</v>
      </c>
    </row>
    <row r="1065" spans="1:10" x14ac:dyDescent="0.3">
      <c r="A1065" t="str" cm="1">
        <f t="array" ref="A1065">IF(ROW()&lt;=COUNTA(Sheet1!A:A), INDEX(Sheet1!A:A, ROW()),
INDEX(Sheet4!A:A, ROW()-COUNTA(Sheet1!A:A)))</f>
        <v>Al19.6Cr13.3Fe17.2Co22Ni27.9</v>
      </c>
      <c r="B1065" s="10">
        <f>_xlfn.XLOOKUP(A1065, Sheet4!A:A, Sheet4!C:C)</f>
        <v>0</v>
      </c>
      <c r="C1065" s="10">
        <v>-1</v>
      </c>
      <c r="D1065" s="10">
        <f>_xlfn.XLOOKUP(A1065, Sheet2!A:A, Sheet2!B:B)</f>
        <v>7.532</v>
      </c>
      <c r="E1065" s="10">
        <f>_xlfn.XLOOKUP(A1065, Sheet1!A:A, Sheet1!G:G)</f>
        <v>-1</v>
      </c>
      <c r="F1065" s="10">
        <f t="shared" si="16"/>
        <v>-1</v>
      </c>
      <c r="G1065" cm="1">
        <f t="array" ref="G1065:J1065">_xlfn.XLOOKUP(A1065, Sheet1!A:A, Sheet1!C:F)</f>
        <v>11.023999999999999</v>
      </c>
      <c r="H1065">
        <v>24.446000000000002</v>
      </c>
      <c r="I1065">
        <v>33.430999999999997</v>
      </c>
      <c r="J1065">
        <v>11.965999999999999</v>
      </c>
    </row>
    <row r="1066" spans="1:10" x14ac:dyDescent="0.3">
      <c r="A1066" t="str" cm="1">
        <f t="array" ref="A1066">IF(ROW()&lt;=COUNTA(Sheet1!A:A), INDEX(Sheet1!A:A, ROW()),
INDEX(Sheet4!A:A, ROW()-COUNTA(Sheet1!A:A)))</f>
        <v>Al19.637Cr13.317Fe17.163Co22.02Ni27.864</v>
      </c>
      <c r="B1066" s="10">
        <f>_xlfn.XLOOKUP(A1066, Sheet4!A:A, Sheet4!C:C)</f>
        <v>0</v>
      </c>
      <c r="C1066" s="10">
        <v>-1</v>
      </c>
      <c r="D1066" s="10">
        <f>_xlfn.XLOOKUP(A1066, Sheet2!A:A, Sheet2!B:B)</f>
        <v>7.5293000000000001</v>
      </c>
      <c r="E1066" s="10">
        <f>_xlfn.XLOOKUP(A1066, Sheet1!A:A, Sheet1!G:G)</f>
        <v>-1</v>
      </c>
      <c r="F1066" s="10">
        <f t="shared" si="16"/>
        <v>-1</v>
      </c>
      <c r="G1066" cm="1">
        <f t="array" ref="G1066:J1066">_xlfn.XLOOKUP(A1066, Sheet1!A:A, Sheet1!C:F)</f>
        <v>18.684999999999999</v>
      </c>
      <c r="H1066">
        <v>25.34</v>
      </c>
      <c r="I1066">
        <v>16.827000000000002</v>
      </c>
      <c r="J1066">
        <v>19.777999999999999</v>
      </c>
    </row>
    <row r="1067" spans="1:10" x14ac:dyDescent="0.3">
      <c r="A1067" t="str" cm="1">
        <f t="array" ref="A1067">IF(ROW()&lt;=COUNTA(Sheet1!A:A), INDEX(Sheet1!A:A, ROW()),
INDEX(Sheet4!A:A, ROW()-COUNTA(Sheet1!A:A)))</f>
        <v>Al19.7Cr11.7Fe15.5Co23.4Ni29.7</v>
      </c>
      <c r="B1067" s="10">
        <f>_xlfn.XLOOKUP(A1067, Sheet4!A:A, Sheet4!C:C)</f>
        <v>0</v>
      </c>
      <c r="C1067" s="10">
        <v>-1</v>
      </c>
      <c r="D1067" s="10">
        <f>_xlfn.XLOOKUP(A1067, Sheet2!A:A, Sheet2!B:B)</f>
        <v>7.609</v>
      </c>
      <c r="E1067" s="10">
        <f>_xlfn.XLOOKUP(A1067, Sheet1!A:A, Sheet1!G:G)</f>
        <v>-1</v>
      </c>
      <c r="F1067" s="10">
        <f t="shared" si="16"/>
        <v>-1</v>
      </c>
      <c r="G1067" cm="1">
        <f t="array" ref="G1067:J1067">_xlfn.XLOOKUP(A1067, Sheet1!A:A, Sheet1!C:F)</f>
        <v>18.7</v>
      </c>
      <c r="H1067">
        <v>25.3</v>
      </c>
      <c r="I1067">
        <v>16.8</v>
      </c>
      <c r="J1067">
        <v>19.8</v>
      </c>
    </row>
    <row r="1068" spans="1:10" x14ac:dyDescent="0.3">
      <c r="A1068" t="str" cm="1">
        <f t="array" ref="A1068">IF(ROW()&lt;=COUNTA(Sheet1!A:A), INDEX(Sheet1!A:A, ROW()),
INDEX(Sheet4!A:A, ROW()-COUNTA(Sheet1!A:A)))</f>
        <v>Al19.735Cr11.701Fe15.513Co23.353Ni29.698</v>
      </c>
      <c r="B1068" s="10">
        <f>_xlfn.XLOOKUP(A1068, Sheet4!A:A, Sheet4!C:C)</f>
        <v>0</v>
      </c>
      <c r="C1068" s="10">
        <v>-1</v>
      </c>
      <c r="D1068" s="10">
        <f>_xlfn.XLOOKUP(A1068, Sheet2!A:A, Sheet2!B:B)</f>
        <v>7.6067</v>
      </c>
      <c r="E1068" s="10">
        <f>_xlfn.XLOOKUP(A1068, Sheet1!A:A, Sheet1!G:G)</f>
        <v>-1</v>
      </c>
      <c r="F1068" s="10">
        <f t="shared" si="16"/>
        <v>-1</v>
      </c>
      <c r="G1068" cm="1">
        <f t="array" ref="G1068:J1068">_xlfn.XLOOKUP(A1068, Sheet1!A:A, Sheet1!C:F)</f>
        <v>12.3</v>
      </c>
      <c r="H1068">
        <v>22.2</v>
      </c>
      <c r="I1068">
        <v>30.2</v>
      </c>
      <c r="J1068">
        <v>15.7</v>
      </c>
    </row>
    <row r="1069" spans="1:10" x14ac:dyDescent="0.3">
      <c r="A1069" t="str" cm="1">
        <f t="array" ref="A1069">IF(ROW()&lt;=COUNTA(Sheet1!A:A), INDEX(Sheet1!A:A, ROW()),
INDEX(Sheet4!A:A, ROW()-COUNTA(Sheet1!A:A)))</f>
        <v>Al19.756Cr14.461Fe19.115Co20.659Ni26.009</v>
      </c>
      <c r="B1069" s="10">
        <f>_xlfn.XLOOKUP(A1069, Sheet4!A:A, Sheet4!C:C)</f>
        <v>0</v>
      </c>
      <c r="C1069" s="10">
        <v>-1</v>
      </c>
      <c r="D1069" s="10">
        <f>_xlfn.XLOOKUP(A1069, Sheet2!A:A, Sheet2!B:B)</f>
        <v>7.4497</v>
      </c>
      <c r="E1069" s="10">
        <f>_xlfn.XLOOKUP(A1069, Sheet1!A:A, Sheet1!G:G)</f>
        <v>-1</v>
      </c>
      <c r="F1069" s="10">
        <f t="shared" si="16"/>
        <v>-1</v>
      </c>
      <c r="G1069" cm="1">
        <f t="array" ref="G1069:J1069">_xlfn.XLOOKUP(A1069, Sheet1!A:A, Sheet1!C:F)</f>
        <v>12.315</v>
      </c>
      <c r="H1069">
        <v>22.204000000000001</v>
      </c>
      <c r="I1069">
        <v>30.231999999999999</v>
      </c>
      <c r="J1069">
        <v>15.708</v>
      </c>
    </row>
    <row r="1070" spans="1:10" x14ac:dyDescent="0.3">
      <c r="A1070" t="str" cm="1">
        <f t="array" ref="A1070">IF(ROW()&lt;=COUNTA(Sheet1!A:A), INDEX(Sheet1!A:A, ROW()),
INDEX(Sheet4!A:A, ROW()-COUNTA(Sheet1!A:A)))</f>
        <v>Al19.8Cr14.5Fe19.1Co20.7Ni26</v>
      </c>
      <c r="B1070" s="10">
        <f>_xlfn.XLOOKUP(A1070, Sheet4!A:A, Sheet4!C:C)</f>
        <v>0</v>
      </c>
      <c r="C1070" s="10">
        <v>-1</v>
      </c>
      <c r="D1070" s="10">
        <f>_xlfn.XLOOKUP(A1070, Sheet2!A:A, Sheet2!B:B)</f>
        <v>7.4476000000000004</v>
      </c>
      <c r="E1070" s="10">
        <f>_xlfn.XLOOKUP(A1070, Sheet1!A:A, Sheet1!G:G)</f>
        <v>-1</v>
      </c>
      <c r="F1070" s="10">
        <f t="shared" si="16"/>
        <v>-1</v>
      </c>
      <c r="G1070" cm="1">
        <f t="array" ref="G1070:J1070">_xlfn.XLOOKUP(A1070, Sheet1!A:A, Sheet1!C:F)</f>
        <v>14.143000000000001</v>
      </c>
      <c r="H1070">
        <v>24.992999999999999</v>
      </c>
      <c r="I1070">
        <v>26.236999999999998</v>
      </c>
      <c r="J1070">
        <v>15.061999999999999</v>
      </c>
    </row>
    <row r="1071" spans="1:10" x14ac:dyDescent="0.3">
      <c r="A1071" t="str" cm="1">
        <f t="array" ref="A1071">IF(ROW()&lt;=COUNTA(Sheet1!A:A), INDEX(Sheet1!A:A, ROW()),
INDEX(Sheet4!A:A, ROW()-COUNTA(Sheet1!A:A)))</f>
        <v>Al19.966Cr25.861Fe14.279Co19.528Ni20.367</v>
      </c>
      <c r="B1071" s="10">
        <f>_xlfn.XLOOKUP(A1071, Sheet4!A:A, Sheet4!C:C)</f>
        <v>0</v>
      </c>
      <c r="C1071" s="10">
        <v>-1</v>
      </c>
      <c r="D1071" s="10">
        <f>_xlfn.XLOOKUP(A1071, Sheet2!A:A, Sheet2!B:B)</f>
        <v>7.0871000000000004</v>
      </c>
      <c r="E1071" s="10">
        <f>_xlfn.XLOOKUP(A1071, Sheet1!A:A, Sheet1!G:G)</f>
        <v>-1</v>
      </c>
      <c r="F1071" s="10">
        <f t="shared" si="16"/>
        <v>-1</v>
      </c>
      <c r="G1071" cm="1">
        <f t="array" ref="G1071:J1071">_xlfn.XLOOKUP(A1071, Sheet1!A:A, Sheet1!C:F)</f>
        <v>18.98</v>
      </c>
      <c r="H1071">
        <v>16.114000000000001</v>
      </c>
      <c r="I1071">
        <v>21.306000000000001</v>
      </c>
      <c r="J1071">
        <v>24.015999999999998</v>
      </c>
    </row>
    <row r="1072" spans="1:10" x14ac:dyDescent="0.3">
      <c r="A1072" t="str" cm="1">
        <f t="array" ref="A1072">IF(ROW()&lt;=COUNTA(Sheet1!A:A), INDEX(Sheet1!A:A, ROW()),
INDEX(Sheet4!A:A, ROW()-COUNTA(Sheet1!A:A)))</f>
        <v>Al20Cr25.9Fe14.3Co19.5Ni20.4</v>
      </c>
      <c r="B1072" s="10">
        <f>_xlfn.XLOOKUP(A1072, Sheet4!A:A, Sheet4!C:C)</f>
        <v>0</v>
      </c>
      <c r="C1072" s="10">
        <v>-1</v>
      </c>
      <c r="D1072" s="10">
        <f>_xlfn.XLOOKUP(A1072, Sheet2!A:A, Sheet2!B:B)</f>
        <v>7.0858999999999996</v>
      </c>
      <c r="E1072" s="10">
        <f>_xlfn.XLOOKUP(A1072, Sheet1!A:A, Sheet1!G:G)</f>
        <v>-1</v>
      </c>
      <c r="F1072" s="10">
        <f t="shared" si="16"/>
        <v>-1</v>
      </c>
      <c r="G1072" cm="1">
        <f t="array" ref="G1072:J1072">_xlfn.XLOOKUP(A1072, Sheet1!A:A, Sheet1!C:F)</f>
        <v>14.1</v>
      </c>
      <c r="H1072">
        <v>25</v>
      </c>
      <c r="I1072">
        <v>26.2</v>
      </c>
      <c r="J1072">
        <v>15.1</v>
      </c>
    </row>
    <row r="1073" spans="1:10" x14ac:dyDescent="0.3">
      <c r="A1073" t="str" cm="1">
        <f t="array" ref="A1073">IF(ROW()&lt;=COUNTA(Sheet1!A:A), INDEX(Sheet1!A:A, ROW()),
INDEX(Sheet4!A:A, ROW()-COUNTA(Sheet1!A:A)))</f>
        <v>CoCrFeNiAl</v>
      </c>
      <c r="B1073" s="10" t="str">
        <f>_xlfn.XLOOKUP(A1073, Sheet4!A:A, Sheet4!C:C)</f>
        <v>A2+B2 phases</v>
      </c>
      <c r="C1073" s="10">
        <v>1</v>
      </c>
      <c r="D1073" s="10">
        <f>_xlfn.XLOOKUP(A1073, Sheet2!A:A, Sheet2!B:B)</f>
        <v>7.2</v>
      </c>
      <c r="E1073" s="10">
        <f>_xlfn.XLOOKUP(A1073, Sheet1!A:A, Sheet1!G:G)</f>
        <v>-1</v>
      </c>
      <c r="F1073" s="10">
        <f t="shared" si="16"/>
        <v>1</v>
      </c>
      <c r="G1073" cm="1">
        <f t="array" ref="G1073:J1073">_xlfn.XLOOKUP(A1073, Sheet1!A:A, Sheet1!C:F)</f>
        <v>19</v>
      </c>
      <c r="H1073">
        <v>16.100000000000001</v>
      </c>
      <c r="I1073">
        <v>21.3</v>
      </c>
      <c r="J1073">
        <v>24</v>
      </c>
    </row>
    <row r="1074" spans="1:10" x14ac:dyDescent="0.3">
      <c r="A1074" t="str" cm="1">
        <f t="array" ref="A1074">IF(ROW()&lt;=COUNTA(Sheet1!A:A), INDEX(Sheet1!A:A, ROW()),
INDEX(Sheet4!A:A, ROW()-COUNTA(Sheet1!A:A)))</f>
        <v>Al20.071Cr24.911Fe33.734Co9.3226Ni11.961</v>
      </c>
      <c r="B1074" s="10">
        <f>_xlfn.XLOOKUP(A1074, Sheet4!A:A, Sheet4!C:C)</f>
        <v>0</v>
      </c>
      <c r="C1074" s="10">
        <v>-1</v>
      </c>
      <c r="D1074" s="10">
        <f>_xlfn.XLOOKUP(A1074, Sheet2!A:A, Sheet2!B:B)</f>
        <v>6.8307000000000002</v>
      </c>
      <c r="E1074" s="10">
        <f>_xlfn.XLOOKUP(A1074, Sheet1!A:A, Sheet1!G:G)</f>
        <v>-1</v>
      </c>
      <c r="F1074" s="10">
        <f t="shared" si="16"/>
        <v>-1</v>
      </c>
      <c r="G1074" cm="1">
        <f t="array" ref="G1074:J1074">_xlfn.XLOOKUP(A1074, Sheet1!A:A, Sheet1!C:F)</f>
        <v>22</v>
      </c>
      <c r="H1074">
        <v>13.3</v>
      </c>
      <c r="I1074">
        <v>17.2</v>
      </c>
      <c r="J1074">
        <v>27.9</v>
      </c>
    </row>
    <row r="1075" spans="1:10" x14ac:dyDescent="0.3">
      <c r="A1075" t="str" cm="1">
        <f t="array" ref="A1075">IF(ROW()&lt;=COUNTA(Sheet1!A:A), INDEX(Sheet1!A:A, ROW()),
INDEX(Sheet4!A:A, ROW()-COUNTA(Sheet1!A:A)))</f>
        <v>Al20.1Cr26.5Fe22.3Co15.1Ni16.1</v>
      </c>
      <c r="B1075" s="10">
        <f>_xlfn.XLOOKUP(A1075, Sheet4!A:A, Sheet4!C:C)</f>
        <v>0</v>
      </c>
      <c r="C1075" s="10">
        <v>-1</v>
      </c>
      <c r="D1075" s="10">
        <f>_xlfn.XLOOKUP(A1075, Sheet2!A:A, Sheet2!B:B)</f>
        <v>6.9390999999999998</v>
      </c>
      <c r="E1075" s="10">
        <f>_xlfn.XLOOKUP(A1075, Sheet1!A:A, Sheet1!G:G)</f>
        <v>-1</v>
      </c>
      <c r="F1075" s="10">
        <f t="shared" si="16"/>
        <v>-1</v>
      </c>
      <c r="G1075" cm="1">
        <f t="array" ref="G1075:J1075">_xlfn.XLOOKUP(A1075, Sheet1!A:A, Sheet1!C:F)</f>
        <v>22.02</v>
      </c>
      <c r="H1075">
        <v>13.317</v>
      </c>
      <c r="I1075">
        <v>17.163</v>
      </c>
      <c r="J1075">
        <v>27.864000000000001</v>
      </c>
    </row>
    <row r="1076" spans="1:10" x14ac:dyDescent="0.3">
      <c r="A1076" t="str" cm="1">
        <f t="array" ref="A1076">IF(ROW()&lt;=COUNTA(Sheet1!A:A), INDEX(Sheet1!A:A, ROW()),
INDEX(Sheet4!A:A, ROW()-COUNTA(Sheet1!A:A)))</f>
        <v>Al20.1Cr26.6Fe10.4Co21Ni22</v>
      </c>
      <c r="B1076" s="10">
        <f>_xlfn.XLOOKUP(A1076, Sheet4!A:A, Sheet4!C:C)</f>
        <v>0</v>
      </c>
      <c r="C1076" s="10">
        <v>-1</v>
      </c>
      <c r="D1076" s="10">
        <f>_xlfn.XLOOKUP(A1076, Sheet2!A:A, Sheet2!B:B)</f>
        <v>7.1139000000000001</v>
      </c>
      <c r="E1076" s="10">
        <f>_xlfn.XLOOKUP(A1076, Sheet1!A:A, Sheet1!G:G)</f>
        <v>-1</v>
      </c>
      <c r="F1076" s="10">
        <f t="shared" si="16"/>
        <v>-1</v>
      </c>
      <c r="G1076" cm="1">
        <f t="array" ref="G1076:J1076">_xlfn.XLOOKUP(A1076, Sheet1!A:A, Sheet1!C:F)</f>
        <v>23.4</v>
      </c>
      <c r="H1076">
        <v>11.7</v>
      </c>
      <c r="I1076">
        <v>15.5</v>
      </c>
      <c r="J1076">
        <v>29.7</v>
      </c>
    </row>
    <row r="1077" spans="1:10" x14ac:dyDescent="0.3">
      <c r="A1077" t="str" cm="1">
        <f t="array" ref="A1077">IF(ROW()&lt;=COUNTA(Sheet1!A:A), INDEX(Sheet1!A:A, ROW()),
INDEX(Sheet4!A:A, ROW()-COUNTA(Sheet1!A:A)))</f>
        <v>Al20.1Cr24.9Fe33.7Co9.3Ni12</v>
      </c>
      <c r="B1077" s="10">
        <f>_xlfn.XLOOKUP(A1077, Sheet4!A:A, Sheet4!C:C)</f>
        <v>0</v>
      </c>
      <c r="C1077" s="10">
        <v>-1</v>
      </c>
      <c r="D1077" s="10">
        <f>_xlfn.XLOOKUP(A1077, Sheet2!A:A, Sheet2!B:B)</f>
        <v>6.83</v>
      </c>
      <c r="E1077" s="10">
        <f>_xlfn.XLOOKUP(A1077, Sheet1!A:A, Sheet1!G:G)</f>
        <v>-1</v>
      </c>
      <c r="F1077" s="10">
        <f t="shared" si="16"/>
        <v>-1</v>
      </c>
      <c r="G1077" cm="1">
        <f t="array" ref="G1077:J1077">_xlfn.XLOOKUP(A1077, Sheet1!A:A, Sheet1!C:F)</f>
        <v>23.353000000000002</v>
      </c>
      <c r="H1077">
        <v>11.701000000000001</v>
      </c>
      <c r="I1077">
        <v>15.513</v>
      </c>
      <c r="J1077">
        <v>29.698</v>
      </c>
    </row>
    <row r="1078" spans="1:10" x14ac:dyDescent="0.3">
      <c r="A1078" t="str" cm="1">
        <f t="array" ref="A1078">IF(ROW()&lt;=COUNTA(Sheet1!A:A), INDEX(Sheet1!A:A, ROW()),
INDEX(Sheet4!A:A, ROW()-COUNTA(Sheet1!A:A)))</f>
        <v>Al20.102Cr26.553Fe10.36Co21.018Ni21.967</v>
      </c>
      <c r="B1078" s="10">
        <f>_xlfn.XLOOKUP(A1078, Sheet4!A:A, Sheet4!C:C)</f>
        <v>0</v>
      </c>
      <c r="C1078" s="10">
        <v>-1</v>
      </c>
      <c r="D1078" s="10">
        <f>_xlfn.XLOOKUP(A1078, Sheet2!A:A, Sheet2!B:B)</f>
        <v>7.1134000000000004</v>
      </c>
      <c r="E1078" s="10">
        <f>_xlfn.XLOOKUP(A1078, Sheet1!A:A, Sheet1!G:G)</f>
        <v>-1</v>
      </c>
      <c r="F1078" s="10">
        <f t="shared" si="16"/>
        <v>-1</v>
      </c>
      <c r="G1078" cm="1">
        <f t="array" ref="G1078:J1078">_xlfn.XLOOKUP(A1078, Sheet1!A:A, Sheet1!C:F)</f>
        <v>20.658999999999999</v>
      </c>
      <c r="H1078">
        <v>14.461</v>
      </c>
      <c r="I1078">
        <v>19.114999999999998</v>
      </c>
      <c r="J1078">
        <v>26.009</v>
      </c>
    </row>
    <row r="1079" spans="1:10" x14ac:dyDescent="0.3">
      <c r="A1079" t="str" cm="1">
        <f t="array" ref="A1079">IF(ROW()&lt;=COUNTA(Sheet1!A:A), INDEX(Sheet1!A:A, ROW()),
INDEX(Sheet4!A:A, ROW()-COUNTA(Sheet1!A:A)))</f>
        <v>Al20.1Cr26.4Fe12.1Co20.1Ni21.2</v>
      </c>
      <c r="B1079" s="10">
        <f>_xlfn.XLOOKUP(A1079, Sheet4!A:A, Sheet4!C:C)</f>
        <v>0</v>
      </c>
      <c r="C1079" s="10">
        <v>-1</v>
      </c>
      <c r="D1079" s="10">
        <f>_xlfn.XLOOKUP(A1079, Sheet2!A:A, Sheet2!B:B)</f>
        <v>7.0911</v>
      </c>
      <c r="E1079" s="10">
        <f>_xlfn.XLOOKUP(A1079, Sheet1!A:A, Sheet1!G:G)</f>
        <v>-1</v>
      </c>
      <c r="F1079" s="10">
        <f t="shared" si="16"/>
        <v>-1</v>
      </c>
      <c r="G1079" cm="1">
        <f t="array" ref="G1079:J1079">_xlfn.XLOOKUP(A1079, Sheet1!A:A, Sheet1!C:F)</f>
        <v>20.7</v>
      </c>
      <c r="H1079">
        <v>14.5</v>
      </c>
      <c r="I1079">
        <v>19.100000000000001</v>
      </c>
      <c r="J1079">
        <v>26</v>
      </c>
    </row>
    <row r="1080" spans="1:10" x14ac:dyDescent="0.3">
      <c r="A1080" t="str" cm="1">
        <f t="array" ref="A1080">IF(ROW()&lt;=COUNTA(Sheet1!A:A), INDEX(Sheet1!A:A, ROW()),
INDEX(Sheet4!A:A, ROW()-COUNTA(Sheet1!A:A)))</f>
        <v>Al20.132Cr26.417Fe12.108Co20.122Ni21.221</v>
      </c>
      <c r="B1080" s="10">
        <f>_xlfn.XLOOKUP(A1080, Sheet4!A:A, Sheet4!C:C)</f>
        <v>0</v>
      </c>
      <c r="C1080" s="10">
        <v>-1</v>
      </c>
      <c r="D1080" s="10">
        <f>_xlfn.XLOOKUP(A1080, Sheet2!A:A, Sheet2!B:B)</f>
        <v>7.0907</v>
      </c>
      <c r="E1080" s="10">
        <f>_xlfn.XLOOKUP(A1080, Sheet1!A:A, Sheet1!G:G)</f>
        <v>-1</v>
      </c>
      <c r="F1080" s="10">
        <f t="shared" si="16"/>
        <v>-1</v>
      </c>
      <c r="G1080" cm="1">
        <f t="array" ref="G1080:J1080">_xlfn.XLOOKUP(A1080, Sheet1!A:A, Sheet1!C:F)</f>
        <v>19.527999999999999</v>
      </c>
      <c r="H1080">
        <v>25.861000000000001</v>
      </c>
      <c r="I1080">
        <v>14.279</v>
      </c>
      <c r="J1080">
        <v>20.367000000000001</v>
      </c>
    </row>
    <row r="1081" spans="1:10" x14ac:dyDescent="0.3">
      <c r="A1081" t="str" cm="1">
        <f t="array" ref="A1081">IF(ROW()&lt;=COUNTA(Sheet1!A:A), INDEX(Sheet1!A:A, ROW()),
INDEX(Sheet4!A:A, ROW()-COUNTA(Sheet1!A:A)))</f>
        <v>Al20.137Cr26.462Fe22.28Co15.071Ni16.051</v>
      </c>
      <c r="B1081" s="10">
        <f>_xlfn.XLOOKUP(A1081, Sheet4!A:A, Sheet4!C:C)</f>
        <v>0</v>
      </c>
      <c r="C1081" s="10">
        <v>-1</v>
      </c>
      <c r="D1081" s="10">
        <f>_xlfn.XLOOKUP(A1081, Sheet2!A:A, Sheet2!B:B)</f>
        <v>6.9356999999999998</v>
      </c>
      <c r="E1081" s="10">
        <f>_xlfn.XLOOKUP(A1081, Sheet1!A:A, Sheet1!G:G)</f>
        <v>-1</v>
      </c>
      <c r="F1081" s="10">
        <f t="shared" si="16"/>
        <v>-1</v>
      </c>
      <c r="G1081" cm="1">
        <f t="array" ref="G1081:J1081">_xlfn.XLOOKUP(A1081, Sheet1!A:A, Sheet1!C:F)</f>
        <v>19.5</v>
      </c>
      <c r="H1081">
        <v>25.9</v>
      </c>
      <c r="I1081">
        <v>14.3</v>
      </c>
      <c r="J1081">
        <v>20.399999999999999</v>
      </c>
    </row>
    <row r="1082" spans="1:10" x14ac:dyDescent="0.3">
      <c r="A1082" t="str" cm="1">
        <f t="array" ref="A1082">IF(ROW()&lt;=COUNTA(Sheet1!A:A), INDEX(Sheet1!A:A, ROW()),
INDEX(Sheet4!A:A, ROW()-COUNTA(Sheet1!A:A)))</f>
        <v>Al20.259Cr26.029Fe29.196Co11.986Ni12.53</v>
      </c>
      <c r="B1082" s="10">
        <f>_xlfn.XLOOKUP(A1082, Sheet4!A:A, Sheet4!C:C)</f>
        <v>0</v>
      </c>
      <c r="C1082" s="10">
        <v>-1</v>
      </c>
      <c r="D1082" s="10">
        <f>_xlfn.XLOOKUP(A1082, Sheet2!A:A, Sheet2!B:B)</f>
        <v>6.8369</v>
      </c>
      <c r="E1082" s="10">
        <f>_xlfn.XLOOKUP(A1082, Sheet1!A:A, Sheet1!G:G)</f>
        <v>-1</v>
      </c>
      <c r="F1082" s="10">
        <f t="shared" si="16"/>
        <v>-1</v>
      </c>
      <c r="G1082" cm="1">
        <f t="array" ref="G1082:J1082">_xlfn.XLOOKUP(A1082, Sheet1!A:A, Sheet1!C:F)</f>
        <v>20</v>
      </c>
      <c r="H1082">
        <v>20</v>
      </c>
      <c r="I1082">
        <v>20</v>
      </c>
      <c r="J1082">
        <v>20</v>
      </c>
    </row>
    <row r="1083" spans="1:10" x14ac:dyDescent="0.3">
      <c r="A1083" t="str" cm="1">
        <f t="array" ref="A1083">IF(ROW()&lt;=COUNTA(Sheet1!A:A), INDEX(Sheet1!A:A, ROW()),
INDEX(Sheet4!A:A, ROW()-COUNTA(Sheet1!A:A)))</f>
        <v>Al20.3Cr26Fe29.2Co12Ni12.5</v>
      </c>
      <c r="B1083" s="10">
        <f>_xlfn.XLOOKUP(A1083, Sheet4!A:A, Sheet4!C:C)</f>
        <v>0</v>
      </c>
      <c r="C1083" s="10">
        <v>-1</v>
      </c>
      <c r="D1083" s="10">
        <f>_xlfn.XLOOKUP(A1083, Sheet2!A:A, Sheet2!B:B)</f>
        <v>6.835</v>
      </c>
      <c r="E1083" s="10">
        <f>_xlfn.XLOOKUP(A1083, Sheet1!A:A, Sheet1!G:G)</f>
        <v>-1</v>
      </c>
      <c r="F1083" s="10">
        <f t="shared" si="16"/>
        <v>-1</v>
      </c>
      <c r="G1083" cm="1">
        <f t="array" ref="G1083:J1083">_xlfn.XLOOKUP(A1083, Sheet1!A:A, Sheet1!C:F)</f>
        <v>9.3225999999999996</v>
      </c>
      <c r="H1083">
        <v>24.911000000000001</v>
      </c>
      <c r="I1083">
        <v>33.734000000000002</v>
      </c>
      <c r="J1083">
        <v>11.961</v>
      </c>
    </row>
    <row r="1084" spans="1:10" x14ac:dyDescent="0.3">
      <c r="A1084" t="str" cm="1">
        <f t="array" ref="A1084">IF(ROW()&lt;=COUNTA(Sheet1!A:A), INDEX(Sheet1!A:A, ROW()),
INDEX(Sheet4!A:A, ROW()-COUNTA(Sheet1!A:A)))</f>
        <v>Al20.3Cr26.7Fe7.6Co22.3Ni23.1</v>
      </c>
      <c r="B1084" s="10">
        <f>_xlfn.XLOOKUP(A1084, Sheet4!A:A, Sheet4!C:C)</f>
        <v>0</v>
      </c>
      <c r="C1084" s="10">
        <v>-1</v>
      </c>
      <c r="D1084" s="10">
        <f>_xlfn.XLOOKUP(A1084, Sheet2!A:A, Sheet2!B:B)</f>
        <v>7.1360000000000001</v>
      </c>
      <c r="E1084" s="10">
        <f>_xlfn.XLOOKUP(A1084, Sheet1!A:A, Sheet1!G:G)</f>
        <v>-1</v>
      </c>
      <c r="F1084" s="10">
        <f t="shared" si="16"/>
        <v>-1</v>
      </c>
      <c r="G1084" cm="1">
        <f t="array" ref="G1084:J1084">_xlfn.XLOOKUP(A1084, Sheet1!A:A, Sheet1!C:F)</f>
        <v>15.1</v>
      </c>
      <c r="H1084">
        <v>26.5</v>
      </c>
      <c r="I1084">
        <v>22.3</v>
      </c>
      <c r="J1084">
        <v>16.100000000000001</v>
      </c>
    </row>
    <row r="1085" spans="1:10" x14ac:dyDescent="0.3">
      <c r="A1085" t="str" cm="1">
        <f t="array" ref="A1085">IF(ROW()&lt;=COUNTA(Sheet1!A:A), INDEX(Sheet1!A:A, ROW()),
INDEX(Sheet4!A:A, ROW()-COUNTA(Sheet1!A:A)))</f>
        <v>Al20.3Cr26.7Fe9Co21.5Ni22.4</v>
      </c>
      <c r="B1085" s="10">
        <f>_xlfn.XLOOKUP(A1085, Sheet4!A:A, Sheet4!C:C)</f>
        <v>0</v>
      </c>
      <c r="C1085" s="10">
        <v>-1</v>
      </c>
      <c r="D1085" s="10">
        <f>_xlfn.XLOOKUP(A1085, Sheet2!A:A, Sheet2!B:B)</f>
        <v>7.1131000000000002</v>
      </c>
      <c r="E1085" s="10">
        <f>_xlfn.XLOOKUP(A1085, Sheet1!A:A, Sheet1!G:G)</f>
        <v>-1</v>
      </c>
      <c r="F1085" s="10">
        <f t="shared" si="16"/>
        <v>-1</v>
      </c>
      <c r="G1085" cm="1">
        <f t="array" ref="G1085:J1085">_xlfn.XLOOKUP(A1085, Sheet1!A:A, Sheet1!C:F)</f>
        <v>21</v>
      </c>
      <c r="H1085">
        <v>26.6</v>
      </c>
      <c r="I1085">
        <v>10.4</v>
      </c>
      <c r="J1085">
        <v>22</v>
      </c>
    </row>
    <row r="1086" spans="1:10" x14ac:dyDescent="0.3">
      <c r="A1086" t="str" cm="1">
        <f t="array" ref="A1086">IF(ROW()&lt;=COUNTA(Sheet1!A:A), INDEX(Sheet1!A:A, ROW()),
INDEX(Sheet4!A:A, ROW()-COUNTA(Sheet1!A:A)))</f>
        <v>Al20.332Cr26.743Fe8.9777Co21.516Ni22.431</v>
      </c>
      <c r="B1086" s="10">
        <f>_xlfn.XLOOKUP(A1086, Sheet4!A:A, Sheet4!C:C)</f>
        <v>0</v>
      </c>
      <c r="C1086" s="10">
        <v>-1</v>
      </c>
      <c r="D1086" s="10">
        <f>_xlfn.XLOOKUP(A1086, Sheet2!A:A, Sheet2!B:B)</f>
        <v>7.1123000000000003</v>
      </c>
      <c r="E1086" s="10">
        <f>_xlfn.XLOOKUP(A1086, Sheet1!A:A, Sheet1!G:G)</f>
        <v>-1</v>
      </c>
      <c r="F1086" s="10">
        <f t="shared" si="16"/>
        <v>-1</v>
      </c>
      <c r="G1086" cm="1">
        <f t="array" ref="G1086:J1086">_xlfn.XLOOKUP(A1086, Sheet1!A:A, Sheet1!C:F)</f>
        <v>9.3000000000000007</v>
      </c>
      <c r="H1086">
        <v>24.9</v>
      </c>
      <c r="I1086">
        <v>33.700000000000003</v>
      </c>
      <c r="J1086">
        <v>12</v>
      </c>
    </row>
    <row r="1087" spans="1:10" x14ac:dyDescent="0.3">
      <c r="A1087" t="str" cm="1">
        <f t="array" ref="A1087">IF(ROW()&lt;=COUNTA(Sheet1!A:A), INDEX(Sheet1!A:A, ROW()),
INDEX(Sheet4!A:A, ROW()-COUNTA(Sheet1!A:A)))</f>
        <v>Al20.336Cr26.742Fe7.5618Co22.306Ni23.054</v>
      </c>
      <c r="B1087" s="10">
        <f>_xlfn.XLOOKUP(A1087, Sheet4!A:A, Sheet4!C:C)</f>
        <v>0</v>
      </c>
      <c r="C1087" s="10">
        <v>-1</v>
      </c>
      <c r="D1087" s="10">
        <f>_xlfn.XLOOKUP(A1087, Sheet2!A:A, Sheet2!B:B)</f>
        <v>7.1325000000000003</v>
      </c>
      <c r="E1087" s="10">
        <f>_xlfn.XLOOKUP(A1087, Sheet1!A:A, Sheet1!G:G)</f>
        <v>-1</v>
      </c>
      <c r="F1087" s="10">
        <f t="shared" si="16"/>
        <v>-1</v>
      </c>
      <c r="G1087" cm="1">
        <f t="array" ref="G1087:J1087">_xlfn.XLOOKUP(A1087, Sheet1!A:A, Sheet1!C:F)</f>
        <v>21.018000000000001</v>
      </c>
      <c r="H1087">
        <v>26.553000000000001</v>
      </c>
      <c r="I1087">
        <v>10.36</v>
      </c>
      <c r="J1087">
        <v>21.966999999999999</v>
      </c>
    </row>
    <row r="1088" spans="1:10" x14ac:dyDescent="0.3">
      <c r="A1088" t="str" cm="1">
        <f t="array" ref="A1088">IF(ROW()&lt;=COUNTA(Sheet1!A:A), INDEX(Sheet1!A:A, ROW()),
INDEX(Sheet4!A:A, ROW()-COUNTA(Sheet1!A:A)))</f>
        <v>AlCoCrFeNi0.9</v>
      </c>
      <c r="B1088" s="10">
        <f>_xlfn.XLOOKUP(A1088, Sheet4!A:A, Sheet4!C:C)</f>
        <v>0</v>
      </c>
      <c r="C1088" s="10">
        <v>-1</v>
      </c>
      <c r="D1088" s="10">
        <f>_xlfn.XLOOKUP(A1088, Sheet2!A:A, Sheet2!B:B)</f>
        <v>7.1429</v>
      </c>
      <c r="E1088" s="10">
        <f>_xlfn.XLOOKUP(A1088, Sheet1!A:A, Sheet1!G:G)</f>
        <v>-1</v>
      </c>
      <c r="F1088" s="10">
        <f t="shared" si="16"/>
        <v>-1</v>
      </c>
      <c r="G1088" cm="1">
        <f t="array" ref="G1088:J1088">_xlfn.XLOOKUP(A1088, Sheet1!A:A, Sheet1!C:F)</f>
        <v>20.100000000000001</v>
      </c>
      <c r="H1088">
        <v>26.4</v>
      </c>
      <c r="I1088">
        <v>12.1</v>
      </c>
      <c r="J1088">
        <v>21.2</v>
      </c>
    </row>
    <row r="1089" spans="1:10" x14ac:dyDescent="0.3">
      <c r="A1089" t="str" cm="1">
        <f t="array" ref="A1089">IF(ROW()&lt;=COUNTA(Sheet1!A:A), INDEX(Sheet1!A:A, ROW()),
INDEX(Sheet4!A:A, ROW()-COUNTA(Sheet1!A:A)))</f>
        <v>Al20.5Cr26.6Fe6.6Co22.7Ni23.6</v>
      </c>
      <c r="B1089" s="10">
        <f>_xlfn.XLOOKUP(A1089, Sheet4!A:A, Sheet4!C:C)</f>
        <v>0</v>
      </c>
      <c r="C1089" s="10">
        <v>-1</v>
      </c>
      <c r="D1089" s="10">
        <f>_xlfn.XLOOKUP(A1089, Sheet2!A:A, Sheet2!B:B)</f>
        <v>7.1420000000000003</v>
      </c>
      <c r="E1089" s="10">
        <f>_xlfn.XLOOKUP(A1089, Sheet1!A:A, Sheet1!G:G)</f>
        <v>-1</v>
      </c>
      <c r="F1089" s="10">
        <f t="shared" si="16"/>
        <v>-1</v>
      </c>
      <c r="G1089" cm="1">
        <f t="array" ref="G1089:J1089">_xlfn.XLOOKUP(A1089, Sheet1!A:A, Sheet1!C:F)</f>
        <v>20.122</v>
      </c>
      <c r="H1089">
        <v>26.417000000000002</v>
      </c>
      <c r="I1089">
        <v>12.108000000000001</v>
      </c>
      <c r="J1089">
        <v>21.221</v>
      </c>
    </row>
    <row r="1090" spans="1:10" x14ac:dyDescent="0.3">
      <c r="A1090" t="str" cm="1">
        <f t="array" ref="A1090">IF(ROW()&lt;=COUNTA(Sheet1!A:A), INDEX(Sheet1!A:A, ROW()),
INDEX(Sheet4!A:A, ROW()-COUNTA(Sheet1!A:A)))</f>
        <v>Al20.511Cr26.572Fe6.612Co22.666Ni23.638</v>
      </c>
      <c r="B1090" s="10">
        <f>_xlfn.XLOOKUP(A1090, Sheet4!A:A, Sheet4!C:C)</f>
        <v>0</v>
      </c>
      <c r="C1090" s="10">
        <v>-1</v>
      </c>
      <c r="D1090" s="10">
        <f>_xlfn.XLOOKUP(A1090, Sheet2!A:A, Sheet2!B:B)</f>
        <v>7.1424000000000003</v>
      </c>
      <c r="E1090" s="10">
        <f>_xlfn.XLOOKUP(A1090, Sheet1!A:A, Sheet1!G:G)</f>
        <v>-1</v>
      </c>
      <c r="F1090" s="10">
        <f t="shared" si="16"/>
        <v>-1</v>
      </c>
      <c r="G1090" cm="1">
        <f t="array" ref="G1090:J1090">_xlfn.XLOOKUP(A1090, Sheet1!A:A, Sheet1!C:F)</f>
        <v>15.071</v>
      </c>
      <c r="H1090">
        <v>26.462</v>
      </c>
      <c r="I1090">
        <v>22.28</v>
      </c>
      <c r="J1090">
        <v>16.050999999999998</v>
      </c>
    </row>
    <row r="1091" spans="1:10" x14ac:dyDescent="0.3">
      <c r="A1091" t="str" cm="1">
        <f t="array" ref="A1091">IF(ROW()&lt;=COUNTA(Sheet1!A:A), INDEX(Sheet1!A:A, ROW()),
INDEX(Sheet4!A:A, ROW()-COUNTA(Sheet1!A:A)))</f>
        <v>Al20.6Cr20.6Fe27.5Co13.6Ni17.7</v>
      </c>
      <c r="B1091" s="10">
        <f>_xlfn.XLOOKUP(A1091, Sheet4!A:A, Sheet4!C:C)</f>
        <v>0</v>
      </c>
      <c r="C1091" s="10">
        <v>-1</v>
      </c>
      <c r="D1091" s="10">
        <f>_xlfn.XLOOKUP(A1091, Sheet2!A:A, Sheet2!B:B)</f>
        <v>7.048</v>
      </c>
      <c r="E1091" s="10">
        <f>_xlfn.XLOOKUP(A1091, Sheet1!A:A, Sheet1!G:G)</f>
        <v>-1</v>
      </c>
      <c r="F1091" s="10">
        <f t="shared" ref="F1091:F1154" si="17">IF(OR(C1091=1, E1091=1), 1,
   IF(OR(C1091=0, E1091=0), 0,
      -1))</f>
        <v>-1</v>
      </c>
      <c r="G1091" cm="1">
        <f t="array" ref="G1091:J1091">_xlfn.XLOOKUP(A1091, Sheet1!A:A, Sheet1!C:F)</f>
        <v>11.986000000000001</v>
      </c>
      <c r="H1091">
        <v>26.029</v>
      </c>
      <c r="I1091">
        <v>29.196000000000002</v>
      </c>
      <c r="J1091">
        <v>12.53</v>
      </c>
    </row>
    <row r="1092" spans="1:10" x14ac:dyDescent="0.3">
      <c r="A1092" t="str" cm="1">
        <f t="array" ref="A1092">IF(ROW()&lt;=COUNTA(Sheet1!A:A), INDEX(Sheet1!A:A, ROW()),
INDEX(Sheet4!A:A, ROW()-COUNTA(Sheet1!A:A)))</f>
        <v>Al20.608Cr20.56Fe27.545Co13.632Ni17.655</v>
      </c>
      <c r="B1092" s="10">
        <f>_xlfn.XLOOKUP(A1092, Sheet4!A:A, Sheet4!C:C)</f>
        <v>0</v>
      </c>
      <c r="C1092" s="10">
        <v>-1</v>
      </c>
      <c r="D1092" s="10">
        <f>_xlfn.XLOOKUP(A1092, Sheet2!A:A, Sheet2!B:B)</f>
        <v>7.0477999999999996</v>
      </c>
      <c r="E1092" s="10">
        <f>_xlfn.XLOOKUP(A1092, Sheet1!A:A, Sheet1!G:G)</f>
        <v>-1</v>
      </c>
      <c r="F1092" s="10">
        <f t="shared" si="17"/>
        <v>-1</v>
      </c>
      <c r="G1092" cm="1">
        <f t="array" ref="G1092:J1092">_xlfn.XLOOKUP(A1092, Sheet1!A:A, Sheet1!C:F)</f>
        <v>12</v>
      </c>
      <c r="H1092">
        <v>26</v>
      </c>
      <c r="I1092">
        <v>29.2</v>
      </c>
      <c r="J1092">
        <v>12.5</v>
      </c>
    </row>
    <row r="1093" spans="1:10" x14ac:dyDescent="0.3">
      <c r="A1093" t="str" cm="1">
        <f t="array" ref="A1093">IF(ROW()&lt;=COUNTA(Sheet1!A:A), INDEX(Sheet1!A:A, ROW()),
INDEX(Sheet4!A:A, ROW()-COUNTA(Sheet1!A:A)))</f>
        <v>AlCoCrFeNi0.8</v>
      </c>
      <c r="B1093" s="10">
        <f>_xlfn.XLOOKUP(A1093, Sheet4!A:A, Sheet4!C:C)</f>
        <v>0</v>
      </c>
      <c r="C1093" s="10">
        <v>-1</v>
      </c>
      <c r="D1093" s="10">
        <f>_xlfn.XLOOKUP(A1093, Sheet2!A:A, Sheet2!B:B)</f>
        <v>7.0833000000000004</v>
      </c>
      <c r="E1093" s="10">
        <f>_xlfn.XLOOKUP(A1093, Sheet1!A:A, Sheet1!G:G)</f>
        <v>-1</v>
      </c>
      <c r="F1093" s="10">
        <f t="shared" si="17"/>
        <v>-1</v>
      </c>
      <c r="G1093" cm="1">
        <f t="array" ref="G1093:J1093">_xlfn.XLOOKUP(A1093, Sheet1!A:A, Sheet1!C:F)</f>
        <v>22.3</v>
      </c>
      <c r="H1093">
        <v>26.7</v>
      </c>
      <c r="I1093">
        <v>7.6</v>
      </c>
      <c r="J1093">
        <v>23.1</v>
      </c>
    </row>
    <row r="1094" spans="1:10" x14ac:dyDescent="0.3">
      <c r="A1094" t="str" cm="1">
        <f t="array" ref="A1094">IF(ROW()&lt;=COUNTA(Sheet1!A:A), INDEX(Sheet1!A:A, ROW()),
INDEX(Sheet4!A:A, ROW()-COUNTA(Sheet1!A:A)))</f>
        <v>Al20.956Cr27.277Fe19.064Co15.811Ni16.892</v>
      </c>
      <c r="B1094" s="10">
        <f>_xlfn.XLOOKUP(A1094, Sheet4!A:A, Sheet4!C:C)</f>
        <v>0</v>
      </c>
      <c r="C1094" s="10">
        <v>-1</v>
      </c>
      <c r="D1094" s="10">
        <f>_xlfn.XLOOKUP(A1094, Sheet2!A:A, Sheet2!B:B)</f>
        <v>6.9025999999999996</v>
      </c>
      <c r="E1094" s="10">
        <f>_xlfn.XLOOKUP(A1094, Sheet1!A:A, Sheet1!G:G)</f>
        <v>-1</v>
      </c>
      <c r="F1094" s="10">
        <f t="shared" si="17"/>
        <v>-1</v>
      </c>
      <c r="G1094" cm="1">
        <f t="array" ref="G1094:J1094">_xlfn.XLOOKUP(A1094, Sheet1!A:A, Sheet1!C:F)</f>
        <v>21.5</v>
      </c>
      <c r="H1094">
        <v>26.7</v>
      </c>
      <c r="I1094">
        <v>9</v>
      </c>
      <c r="J1094">
        <v>22.4</v>
      </c>
    </row>
    <row r="1095" spans="1:10" x14ac:dyDescent="0.3">
      <c r="A1095" t="str" cm="1">
        <f t="array" ref="A1095">IF(ROW()&lt;=COUNTA(Sheet1!A:A), INDEX(Sheet1!A:A, ROW()),
INDEX(Sheet4!A:A, ROW()-COUNTA(Sheet1!A:A)))</f>
        <v>Al21Cr26.8Fe31.6Co10.1Ni10.6</v>
      </c>
      <c r="B1095" s="10">
        <f>_xlfn.XLOOKUP(A1095, Sheet4!A:A, Sheet4!C:C)</f>
        <v>0</v>
      </c>
      <c r="C1095" s="10">
        <v>-1</v>
      </c>
      <c r="D1095" s="10">
        <f>_xlfn.XLOOKUP(A1095, Sheet2!A:A, Sheet2!B:B)</f>
        <v>6.7282999999999999</v>
      </c>
      <c r="E1095" s="10">
        <f>_xlfn.XLOOKUP(A1095, Sheet1!A:A, Sheet1!G:G)</f>
        <v>-1</v>
      </c>
      <c r="F1095" s="10">
        <f t="shared" si="17"/>
        <v>-1</v>
      </c>
      <c r="G1095" cm="1">
        <f t="array" ref="G1095:J1095">_xlfn.XLOOKUP(A1095, Sheet1!A:A, Sheet1!C:F)</f>
        <v>21.515999999999998</v>
      </c>
      <c r="H1095">
        <v>26.742999999999999</v>
      </c>
      <c r="I1095">
        <v>8.9777000000000005</v>
      </c>
      <c r="J1095">
        <v>22.431000000000001</v>
      </c>
    </row>
    <row r="1096" spans="1:10" x14ac:dyDescent="0.3">
      <c r="A1096" t="str" cm="1">
        <f t="array" ref="A1096">IF(ROW()&lt;=COUNTA(Sheet1!A:A), INDEX(Sheet1!A:A, ROW()),
INDEX(Sheet4!A:A, ROW()-COUNTA(Sheet1!A:A)))</f>
        <v>Al21Cr27.3Fe19.1Co15.8Ni16.9</v>
      </c>
      <c r="B1096" s="10">
        <f>_xlfn.XLOOKUP(A1096, Sheet4!A:A, Sheet4!C:C)</f>
        <v>0</v>
      </c>
      <c r="C1096" s="10">
        <v>-1</v>
      </c>
      <c r="D1096" s="10">
        <f>_xlfn.XLOOKUP(A1096, Sheet2!A:A, Sheet2!B:B)</f>
        <v>6.9010999999999996</v>
      </c>
      <c r="E1096" s="10">
        <f>_xlfn.XLOOKUP(A1096, Sheet1!A:A, Sheet1!G:G)</f>
        <v>-1</v>
      </c>
      <c r="F1096" s="10">
        <f t="shared" si="17"/>
        <v>-1</v>
      </c>
      <c r="G1096" cm="1">
        <f t="array" ref="G1096:J1096">_xlfn.XLOOKUP(A1096, Sheet1!A:A, Sheet1!C:F)</f>
        <v>22.306000000000001</v>
      </c>
      <c r="H1096">
        <v>26.742000000000001</v>
      </c>
      <c r="I1096">
        <v>7.5617999999999999</v>
      </c>
      <c r="J1096">
        <v>23.053999999999998</v>
      </c>
    </row>
    <row r="1097" spans="1:10" x14ac:dyDescent="0.3">
      <c r="A1097" t="str" cm="1">
        <f t="array" ref="A1097">IF(ROW()&lt;=COUNTA(Sheet1!A:A), INDEX(Sheet1!A:A, ROW()),
INDEX(Sheet4!A:A, ROW()-COUNTA(Sheet1!A:A)))</f>
        <v>Al21.021Cr26.767Fe31.584Co10.066Ni10.562</v>
      </c>
      <c r="B1097" s="10">
        <f>_xlfn.XLOOKUP(A1097, Sheet4!A:A, Sheet4!C:C)</f>
        <v>0</v>
      </c>
      <c r="C1097" s="10">
        <v>-1</v>
      </c>
      <c r="D1097" s="10">
        <f>_xlfn.XLOOKUP(A1097, Sheet2!A:A, Sheet2!B:B)</f>
        <v>6.7255000000000003</v>
      </c>
      <c r="E1097" s="10">
        <f>_xlfn.XLOOKUP(A1097, Sheet1!A:A, Sheet1!G:G)</f>
        <v>-1</v>
      </c>
      <c r="F1097" s="10">
        <f t="shared" si="17"/>
        <v>-1</v>
      </c>
      <c r="G1097" cm="1">
        <f t="array" ref="G1097:J1097">_xlfn.XLOOKUP(A1097, Sheet1!A:A, Sheet1!C:F)</f>
        <v>20.408163269999999</v>
      </c>
      <c r="H1097">
        <v>20.408163269999999</v>
      </c>
      <c r="I1097">
        <v>20.408163269999999</v>
      </c>
      <c r="J1097">
        <v>18.367346940000001</v>
      </c>
    </row>
    <row r="1098" spans="1:10" x14ac:dyDescent="0.3">
      <c r="A1098" t="str" cm="1">
        <f t="array" ref="A1098">IF(ROW()&lt;=COUNTA(Sheet1!A:A), INDEX(Sheet1!A:A, ROW()),
INDEX(Sheet4!A:A, ROW()-COUNTA(Sheet1!A:A)))</f>
        <v>AlCoCrFeNi0.75</v>
      </c>
      <c r="B1098" s="10">
        <f>_xlfn.XLOOKUP(A1098, Sheet4!A:A, Sheet4!C:C)</f>
        <v>0</v>
      </c>
      <c r="C1098" s="10">
        <v>-1</v>
      </c>
      <c r="D1098" s="10">
        <f>_xlfn.XLOOKUP(A1098, Sheet2!A:A, Sheet2!B:B)</f>
        <v>7.0526</v>
      </c>
      <c r="E1098" s="10">
        <f>_xlfn.XLOOKUP(A1098, Sheet1!A:A, Sheet1!G:G)</f>
        <v>-1</v>
      </c>
      <c r="F1098" s="10">
        <f t="shared" si="17"/>
        <v>-1</v>
      </c>
      <c r="G1098" cm="1">
        <f t="array" ref="G1098:J1098">_xlfn.XLOOKUP(A1098, Sheet1!A:A, Sheet1!C:F)</f>
        <v>22.7</v>
      </c>
      <c r="H1098">
        <v>26.6</v>
      </c>
      <c r="I1098">
        <v>6.6</v>
      </c>
      <c r="J1098">
        <v>23.6</v>
      </c>
    </row>
    <row r="1099" spans="1:10" x14ac:dyDescent="0.3">
      <c r="A1099" t="str" cm="1">
        <f t="array" ref="A1099">IF(ROW()&lt;=COUNTA(Sheet1!A:A), INDEX(Sheet1!A:A, ROW()),
INDEX(Sheet4!A:A, ROW()-COUNTA(Sheet1!A:A)))</f>
        <v>Al21.063Cr25.708Fe34.768Co8.0868Ni10.374</v>
      </c>
      <c r="B1099" s="10">
        <f>_xlfn.XLOOKUP(A1099, Sheet4!A:A, Sheet4!C:C)</f>
        <v>0</v>
      </c>
      <c r="C1099" s="10">
        <v>-1</v>
      </c>
      <c r="D1099" s="10">
        <f>_xlfn.XLOOKUP(A1099, Sheet2!A:A, Sheet2!B:B)</f>
        <v>6.7210000000000001</v>
      </c>
      <c r="E1099" s="10">
        <f>_xlfn.XLOOKUP(A1099, Sheet1!A:A, Sheet1!G:G)</f>
        <v>-1</v>
      </c>
      <c r="F1099" s="10">
        <f t="shared" si="17"/>
        <v>-1</v>
      </c>
      <c r="G1099" cm="1">
        <f t="array" ref="G1099:J1099">_xlfn.XLOOKUP(A1099, Sheet1!A:A, Sheet1!C:F)</f>
        <v>22.666</v>
      </c>
      <c r="H1099">
        <v>26.571999999999999</v>
      </c>
      <c r="I1099">
        <v>6.6120000000000001</v>
      </c>
      <c r="J1099">
        <v>23.638000000000002</v>
      </c>
    </row>
    <row r="1100" spans="1:10" x14ac:dyDescent="0.3">
      <c r="A1100" t="str" cm="1">
        <f t="array" ref="A1100">IF(ROW()&lt;=COUNTA(Sheet1!A:A), INDEX(Sheet1!A:A, ROW()),
INDEX(Sheet4!A:A, ROW()-COUNTA(Sheet1!A:A)))</f>
        <v>Al21.1Cr25.7Fe34.8Co8.1Ni10.4</v>
      </c>
      <c r="B1100" s="10">
        <f>_xlfn.XLOOKUP(A1100, Sheet4!A:A, Sheet4!C:C)</f>
        <v>0</v>
      </c>
      <c r="C1100" s="10">
        <v>-1</v>
      </c>
      <c r="D1100" s="10">
        <f>_xlfn.XLOOKUP(A1100, Sheet2!A:A, Sheet2!B:B)</f>
        <v>6.7213000000000003</v>
      </c>
      <c r="E1100" s="10">
        <f>_xlfn.XLOOKUP(A1100, Sheet1!A:A, Sheet1!G:G)</f>
        <v>-1</v>
      </c>
      <c r="F1100" s="10">
        <f t="shared" si="17"/>
        <v>-1</v>
      </c>
      <c r="G1100" cm="1">
        <f t="array" ref="G1100:J1100">_xlfn.XLOOKUP(A1100, Sheet1!A:A, Sheet1!C:F)</f>
        <v>13.6</v>
      </c>
      <c r="H1100">
        <v>20.6</v>
      </c>
      <c r="I1100">
        <v>27.5</v>
      </c>
      <c r="J1100">
        <v>17.7</v>
      </c>
    </row>
    <row r="1101" spans="1:10" x14ac:dyDescent="0.3">
      <c r="A1101" t="str" cm="1">
        <f t="array" ref="A1101">IF(ROW()&lt;=COUNTA(Sheet1!A:A), INDEX(Sheet1!A:A, ROW()),
INDEX(Sheet4!A:A, ROW()-COUNTA(Sheet1!A:A)))</f>
        <v>Al21.1Cr18.9Fe25.6Co15.1Ni19.4</v>
      </c>
      <c r="B1101" s="10">
        <f>_xlfn.XLOOKUP(A1101, Sheet4!A:A, Sheet4!C:C)</f>
        <v>0</v>
      </c>
      <c r="C1101" s="10">
        <v>-1</v>
      </c>
      <c r="D1101" s="10">
        <f>_xlfn.XLOOKUP(A1101, Sheet2!A:A, Sheet2!B:B)</f>
        <v>7.1069000000000004</v>
      </c>
      <c r="E1101" s="10">
        <f>_xlfn.XLOOKUP(A1101, Sheet1!A:A, Sheet1!G:G)</f>
        <v>-1</v>
      </c>
      <c r="F1101" s="10">
        <f t="shared" si="17"/>
        <v>-1</v>
      </c>
      <c r="G1101" cm="1">
        <f t="array" ref="G1101:J1101">_xlfn.XLOOKUP(A1101, Sheet1!A:A, Sheet1!C:F)</f>
        <v>13.632</v>
      </c>
      <c r="H1101">
        <v>20.56</v>
      </c>
      <c r="I1101">
        <v>27.545000000000002</v>
      </c>
      <c r="J1101">
        <v>17.655000000000001</v>
      </c>
    </row>
    <row r="1102" spans="1:10" x14ac:dyDescent="0.3">
      <c r="A1102" t="str" cm="1">
        <f t="array" ref="A1102">IF(ROW()&lt;=COUNTA(Sheet1!A:A), INDEX(Sheet1!A:A, ROW()),
INDEX(Sheet4!A:A, ROW()-COUNTA(Sheet1!A:A)))</f>
        <v>Al21.121Cr18.85Fe25.552Co15.095Ni19.382</v>
      </c>
      <c r="B1102" s="10">
        <f>_xlfn.XLOOKUP(A1102, Sheet4!A:A, Sheet4!C:C)</f>
        <v>0</v>
      </c>
      <c r="C1102" s="10">
        <v>-1</v>
      </c>
      <c r="D1102" s="10">
        <f>_xlfn.XLOOKUP(A1102, Sheet2!A:A, Sheet2!B:B)</f>
        <v>7.1055000000000001</v>
      </c>
      <c r="E1102" s="10">
        <f>_xlfn.XLOOKUP(A1102, Sheet1!A:A, Sheet1!G:G)</f>
        <v>-1</v>
      </c>
      <c r="F1102" s="10">
        <f t="shared" si="17"/>
        <v>-1</v>
      </c>
      <c r="G1102" cm="1">
        <f t="array" ref="G1102:J1102">_xlfn.XLOOKUP(A1102, Sheet1!A:A, Sheet1!C:F)</f>
        <v>20.833333329999999</v>
      </c>
      <c r="H1102">
        <v>20.833333329999999</v>
      </c>
      <c r="I1102">
        <v>20.833333329999999</v>
      </c>
      <c r="J1102">
        <v>16.666666670000001</v>
      </c>
    </row>
    <row r="1103" spans="1:10" x14ac:dyDescent="0.3">
      <c r="A1103" t="str" cm="1">
        <f t="array" ref="A1103">IF(ROW()&lt;=COUNTA(Sheet1!A:A), INDEX(Sheet1!A:A, ROW()),
INDEX(Sheet4!A:A, ROW()-COUNTA(Sheet1!A:A)))</f>
        <v>AlCoCr0.7FeNi</v>
      </c>
      <c r="B1103" s="10" t="str">
        <f>_xlfn.XLOOKUP(A1103, Sheet4!A:A, Sheet4!C:C)</f>
        <v>FCC+BCC</v>
      </c>
      <c r="C1103" s="10">
        <v>-1</v>
      </c>
      <c r="D1103" s="10">
        <f>_xlfn.XLOOKUP(A1103, Sheet2!A:A, Sheet2!B:B)</f>
        <v>7.2766000000000002</v>
      </c>
      <c r="E1103" s="10">
        <f>_xlfn.XLOOKUP(A1103, Sheet1!A:A, Sheet1!G:G)</f>
        <v>-1</v>
      </c>
      <c r="F1103" s="10">
        <f t="shared" si="17"/>
        <v>-1</v>
      </c>
      <c r="G1103" cm="1">
        <f t="array" ref="G1103:J1103">_xlfn.XLOOKUP(A1103, Sheet1!A:A, Sheet1!C:F)</f>
        <v>15.811</v>
      </c>
      <c r="H1103">
        <v>27.277000000000001</v>
      </c>
      <c r="I1103">
        <v>19.064</v>
      </c>
      <c r="J1103">
        <v>16.891999999999999</v>
      </c>
    </row>
    <row r="1104" spans="1:10" x14ac:dyDescent="0.3">
      <c r="A1104" t="str" cm="1">
        <f t="array" ref="A1104">IF(ROW()&lt;=COUNTA(Sheet1!A:A), INDEX(Sheet1!A:A, ROW()),
INDEX(Sheet4!A:A, ROW()-COUNTA(Sheet1!A:A)))</f>
        <v>AlCoCrFeNi0.70</v>
      </c>
      <c r="B1104" s="10">
        <f>_xlfn.XLOOKUP(A1104, Sheet4!A:A, Sheet4!C:C)</f>
        <v>0</v>
      </c>
      <c r="C1104" s="10">
        <v>-1</v>
      </c>
      <c r="D1104" s="10">
        <f>_xlfn.XLOOKUP(A1104, Sheet2!A:A, Sheet2!B:B)</f>
        <v>7.0213000000000001</v>
      </c>
      <c r="E1104" s="10">
        <f>_xlfn.XLOOKUP(A1104, Sheet1!A:A, Sheet1!G:G)</f>
        <v>-1</v>
      </c>
      <c r="F1104" s="10">
        <f t="shared" si="17"/>
        <v>-1</v>
      </c>
      <c r="G1104" cm="1">
        <f t="array" ref="G1104:J1104">_xlfn.XLOOKUP(A1104, Sheet1!A:A, Sheet1!C:F)</f>
        <v>10.1</v>
      </c>
      <c r="H1104">
        <v>26.8</v>
      </c>
      <c r="I1104">
        <v>31.6</v>
      </c>
      <c r="J1104">
        <v>10.6</v>
      </c>
    </row>
    <row r="1105" spans="1:10" x14ac:dyDescent="0.3">
      <c r="A1105" t="str" cm="1">
        <f t="array" ref="A1105">IF(ROW()&lt;=COUNTA(Sheet1!A:A), INDEX(Sheet1!A:A, ROW()),
INDEX(Sheet4!A:A, ROW()-COUNTA(Sheet1!A:A)))</f>
        <v>Al21.3Cr27.7Fe24.9Co12.6Ni13.5</v>
      </c>
      <c r="B1105" s="10">
        <f>_xlfn.XLOOKUP(A1105, Sheet4!A:A, Sheet4!C:C)</f>
        <v>0</v>
      </c>
      <c r="C1105" s="10">
        <v>-1</v>
      </c>
      <c r="D1105" s="10">
        <f>_xlfn.XLOOKUP(A1105, Sheet2!A:A, Sheet2!B:B)</f>
        <v>6.7770000000000001</v>
      </c>
      <c r="E1105" s="10">
        <f>_xlfn.XLOOKUP(A1105, Sheet1!A:A, Sheet1!G:G)</f>
        <v>-1</v>
      </c>
      <c r="F1105" s="10">
        <f t="shared" si="17"/>
        <v>-1</v>
      </c>
      <c r="G1105" cm="1">
        <f t="array" ref="G1105:J1105">_xlfn.XLOOKUP(A1105, Sheet1!A:A, Sheet1!C:F)</f>
        <v>15.8</v>
      </c>
      <c r="H1105">
        <v>27.3</v>
      </c>
      <c r="I1105">
        <v>19.100000000000001</v>
      </c>
      <c r="J1105">
        <v>16.899999999999999</v>
      </c>
    </row>
    <row r="1106" spans="1:10" x14ac:dyDescent="0.3">
      <c r="A1106" t="str" cm="1">
        <f t="array" ref="A1106">IF(ROW()&lt;=COUNTA(Sheet1!A:A), INDEX(Sheet1!A:A, ROW()),
INDEX(Sheet4!A:A, ROW()-COUNTA(Sheet1!A:A)))</f>
        <v>Al21.303Cr27.675Fe24.947Co12.593Ni13.482</v>
      </c>
      <c r="B1106" s="10">
        <f>_xlfn.XLOOKUP(A1106, Sheet4!A:A, Sheet4!C:C)</f>
        <v>0</v>
      </c>
      <c r="C1106" s="10">
        <v>-1</v>
      </c>
      <c r="D1106" s="10">
        <f>_xlfn.XLOOKUP(A1106, Sheet2!A:A, Sheet2!B:B)</f>
        <v>6.7769000000000004</v>
      </c>
      <c r="E1106" s="10">
        <f>_xlfn.XLOOKUP(A1106, Sheet1!A:A, Sheet1!G:G)</f>
        <v>-1</v>
      </c>
      <c r="F1106" s="10">
        <f t="shared" si="17"/>
        <v>-1</v>
      </c>
      <c r="G1106" cm="1">
        <f t="array" ref="G1106:J1106">_xlfn.XLOOKUP(A1106, Sheet1!A:A, Sheet1!C:F)</f>
        <v>10.066000000000001</v>
      </c>
      <c r="H1106">
        <v>26.766999999999999</v>
      </c>
      <c r="I1106">
        <v>31.584</v>
      </c>
      <c r="J1106">
        <v>10.561999999999999</v>
      </c>
    </row>
    <row r="1107" spans="1:10" x14ac:dyDescent="0.3">
      <c r="A1107" t="str" cm="1">
        <f t="array" ref="A1107">IF(ROW()&lt;=COUNTA(Sheet1!A:A), INDEX(Sheet1!A:A, ROW()),
INDEX(Sheet4!A:A, ROW()-COUNTA(Sheet1!A:A)))</f>
        <v>AlCoCrFeNi0.65</v>
      </c>
      <c r="B1107" s="10">
        <f>_xlfn.XLOOKUP(A1107, Sheet4!A:A, Sheet4!C:C)</f>
        <v>0</v>
      </c>
      <c r="C1107" s="10">
        <v>-1</v>
      </c>
      <c r="D1107" s="10">
        <f>_xlfn.XLOOKUP(A1107, Sheet2!A:A, Sheet2!B:B)</f>
        <v>6.9892000000000003</v>
      </c>
      <c r="E1107" s="10">
        <f>_xlfn.XLOOKUP(A1107, Sheet1!A:A, Sheet1!G:G)</f>
        <v>-1</v>
      </c>
      <c r="F1107" s="10">
        <f t="shared" si="17"/>
        <v>-1</v>
      </c>
      <c r="G1107" cm="1">
        <f t="array" ref="G1107:J1107">_xlfn.XLOOKUP(A1107, Sheet1!A:A, Sheet1!C:F)</f>
        <v>21.05263158</v>
      </c>
      <c r="H1107">
        <v>21.05263158</v>
      </c>
      <c r="I1107">
        <v>21.05263158</v>
      </c>
      <c r="J1107">
        <v>15.78947368</v>
      </c>
    </row>
    <row r="1108" spans="1:10" x14ac:dyDescent="0.3">
      <c r="A1108" t="str" cm="1">
        <f t="array" ref="A1108">IF(ROW()&lt;=COUNTA(Sheet1!A:A), INDEX(Sheet1!A:A, ROW()),
INDEX(Sheet4!A:A, ROW()-COUNTA(Sheet1!A:A)))</f>
        <v>Al1.1CoCrFeNi</v>
      </c>
      <c r="B1108" s="10">
        <f>_xlfn.XLOOKUP(A1108, Sheet4!A:A, Sheet4!C:C)</f>
        <v>0</v>
      </c>
      <c r="C1108" s="10">
        <v>-1</v>
      </c>
      <c r="D1108" s="10">
        <f>_xlfn.XLOOKUP(A1108, Sheet2!A:A, Sheet2!B:B)</f>
        <v>7.1176000000000004</v>
      </c>
      <c r="E1108" s="10">
        <f>_xlfn.XLOOKUP(A1108, Sheet1!A:A, Sheet1!G:G)</f>
        <v>-1</v>
      </c>
      <c r="F1108" s="10">
        <f t="shared" si="17"/>
        <v>-1</v>
      </c>
      <c r="G1108" cm="1">
        <f t="array" ref="G1108:J1108">_xlfn.XLOOKUP(A1108, Sheet1!A:A, Sheet1!C:F)</f>
        <v>8.0868000000000002</v>
      </c>
      <c r="H1108">
        <v>25.707999999999998</v>
      </c>
      <c r="I1108">
        <v>34.768000000000001</v>
      </c>
      <c r="J1108">
        <v>10.374000000000001</v>
      </c>
    </row>
    <row r="1109" spans="1:10" x14ac:dyDescent="0.3">
      <c r="A1109" t="str" cm="1">
        <f t="array" ref="A1109">IF(ROW()&lt;=COUNTA(Sheet1!A:A), INDEX(Sheet1!A:A, ROW()),
INDEX(Sheet4!A:A, ROW()-COUNTA(Sheet1!A:A)))</f>
        <v>Al21.575Cr26.982Fe33.913Co8.6041Ni8.9265</v>
      </c>
      <c r="B1109" s="10">
        <f>_xlfn.XLOOKUP(A1109, Sheet4!A:A, Sheet4!C:C)</f>
        <v>0</v>
      </c>
      <c r="C1109" s="10">
        <v>-1</v>
      </c>
      <c r="D1109" s="10">
        <f>_xlfn.XLOOKUP(A1109, Sheet2!A:A, Sheet2!B:B)</f>
        <v>6.6462000000000003</v>
      </c>
      <c r="E1109" s="10">
        <f>_xlfn.XLOOKUP(A1109, Sheet1!A:A, Sheet1!G:G)</f>
        <v>-1</v>
      </c>
      <c r="F1109" s="10">
        <f t="shared" si="17"/>
        <v>-1</v>
      </c>
      <c r="G1109" cm="1">
        <f t="array" ref="G1109:J1109">_xlfn.XLOOKUP(A1109, Sheet1!A:A, Sheet1!C:F)</f>
        <v>8.1</v>
      </c>
      <c r="H1109">
        <v>25.7</v>
      </c>
      <c r="I1109">
        <v>34.799999999999997</v>
      </c>
      <c r="J1109">
        <v>10.4</v>
      </c>
    </row>
    <row r="1110" spans="1:10" x14ac:dyDescent="0.3">
      <c r="A1110" t="str" cm="1">
        <f t="array" ref="A1110">IF(ROW()&lt;=COUNTA(Sheet1!A:A), INDEX(Sheet1!A:A, ROW()),
INDEX(Sheet4!A:A, ROW()-COUNTA(Sheet1!A:A)))</f>
        <v>Al21.6Cr27Fe33.9Co8.6Ni8.9</v>
      </c>
      <c r="B1110" s="10">
        <f>_xlfn.XLOOKUP(A1110, Sheet4!A:A, Sheet4!C:C)</f>
        <v>0</v>
      </c>
      <c r="C1110" s="10">
        <v>-1</v>
      </c>
      <c r="D1110" s="10">
        <f>_xlfn.XLOOKUP(A1110, Sheet2!A:A, Sheet2!B:B)</f>
        <v>6.6440000000000001</v>
      </c>
      <c r="E1110" s="10">
        <f>_xlfn.XLOOKUP(A1110, Sheet1!A:A, Sheet1!G:G)</f>
        <v>-1</v>
      </c>
      <c r="F1110" s="10">
        <f t="shared" si="17"/>
        <v>-1</v>
      </c>
      <c r="G1110" cm="1">
        <f t="array" ref="G1110:J1110">_xlfn.XLOOKUP(A1110, Sheet1!A:A, Sheet1!C:F)</f>
        <v>15.1</v>
      </c>
      <c r="H1110">
        <v>18.899999999999999</v>
      </c>
      <c r="I1110">
        <v>25.6</v>
      </c>
      <c r="J1110">
        <v>19.399999999999999</v>
      </c>
    </row>
    <row r="1111" spans="1:10" x14ac:dyDescent="0.3">
      <c r="A1111" t="str" cm="1">
        <f t="array" ref="A1111">IF(ROW()&lt;=COUNTA(Sheet1!A:A), INDEX(Sheet1!A:A, ROW()),
INDEX(Sheet4!A:A, ROW()-COUNTA(Sheet1!A:A)))</f>
        <v>AlCoCrFeNi0.60</v>
      </c>
      <c r="B1111" s="10">
        <f>_xlfn.XLOOKUP(A1111, Sheet4!A:A, Sheet4!C:C)</f>
        <v>0</v>
      </c>
      <c r="C1111" s="10">
        <v>-1</v>
      </c>
      <c r="D1111" s="10">
        <f>_xlfn.XLOOKUP(A1111, Sheet2!A:A, Sheet2!B:B)</f>
        <v>6.9565000000000001</v>
      </c>
      <c r="E1111" s="10">
        <f>_xlfn.XLOOKUP(A1111, Sheet1!A:A, Sheet1!G:G)</f>
        <v>-1</v>
      </c>
      <c r="F1111" s="10">
        <f t="shared" si="17"/>
        <v>-1</v>
      </c>
      <c r="G1111" cm="1">
        <f t="array" ref="G1111:J1111">_xlfn.XLOOKUP(A1111, Sheet1!A:A, Sheet1!C:F)</f>
        <v>15.095000000000001</v>
      </c>
      <c r="H1111">
        <v>18.850000000000001</v>
      </c>
      <c r="I1111">
        <v>25.552</v>
      </c>
      <c r="J1111">
        <v>19.382000000000001</v>
      </c>
    </row>
    <row r="1112" spans="1:10" x14ac:dyDescent="0.3">
      <c r="A1112" t="str" cm="1">
        <f t="array" ref="A1112">IF(ROW()&lt;=COUNTA(Sheet1!A:A), INDEX(Sheet1!A:A, ROW()),
INDEX(Sheet4!A:A, ROW()-COUNTA(Sheet1!A:A)))</f>
        <v>Al21.756Cr28.394Fe16.055Co16.496Ni17.299</v>
      </c>
      <c r="B1112" s="10">
        <f>_xlfn.XLOOKUP(A1112, Sheet4!A:A, Sheet4!C:C)</f>
        <v>0</v>
      </c>
      <c r="C1112" s="10">
        <v>-1</v>
      </c>
      <c r="D1112" s="10">
        <f>_xlfn.XLOOKUP(A1112, Sheet2!A:A, Sheet2!B:B)</f>
        <v>6.8552999999999997</v>
      </c>
      <c r="E1112" s="10">
        <f>_xlfn.XLOOKUP(A1112, Sheet1!A:A, Sheet1!G:G)</f>
        <v>-1</v>
      </c>
      <c r="F1112" s="10">
        <f t="shared" si="17"/>
        <v>-1</v>
      </c>
      <c r="G1112" cm="1">
        <f t="array" ref="G1112:J1112">_xlfn.XLOOKUP(A1112, Sheet1!A:A, Sheet1!C:F)</f>
        <v>21.276595740000001</v>
      </c>
      <c r="H1112">
        <v>14.893617020000001</v>
      </c>
      <c r="I1112">
        <v>21.276595740000001</v>
      </c>
      <c r="J1112">
        <v>21.276595740000001</v>
      </c>
    </row>
    <row r="1113" spans="1:10" x14ac:dyDescent="0.3">
      <c r="A1113" t="str" cm="1">
        <f t="array" ref="A1113">IF(ROW()&lt;=COUNTA(Sheet1!A:A), INDEX(Sheet1!A:A, ROW()),
INDEX(Sheet4!A:A, ROW()-COUNTA(Sheet1!A:A)))</f>
        <v>Al21.8Cr28.4Fe16.1Co16.5Ni17.3</v>
      </c>
      <c r="B1113" s="10">
        <f>_xlfn.XLOOKUP(A1113, Sheet4!A:A, Sheet4!C:C)</f>
        <v>0</v>
      </c>
      <c r="C1113" s="10">
        <v>-1</v>
      </c>
      <c r="D1113" s="10">
        <f>_xlfn.XLOOKUP(A1113, Sheet2!A:A, Sheet2!B:B)</f>
        <v>6.8540999999999999</v>
      </c>
      <c r="E1113" s="10">
        <f>_xlfn.XLOOKUP(A1113, Sheet1!A:A, Sheet1!G:G)</f>
        <v>-1</v>
      </c>
      <c r="F1113" s="10">
        <f t="shared" si="17"/>
        <v>-1</v>
      </c>
      <c r="G1113" cm="1">
        <f t="array" ref="G1113:J1113">_xlfn.XLOOKUP(A1113, Sheet1!A:A, Sheet1!C:F)</f>
        <v>21.276595740000001</v>
      </c>
      <c r="H1113">
        <v>21.276595740000001</v>
      </c>
      <c r="I1113">
        <v>21.276595740000001</v>
      </c>
      <c r="J1113">
        <v>14.893617020000001</v>
      </c>
    </row>
    <row r="1114" spans="1:10" x14ac:dyDescent="0.3">
      <c r="A1114" t="str" cm="1">
        <f t="array" ref="A1114">IF(ROW()&lt;=COUNTA(Sheet1!A:A), INDEX(Sheet1!A:A, ROW()),
INDEX(Sheet4!A:A, ROW()-COUNTA(Sheet1!A:A)))</f>
        <v>Al1.12NiCoFeCr</v>
      </c>
      <c r="B1114" s="10">
        <f>_xlfn.XLOOKUP(A1114, Sheet4!A:A, Sheet4!C:C)</f>
        <v>0</v>
      </c>
      <c r="C1114" s="10">
        <v>-1</v>
      </c>
      <c r="D1114" s="10">
        <f>_xlfn.XLOOKUP(A1114, Sheet2!A:A, Sheet2!B:B)</f>
        <v>7.1016000000000004</v>
      </c>
      <c r="E1114" s="10">
        <f>_xlfn.XLOOKUP(A1114, Sheet1!A:A, Sheet1!G:G)</f>
        <v>-1</v>
      </c>
      <c r="F1114" s="10">
        <f t="shared" si="17"/>
        <v>-1</v>
      </c>
      <c r="G1114" cm="1">
        <f t="array" ref="G1114:J1114">_xlfn.XLOOKUP(A1114, Sheet1!A:A, Sheet1!C:F)</f>
        <v>12.6</v>
      </c>
      <c r="H1114">
        <v>27.7</v>
      </c>
      <c r="I1114">
        <v>24.9</v>
      </c>
      <c r="J1114">
        <v>13.5</v>
      </c>
    </row>
    <row r="1115" spans="1:10" x14ac:dyDescent="0.3">
      <c r="A1115" t="str" cm="1">
        <f t="array" ref="A1115">IF(ROW()&lt;=COUNTA(Sheet1!A:A), INDEX(Sheet1!A:A, ROW()),
INDEX(Sheet4!A:A, ROW()-COUNTA(Sheet1!A:A)))</f>
        <v>Al21.88Ni19.53Co19.53Fe19.53Cr19.53</v>
      </c>
      <c r="B1115" s="10" t="str">
        <f>_xlfn.XLOOKUP(A1115, Sheet4!A:A, Sheet4!C:C)</f>
        <v>BCC</v>
      </c>
      <c r="C1115" s="10">
        <v>0</v>
      </c>
      <c r="D1115" s="10">
        <f>_xlfn.XLOOKUP(A1115, Sheet2!A:A, Sheet2!B:B)</f>
        <v>7.1013000000000002</v>
      </c>
      <c r="E1115" s="10">
        <f>_xlfn.XLOOKUP(A1115, Sheet1!A:A, Sheet1!G:G)</f>
        <v>-1</v>
      </c>
      <c r="F1115" s="10">
        <f t="shared" si="17"/>
        <v>0</v>
      </c>
      <c r="G1115" cm="1">
        <f t="array" ref="G1115:J1115">_xlfn.XLOOKUP(A1115, Sheet1!A:A, Sheet1!C:F)</f>
        <v>12.593</v>
      </c>
      <c r="H1115">
        <v>27.675000000000001</v>
      </c>
      <c r="I1115">
        <v>24.946999999999999</v>
      </c>
      <c r="J1115">
        <v>13.481999999999999</v>
      </c>
    </row>
    <row r="1116" spans="1:10" x14ac:dyDescent="0.3">
      <c r="A1116" t="str" cm="1">
        <f t="array" ref="A1116">IF(ROW()&lt;=COUNTA(Sheet1!A:A), INDEX(Sheet1!A:A, ROW()),
INDEX(Sheet4!A:A, ROW()-COUNTA(Sheet1!A:A)))</f>
        <v>Al21.952Cr27.351Fe36.993Co5.9783Ni7.7257</v>
      </c>
      <c r="B1116" s="10">
        <f>_xlfn.XLOOKUP(A1116, Sheet4!A:A, Sheet4!C:C)</f>
        <v>0</v>
      </c>
      <c r="C1116" s="10">
        <v>-1</v>
      </c>
      <c r="D1116" s="10">
        <f>_xlfn.XLOOKUP(A1116, Sheet2!A:A, Sheet2!B:B)</f>
        <v>6.5697000000000001</v>
      </c>
      <c r="E1116" s="10">
        <f>_xlfn.XLOOKUP(A1116, Sheet1!A:A, Sheet1!G:G)</f>
        <v>-1</v>
      </c>
      <c r="F1116" s="10">
        <f t="shared" si="17"/>
        <v>-1</v>
      </c>
      <c r="G1116" cm="1">
        <f t="array" ref="G1116:J1116">_xlfn.XLOOKUP(A1116, Sheet1!A:A, Sheet1!C:F)</f>
        <v>21.505376340000002</v>
      </c>
      <c r="H1116">
        <v>21.505376340000002</v>
      </c>
      <c r="I1116">
        <v>21.505376340000002</v>
      </c>
      <c r="J1116">
        <v>13.978494619999999</v>
      </c>
    </row>
    <row r="1117" spans="1:10" x14ac:dyDescent="0.3">
      <c r="A1117" t="str" cm="1">
        <f t="array" ref="A1117">IF(ROW()&lt;=COUNTA(Sheet1!A:A), INDEX(Sheet1!A:A, ROW()),
INDEX(Sheet4!A:A, ROW()-COUNTA(Sheet1!A:A)))</f>
        <v>AlCoCrFeNi0.55</v>
      </c>
      <c r="B1117" s="10">
        <f>_xlfn.XLOOKUP(A1117, Sheet4!A:A, Sheet4!C:C)</f>
        <v>0</v>
      </c>
      <c r="C1117" s="10">
        <v>-1</v>
      </c>
      <c r="D1117" s="10">
        <f>_xlfn.XLOOKUP(A1117, Sheet2!A:A, Sheet2!B:B)</f>
        <v>6.9230999999999998</v>
      </c>
      <c r="E1117" s="10">
        <f>_xlfn.XLOOKUP(A1117, Sheet1!A:A, Sheet1!G:G)</f>
        <v>-1</v>
      </c>
      <c r="F1117" s="10">
        <f t="shared" si="17"/>
        <v>-1</v>
      </c>
      <c r="G1117" cm="1">
        <f t="array" ref="G1117:J1117">_xlfn.XLOOKUP(A1117, Sheet1!A:A, Sheet1!C:F)</f>
        <v>19.60784314</v>
      </c>
      <c r="H1117">
        <v>19.60784314</v>
      </c>
      <c r="I1117">
        <v>19.60784314</v>
      </c>
      <c r="J1117">
        <v>19.60784314</v>
      </c>
    </row>
    <row r="1118" spans="1:10" x14ac:dyDescent="0.3">
      <c r="A1118" t="str" cm="1">
        <f t="array" ref="A1118">IF(ROW()&lt;=COUNTA(Sheet1!A:A), INDEX(Sheet1!A:A, ROW()),
INDEX(Sheet4!A:A, ROW()-COUNTA(Sheet1!A:A)))</f>
        <v>Al22Cr27.4Fe37Co6Ni7.7</v>
      </c>
      <c r="B1118" s="10">
        <f>_xlfn.XLOOKUP(A1118, Sheet4!A:A, Sheet4!C:C)</f>
        <v>0</v>
      </c>
      <c r="C1118" s="10">
        <v>-1</v>
      </c>
      <c r="D1118" s="10">
        <f>_xlfn.XLOOKUP(A1118, Sheet2!A:A, Sheet2!B:B)</f>
        <v>6.5674000000000001</v>
      </c>
      <c r="E1118" s="10">
        <f>_xlfn.XLOOKUP(A1118, Sheet1!A:A, Sheet1!G:G)</f>
        <v>-1</v>
      </c>
      <c r="F1118" s="10">
        <f t="shared" si="17"/>
        <v>-1</v>
      </c>
      <c r="G1118" cm="1">
        <f t="array" ref="G1118:J1118">_xlfn.XLOOKUP(A1118, Sheet1!A:A, Sheet1!C:F)</f>
        <v>8.6041000000000007</v>
      </c>
      <c r="H1118">
        <v>26.981999999999999</v>
      </c>
      <c r="I1118">
        <v>33.912999999999997</v>
      </c>
      <c r="J1118">
        <v>8.9265000000000008</v>
      </c>
    </row>
    <row r="1119" spans="1:10" x14ac:dyDescent="0.3">
      <c r="A1119" t="str" cm="1">
        <f t="array" ref="A1119">IF(ROW()&lt;=COUNTA(Sheet1!A:A), INDEX(Sheet1!A:A, ROW()),
INDEX(Sheet4!A:A, ROW()-COUNTA(Sheet1!A:A)))</f>
        <v>Al21.983Cr23.021Fe31.344Co10.364Ni13.288</v>
      </c>
      <c r="B1119" s="10">
        <f>_xlfn.XLOOKUP(A1119, Sheet4!A:A, Sheet4!C:C)</f>
        <v>0</v>
      </c>
      <c r="C1119" s="10">
        <v>-1</v>
      </c>
      <c r="D1119" s="10">
        <f>_xlfn.XLOOKUP(A1119, Sheet2!A:A, Sheet2!B:B)</f>
        <v>6.8098000000000001</v>
      </c>
      <c r="E1119" s="10">
        <f>_xlfn.XLOOKUP(A1119, Sheet1!A:A, Sheet1!G:G)</f>
        <v>-1</v>
      </c>
      <c r="F1119" s="10">
        <f t="shared" si="17"/>
        <v>-1</v>
      </c>
      <c r="G1119" cm="1">
        <f t="array" ref="G1119:J1119">_xlfn.XLOOKUP(A1119, Sheet1!A:A, Sheet1!C:F)</f>
        <v>8.6</v>
      </c>
      <c r="H1119">
        <v>27</v>
      </c>
      <c r="I1119">
        <v>33.9</v>
      </c>
      <c r="J1119">
        <v>8.9</v>
      </c>
    </row>
    <row r="1120" spans="1:10" x14ac:dyDescent="0.3">
      <c r="A1120" t="str" cm="1">
        <f t="array" ref="A1120">IF(ROW()&lt;=COUNTA(Sheet1!A:A), INDEX(Sheet1!A:A, ROW()),
INDEX(Sheet4!A:A, ROW()-COUNTA(Sheet1!A:A)))</f>
        <v>Al22Cr23Fe31.3Co10.4Ni13.3</v>
      </c>
      <c r="B1120" s="10">
        <f>_xlfn.XLOOKUP(A1120, Sheet4!A:A, Sheet4!C:C)</f>
        <v>0</v>
      </c>
      <c r="C1120" s="10">
        <v>-1</v>
      </c>
      <c r="D1120" s="10">
        <f>_xlfn.XLOOKUP(A1120, Sheet2!A:A, Sheet2!B:B)</f>
        <v>6.81</v>
      </c>
      <c r="E1120" s="10">
        <f>_xlfn.XLOOKUP(A1120, Sheet1!A:A, Sheet1!G:G)</f>
        <v>-1</v>
      </c>
      <c r="F1120" s="10">
        <f t="shared" si="17"/>
        <v>-1</v>
      </c>
      <c r="G1120" cm="1">
        <f t="array" ref="G1120:J1120">_xlfn.XLOOKUP(A1120, Sheet1!A:A, Sheet1!C:F)</f>
        <v>21.739130429999999</v>
      </c>
      <c r="H1120">
        <v>21.739130429999999</v>
      </c>
      <c r="I1120">
        <v>21.739130429999999</v>
      </c>
      <c r="J1120">
        <v>13.043478260000001</v>
      </c>
    </row>
    <row r="1121" spans="1:10" x14ac:dyDescent="0.3">
      <c r="A1121" t="str" cm="1">
        <f t="array" ref="A1121">IF(ROW()&lt;=COUNTA(Sheet1!A:A), INDEX(Sheet1!A:A, ROW()),
INDEX(Sheet4!A:A, ROW()-COUNTA(Sheet1!A:A)))</f>
        <v>Al22.1Cr28.8Fe27.1Co10.6Ni11.4</v>
      </c>
      <c r="B1121" s="10">
        <f>_xlfn.XLOOKUP(A1121, Sheet4!A:A, Sheet4!C:C)</f>
        <v>0</v>
      </c>
      <c r="C1121" s="10">
        <v>-1</v>
      </c>
      <c r="D1121" s="10">
        <f>_xlfn.XLOOKUP(A1121, Sheet2!A:A, Sheet2!B:B)</f>
        <v>6.6529999999999996</v>
      </c>
      <c r="E1121" s="10">
        <f>_xlfn.XLOOKUP(A1121, Sheet1!A:A, Sheet1!G:G)</f>
        <v>-1</v>
      </c>
      <c r="F1121" s="10">
        <f t="shared" si="17"/>
        <v>-1</v>
      </c>
      <c r="G1121" cm="1">
        <f t="array" ref="G1121:J1121">_xlfn.XLOOKUP(A1121, Sheet1!A:A, Sheet1!C:F)</f>
        <v>16.495999999999999</v>
      </c>
      <c r="H1121">
        <v>28.393999999999998</v>
      </c>
      <c r="I1121">
        <v>16.055</v>
      </c>
      <c r="J1121">
        <v>17.298999999999999</v>
      </c>
    </row>
    <row r="1122" spans="1:10" x14ac:dyDescent="0.3">
      <c r="A1122" t="str" cm="1">
        <f t="array" ref="A1122">IF(ROW()&lt;=COUNTA(Sheet1!A:A), INDEX(Sheet1!A:A, ROW()),
INDEX(Sheet4!A:A, ROW()-COUNTA(Sheet1!A:A)))</f>
        <v>Al22.1Cr28.9Fe13.7Co17.3Ni18</v>
      </c>
      <c r="B1122" s="10">
        <f>_xlfn.XLOOKUP(A1122, Sheet4!A:A, Sheet4!C:C)</f>
        <v>0</v>
      </c>
      <c r="C1122" s="10">
        <v>-1</v>
      </c>
      <c r="D1122" s="10">
        <f>_xlfn.XLOOKUP(A1122, Sheet2!A:A, Sheet2!B:B)</f>
        <v>6.85</v>
      </c>
      <c r="E1122" s="10">
        <f>_xlfn.XLOOKUP(A1122, Sheet1!A:A, Sheet1!G:G)</f>
        <v>-1</v>
      </c>
      <c r="F1122" s="10">
        <f t="shared" si="17"/>
        <v>-1</v>
      </c>
      <c r="G1122" cm="1">
        <f t="array" ref="G1122:J1122">_xlfn.XLOOKUP(A1122, Sheet1!A:A, Sheet1!C:F)</f>
        <v>16.5</v>
      </c>
      <c r="H1122">
        <v>28.4</v>
      </c>
      <c r="I1122">
        <v>16.100000000000001</v>
      </c>
      <c r="J1122">
        <v>17.3</v>
      </c>
    </row>
    <row r="1123" spans="1:10" x14ac:dyDescent="0.3">
      <c r="A1123" t="str" cm="1">
        <f t="array" ref="A1123">IF(ROW()&lt;=COUNTA(Sheet1!A:A), INDEX(Sheet1!A:A, ROW()),
INDEX(Sheet4!A:A, ROW()-COUNTA(Sheet1!A:A)))</f>
        <v>Al22.103Cr28.93Fe13.681Co17.262Ni18.024</v>
      </c>
      <c r="B1123" s="10">
        <f>_xlfn.XLOOKUP(A1123, Sheet4!A:A, Sheet4!C:C)</f>
        <v>0</v>
      </c>
      <c r="C1123" s="10">
        <v>-1</v>
      </c>
      <c r="D1123" s="10">
        <f>_xlfn.XLOOKUP(A1123, Sheet2!A:A, Sheet2!B:B)</f>
        <v>6.8493000000000004</v>
      </c>
      <c r="E1123" s="10">
        <f>_xlfn.XLOOKUP(A1123, Sheet1!A:A, Sheet1!G:G)</f>
        <v>-1</v>
      </c>
      <c r="F1123" s="10">
        <f t="shared" si="17"/>
        <v>-1</v>
      </c>
      <c r="G1123" cm="1">
        <f t="array" ref="G1123:J1123">_xlfn.XLOOKUP(A1123, Sheet1!A:A, Sheet1!C:F)</f>
        <v>19.53125</v>
      </c>
      <c r="H1123">
        <v>19.53125</v>
      </c>
      <c r="I1123">
        <v>19.53125</v>
      </c>
      <c r="J1123">
        <v>19.53125</v>
      </c>
    </row>
    <row r="1124" spans="1:10" x14ac:dyDescent="0.3">
      <c r="A1124" t="str" cm="1">
        <f t="array" ref="A1124">IF(ROW()&lt;=COUNTA(Sheet1!A:A), INDEX(Sheet1!A:A, ROW()),
INDEX(Sheet4!A:A, ROW()-COUNTA(Sheet1!A:A)))</f>
        <v>Al22.132Cr28.777Fe27.106Co10.563Ni11.422</v>
      </c>
      <c r="B1124" s="10">
        <f>_xlfn.XLOOKUP(A1124, Sheet4!A:A, Sheet4!C:C)</f>
        <v>0</v>
      </c>
      <c r="C1124" s="10">
        <v>-1</v>
      </c>
      <c r="D1124" s="10">
        <f>_xlfn.XLOOKUP(A1124, Sheet2!A:A, Sheet2!B:B)</f>
        <v>6.6519000000000004</v>
      </c>
      <c r="E1124" s="10">
        <f>_xlfn.XLOOKUP(A1124, Sheet1!A:A, Sheet1!G:G)</f>
        <v>-1</v>
      </c>
      <c r="F1124" s="10">
        <f t="shared" si="17"/>
        <v>-1</v>
      </c>
      <c r="G1124" cm="1">
        <f t="array" ref="G1124:J1124">_xlfn.XLOOKUP(A1124, Sheet1!A:A, Sheet1!C:F)</f>
        <v>19.53</v>
      </c>
      <c r="H1124">
        <v>19.53</v>
      </c>
      <c r="I1124">
        <v>19.53</v>
      </c>
      <c r="J1124">
        <v>19.53</v>
      </c>
    </row>
    <row r="1125" spans="1:10" x14ac:dyDescent="0.3">
      <c r="A1125" t="str" cm="1">
        <f t="array" ref="A1125">IF(ROW()&lt;=COUNTA(Sheet1!A:A), INDEX(Sheet1!A:A, ROW()),
INDEX(Sheet4!A:A, ROW()-COUNTA(Sheet1!A:A)))</f>
        <v>Al22.2Cr15.8Fe21.1Co17.9Ni23</v>
      </c>
      <c r="B1125" s="10">
        <f>_xlfn.XLOOKUP(A1125, Sheet4!A:A, Sheet4!C:C)</f>
        <v>0</v>
      </c>
      <c r="C1125" s="10">
        <v>-1</v>
      </c>
      <c r="D1125" s="10">
        <f>_xlfn.XLOOKUP(A1125, Sheet2!A:A, Sheet2!B:B)</f>
        <v>7.2130000000000001</v>
      </c>
      <c r="E1125" s="10">
        <f>_xlfn.XLOOKUP(A1125, Sheet1!A:A, Sheet1!G:G)</f>
        <v>-1</v>
      </c>
      <c r="F1125" s="10">
        <f t="shared" si="17"/>
        <v>-1</v>
      </c>
      <c r="G1125" cm="1">
        <f t="array" ref="G1125:J1125">_xlfn.XLOOKUP(A1125, Sheet1!A:A, Sheet1!C:F)</f>
        <v>5.9782999999999999</v>
      </c>
      <c r="H1125">
        <v>27.350999999999999</v>
      </c>
      <c r="I1125">
        <v>36.993000000000002</v>
      </c>
      <c r="J1125">
        <v>7.7256999999999998</v>
      </c>
    </row>
    <row r="1126" spans="1:10" x14ac:dyDescent="0.3">
      <c r="A1126" t="str" cm="1">
        <f t="array" ref="A1126">IF(ROW()&lt;=COUNTA(Sheet1!A:A), INDEX(Sheet1!A:A, ROW()),
INDEX(Sheet4!A:A, ROW()-COUNTA(Sheet1!A:A)))</f>
        <v>AlCoCr0.5FeNi</v>
      </c>
      <c r="B1126" s="10" t="str">
        <f>_xlfn.XLOOKUP(A1126, Sheet4!A:A, Sheet4!C:C)</f>
        <v>FCC+BCC</v>
      </c>
      <c r="C1126" s="10">
        <v>-1</v>
      </c>
      <c r="D1126" s="10">
        <f>_xlfn.XLOOKUP(A1126, Sheet2!A:A, Sheet2!B:B)</f>
        <v>7.3333000000000004</v>
      </c>
      <c r="E1126" s="10">
        <f>_xlfn.XLOOKUP(A1126, Sheet1!A:A, Sheet1!G:G)</f>
        <v>-1</v>
      </c>
      <c r="F1126" s="10">
        <f t="shared" si="17"/>
        <v>-1</v>
      </c>
      <c r="G1126" cm="1">
        <f t="array" ref="G1126:J1126">_xlfn.XLOOKUP(A1126, Sheet1!A:A, Sheet1!C:F)</f>
        <v>21.978021980000001</v>
      </c>
      <c r="H1126">
        <v>21.978021980000001</v>
      </c>
      <c r="I1126">
        <v>21.978021980000001</v>
      </c>
      <c r="J1126">
        <v>12.08791209</v>
      </c>
    </row>
    <row r="1127" spans="1:10" x14ac:dyDescent="0.3">
      <c r="A1127" t="str" cm="1">
        <f t="array" ref="A1127">IF(ROW()&lt;=COUNTA(Sheet1!A:A), INDEX(Sheet1!A:A, ROW()),
INDEX(Sheet4!A:A, ROW()-COUNTA(Sheet1!A:A)))</f>
        <v>AlCoCrFeNi0.5</v>
      </c>
      <c r="B1127" s="10">
        <f>_xlfn.XLOOKUP(A1127, Sheet4!A:A, Sheet4!C:C)</f>
        <v>0</v>
      </c>
      <c r="C1127" s="10">
        <v>-1</v>
      </c>
      <c r="D1127" s="10">
        <f>_xlfn.XLOOKUP(A1127, Sheet2!A:A, Sheet2!B:B)</f>
        <v>6.8888999999999996</v>
      </c>
      <c r="E1127" s="10">
        <f>_xlfn.XLOOKUP(A1127, Sheet1!A:A, Sheet1!G:G)</f>
        <v>-1</v>
      </c>
      <c r="F1127" s="10">
        <f t="shared" si="17"/>
        <v>-1</v>
      </c>
      <c r="G1127" cm="1">
        <f t="array" ref="G1127:J1127">_xlfn.XLOOKUP(A1127, Sheet1!A:A, Sheet1!C:F)</f>
        <v>6</v>
      </c>
      <c r="H1127">
        <v>27.4</v>
      </c>
      <c r="I1127">
        <v>37</v>
      </c>
      <c r="J1127">
        <v>7.7</v>
      </c>
    </row>
    <row r="1128" spans="1:10" x14ac:dyDescent="0.3">
      <c r="A1128" t="str" cm="1">
        <f t="array" ref="A1128">IF(ROW()&lt;=COUNTA(Sheet1!A:A), INDEX(Sheet1!A:A, ROW()),
INDEX(Sheet4!A:A, ROW()-COUNTA(Sheet1!A:A)))</f>
        <v>Al22.224Cr15.806Fe21.132Co17.861Ni22.977</v>
      </c>
      <c r="B1128" s="10">
        <f>_xlfn.XLOOKUP(A1128, Sheet4!A:A, Sheet4!C:C)</f>
        <v>0</v>
      </c>
      <c r="C1128" s="10">
        <v>-1</v>
      </c>
      <c r="D1128" s="10">
        <f>_xlfn.XLOOKUP(A1128, Sheet2!A:A, Sheet2!B:B)</f>
        <v>7.2107999999999999</v>
      </c>
      <c r="E1128" s="10">
        <f>_xlfn.XLOOKUP(A1128, Sheet1!A:A, Sheet1!G:G)</f>
        <v>-1</v>
      </c>
      <c r="F1128" s="10">
        <f t="shared" si="17"/>
        <v>-1</v>
      </c>
      <c r="G1128" cm="1">
        <f t="array" ref="G1128:J1128">_xlfn.XLOOKUP(A1128, Sheet1!A:A, Sheet1!C:F)</f>
        <v>10.364000000000001</v>
      </c>
      <c r="H1128">
        <v>23.021000000000001</v>
      </c>
      <c r="I1128">
        <v>31.344000000000001</v>
      </c>
      <c r="J1128">
        <v>13.288</v>
      </c>
    </row>
    <row r="1129" spans="1:10" x14ac:dyDescent="0.3">
      <c r="A1129" t="str" cm="1">
        <f t="array" ref="A1129">IF(ROW()&lt;=COUNTA(Sheet1!A:A), INDEX(Sheet1!A:A, ROW()),
INDEX(Sheet4!A:A, ROW()-COUNTA(Sheet1!A:A)))</f>
        <v>Al22.3Cr17.4Fe23.1Co16.5Ni20.8</v>
      </c>
      <c r="B1129" s="10">
        <f>_xlfn.XLOOKUP(A1129, Sheet4!A:A, Sheet4!C:C)</f>
        <v>0</v>
      </c>
      <c r="C1129" s="10">
        <v>-1</v>
      </c>
      <c r="D1129" s="10">
        <f>_xlfn.XLOOKUP(A1129, Sheet2!A:A, Sheet2!B:B)</f>
        <v>7.1189</v>
      </c>
      <c r="E1129" s="10">
        <f>_xlfn.XLOOKUP(A1129, Sheet1!A:A, Sheet1!G:G)</f>
        <v>-1</v>
      </c>
      <c r="F1129" s="10">
        <f t="shared" si="17"/>
        <v>-1</v>
      </c>
      <c r="G1129" cm="1">
        <f t="array" ref="G1129:J1129">_xlfn.XLOOKUP(A1129, Sheet1!A:A, Sheet1!C:F)</f>
        <v>10.4</v>
      </c>
      <c r="H1129">
        <v>23</v>
      </c>
      <c r="I1129">
        <v>31.3</v>
      </c>
      <c r="J1129">
        <v>13.3</v>
      </c>
    </row>
    <row r="1130" spans="1:10" x14ac:dyDescent="0.3">
      <c r="A1130" t="str" cm="1">
        <f t="array" ref="A1130">IF(ROW()&lt;=COUNTA(Sheet1!A:A), INDEX(Sheet1!A:A, ROW()),
INDEX(Sheet4!A:A, ROW()-COUNTA(Sheet1!A:A)))</f>
        <v>Al22.284Cr17.373Fe23.092Co16.485Ni20.766</v>
      </c>
      <c r="B1130" s="10">
        <f>_xlfn.XLOOKUP(A1130, Sheet4!A:A, Sheet4!C:C)</f>
        <v>0</v>
      </c>
      <c r="C1130" s="10">
        <v>-1</v>
      </c>
      <c r="D1130" s="10">
        <f>_xlfn.XLOOKUP(A1130, Sheet2!A:A, Sheet2!B:B)</f>
        <v>7.1185</v>
      </c>
      <c r="E1130" s="10">
        <f>_xlfn.XLOOKUP(A1130, Sheet1!A:A, Sheet1!G:G)</f>
        <v>-1</v>
      </c>
      <c r="F1130" s="10">
        <f t="shared" si="17"/>
        <v>-1</v>
      </c>
      <c r="G1130" cm="1">
        <f t="array" ref="G1130:J1130">_xlfn.XLOOKUP(A1130, Sheet1!A:A, Sheet1!C:F)</f>
        <v>10.6</v>
      </c>
      <c r="H1130">
        <v>28.8</v>
      </c>
      <c r="I1130">
        <v>27.1</v>
      </c>
      <c r="J1130">
        <v>11.4</v>
      </c>
    </row>
    <row r="1131" spans="1:10" x14ac:dyDescent="0.3">
      <c r="A1131" t="str" cm="1">
        <f t="array" ref="A1131">IF(ROW()&lt;=COUNTA(Sheet1!A:A), INDEX(Sheet1!A:A, ROW()),
INDEX(Sheet4!A:A, ROW()-COUNTA(Sheet1!A:A)))</f>
        <v>Al22.376Cr29.495Fe11.632Co17.776Ni18.721</v>
      </c>
      <c r="B1131" s="10">
        <f>_xlfn.XLOOKUP(A1131, Sheet4!A:A, Sheet4!C:C)</f>
        <v>0</v>
      </c>
      <c r="C1131" s="10">
        <v>-1</v>
      </c>
      <c r="D1131" s="10">
        <f>_xlfn.XLOOKUP(A1131, Sheet2!A:A, Sheet2!B:B)</f>
        <v>6.8434999999999997</v>
      </c>
      <c r="E1131" s="10">
        <f>_xlfn.XLOOKUP(A1131, Sheet1!A:A, Sheet1!G:G)</f>
        <v>-1</v>
      </c>
      <c r="F1131" s="10">
        <f t="shared" si="17"/>
        <v>-1</v>
      </c>
      <c r="G1131" cm="1">
        <f t="array" ref="G1131:J1131">_xlfn.XLOOKUP(A1131, Sheet1!A:A, Sheet1!C:F)</f>
        <v>17.3</v>
      </c>
      <c r="H1131">
        <v>28.9</v>
      </c>
      <c r="I1131">
        <v>13.7</v>
      </c>
      <c r="J1131">
        <v>18</v>
      </c>
    </row>
    <row r="1132" spans="1:10" x14ac:dyDescent="0.3">
      <c r="A1132" t="str" cm="1">
        <f t="array" ref="A1132">IF(ROW()&lt;=COUNTA(Sheet1!A:A), INDEX(Sheet1!A:A, ROW()),
INDEX(Sheet4!A:A, ROW()-COUNTA(Sheet1!A:A)))</f>
        <v>Al22.4Cr29Fe21.2Co13.1Ni14.3</v>
      </c>
      <c r="B1132" s="10">
        <f>_xlfn.XLOOKUP(A1132, Sheet4!A:A, Sheet4!C:C)</f>
        <v>0</v>
      </c>
      <c r="C1132" s="10">
        <v>-1</v>
      </c>
      <c r="D1132" s="10">
        <f>_xlfn.XLOOKUP(A1132, Sheet2!A:A, Sheet2!B:B)</f>
        <v>6.7169999999999996</v>
      </c>
      <c r="E1132" s="10">
        <f>_xlfn.XLOOKUP(A1132, Sheet1!A:A, Sheet1!G:G)</f>
        <v>-1</v>
      </c>
      <c r="F1132" s="10">
        <f t="shared" si="17"/>
        <v>-1</v>
      </c>
      <c r="G1132" cm="1">
        <f t="array" ref="G1132:J1132">_xlfn.XLOOKUP(A1132, Sheet1!A:A, Sheet1!C:F)</f>
        <v>17.262</v>
      </c>
      <c r="H1132">
        <v>28.93</v>
      </c>
      <c r="I1132">
        <v>13.680999999999999</v>
      </c>
      <c r="J1132">
        <v>18.024000000000001</v>
      </c>
    </row>
    <row r="1133" spans="1:10" x14ac:dyDescent="0.3">
      <c r="A1133" t="str" cm="1">
        <f t="array" ref="A1133">IF(ROW()&lt;=COUNTA(Sheet1!A:A), INDEX(Sheet1!A:A, ROW()),
INDEX(Sheet4!A:A, ROW()-COUNTA(Sheet1!A:A)))</f>
        <v>Al22.4Cr29.5Fe11.6Co17.8Ni18.7</v>
      </c>
      <c r="B1133" s="10">
        <f>_xlfn.XLOOKUP(A1133, Sheet4!A:A, Sheet4!C:C)</f>
        <v>0</v>
      </c>
      <c r="C1133" s="10">
        <v>-1</v>
      </c>
      <c r="D1133" s="10">
        <f>_xlfn.XLOOKUP(A1133, Sheet2!A:A, Sheet2!B:B)</f>
        <v>6.8419999999999996</v>
      </c>
      <c r="E1133" s="10">
        <f>_xlfn.XLOOKUP(A1133, Sheet1!A:A, Sheet1!G:G)</f>
        <v>-1</v>
      </c>
      <c r="F1133" s="10">
        <f t="shared" si="17"/>
        <v>-1</v>
      </c>
      <c r="G1133" cm="1">
        <f t="array" ref="G1133:J1133">_xlfn.XLOOKUP(A1133, Sheet1!A:A, Sheet1!C:F)</f>
        <v>10.563000000000001</v>
      </c>
      <c r="H1133">
        <v>28.777000000000001</v>
      </c>
      <c r="I1133">
        <v>27.106000000000002</v>
      </c>
      <c r="J1133">
        <v>11.422000000000001</v>
      </c>
    </row>
    <row r="1134" spans="1:10" x14ac:dyDescent="0.3">
      <c r="A1134" t="str" cm="1">
        <f t="array" ref="A1134">IF(ROW()&lt;=COUNTA(Sheet1!A:A), INDEX(Sheet1!A:A, ROW()),
INDEX(Sheet4!A:A, ROW()-COUNTA(Sheet1!A:A)))</f>
        <v>Al22.4Cr29.8Fe10Co18.4Ni19.4</v>
      </c>
      <c r="B1134" s="10">
        <f>_xlfn.XLOOKUP(A1134, Sheet4!A:A, Sheet4!C:C)</f>
        <v>0</v>
      </c>
      <c r="C1134" s="10">
        <v>-1</v>
      </c>
      <c r="D1134" s="10">
        <f>_xlfn.XLOOKUP(A1134, Sheet2!A:A, Sheet2!B:B)</f>
        <v>6.8559999999999999</v>
      </c>
      <c r="E1134" s="10">
        <f>_xlfn.XLOOKUP(A1134, Sheet1!A:A, Sheet1!G:G)</f>
        <v>-1</v>
      </c>
      <c r="F1134" s="10">
        <f t="shared" si="17"/>
        <v>-1</v>
      </c>
      <c r="G1134" cm="1">
        <f t="array" ref="G1134:J1134">_xlfn.XLOOKUP(A1134, Sheet1!A:A, Sheet1!C:F)</f>
        <v>17.899999999999999</v>
      </c>
      <c r="H1134">
        <v>15.8</v>
      </c>
      <c r="I1134">
        <v>21.1</v>
      </c>
      <c r="J1134">
        <v>23</v>
      </c>
    </row>
    <row r="1135" spans="1:10" x14ac:dyDescent="0.3">
      <c r="A1135" t="str" cm="1">
        <f t="array" ref="A1135">IF(ROW()&lt;=COUNTA(Sheet1!A:A), INDEX(Sheet1!A:A, ROW()),
INDEX(Sheet4!A:A, ROW()-COUNTA(Sheet1!A:A)))</f>
        <v>Al22.411Cr29.802Fe10.038Co18.398Ni19.351</v>
      </c>
      <c r="B1135" s="10">
        <f>_xlfn.XLOOKUP(A1135, Sheet4!A:A, Sheet4!C:C)</f>
        <v>0</v>
      </c>
      <c r="C1135" s="10">
        <v>-1</v>
      </c>
      <c r="D1135" s="10">
        <f>_xlfn.XLOOKUP(A1135, Sheet2!A:A, Sheet2!B:B)</f>
        <v>6.8544</v>
      </c>
      <c r="E1135" s="10">
        <f>_xlfn.XLOOKUP(A1135, Sheet1!A:A, Sheet1!G:G)</f>
        <v>-1</v>
      </c>
      <c r="F1135" s="10">
        <f t="shared" si="17"/>
        <v>-1</v>
      </c>
      <c r="G1135" cm="1">
        <f t="array" ref="G1135:J1135">_xlfn.XLOOKUP(A1135, Sheet1!A:A, Sheet1!C:F)</f>
        <v>22.222222219999999</v>
      </c>
      <c r="H1135">
        <v>11.11111111</v>
      </c>
      <c r="I1135">
        <v>22.222222219999999</v>
      </c>
      <c r="J1135">
        <v>22.222222219999999</v>
      </c>
    </row>
    <row r="1136" spans="1:10" x14ac:dyDescent="0.3">
      <c r="A1136" t="str" cm="1">
        <f t="array" ref="A1136">IF(ROW()&lt;=COUNTA(Sheet1!A:A), INDEX(Sheet1!A:A, ROW()),
INDEX(Sheet4!A:A, ROW()-COUNTA(Sheet1!A:A)))</f>
        <v>Al22.418Cr28.982Fe21.178Co13.115Ni14.307</v>
      </c>
      <c r="B1136" s="10">
        <f>_xlfn.XLOOKUP(A1136, Sheet4!A:A, Sheet4!C:C)</f>
        <v>0</v>
      </c>
      <c r="C1136" s="10">
        <v>-1</v>
      </c>
      <c r="D1136" s="10">
        <f>_xlfn.XLOOKUP(A1136, Sheet2!A:A, Sheet2!B:B)</f>
        <v>6.7167000000000003</v>
      </c>
      <c r="E1136" s="10">
        <f>_xlfn.XLOOKUP(A1136, Sheet1!A:A, Sheet1!G:G)</f>
        <v>-1</v>
      </c>
      <c r="F1136" s="10">
        <f t="shared" si="17"/>
        <v>-1</v>
      </c>
      <c r="G1136" cm="1">
        <f t="array" ref="G1136:J1136">_xlfn.XLOOKUP(A1136, Sheet1!A:A, Sheet1!C:F)</f>
        <v>22.222222219999999</v>
      </c>
      <c r="H1136">
        <v>22.222222219999999</v>
      </c>
      <c r="I1136">
        <v>22.222222219999999</v>
      </c>
      <c r="J1136">
        <v>11.11111111</v>
      </c>
    </row>
    <row r="1137" spans="1:10" x14ac:dyDescent="0.3">
      <c r="A1137" t="str" cm="1">
        <f t="array" ref="A1137">IF(ROW()&lt;=COUNTA(Sheet1!A:A), INDEX(Sheet1!A:A, ROW()),
INDEX(Sheet4!A:A, ROW()-COUNTA(Sheet1!A:A)))</f>
        <v>AlCoCrFeNi0.45</v>
      </c>
      <c r="B1137" s="10">
        <f>_xlfn.XLOOKUP(A1137, Sheet4!A:A, Sheet4!C:C)</f>
        <v>0</v>
      </c>
      <c r="C1137" s="10">
        <v>-1</v>
      </c>
      <c r="D1137" s="10">
        <f>_xlfn.XLOOKUP(A1137, Sheet2!A:A, Sheet2!B:B)</f>
        <v>6.8539000000000003</v>
      </c>
      <c r="E1137" s="10">
        <f>_xlfn.XLOOKUP(A1137, Sheet1!A:A, Sheet1!G:G)</f>
        <v>-1</v>
      </c>
      <c r="F1137" s="10">
        <f t="shared" si="17"/>
        <v>-1</v>
      </c>
      <c r="G1137" cm="1">
        <f t="array" ref="G1137:J1137">_xlfn.XLOOKUP(A1137, Sheet1!A:A, Sheet1!C:F)</f>
        <v>17.861000000000001</v>
      </c>
      <c r="H1137">
        <v>15.805999999999999</v>
      </c>
      <c r="I1137">
        <v>21.132000000000001</v>
      </c>
      <c r="J1137">
        <v>22.977</v>
      </c>
    </row>
    <row r="1138" spans="1:10" x14ac:dyDescent="0.3">
      <c r="A1138" t="str" cm="1">
        <f t="array" ref="A1138">IF(ROW()&lt;=COUNTA(Sheet1!A:A), INDEX(Sheet1!A:A, ROW()),
INDEX(Sheet4!A:A, ROW()-COUNTA(Sheet1!A:A)))</f>
        <v>Al1.17CoCrFeNi</v>
      </c>
      <c r="B1138" s="10" t="str">
        <f>_xlfn.XLOOKUP(A1138, Sheet4!A:A, Sheet4!C:C)</f>
        <v>BCC</v>
      </c>
      <c r="C1138" s="10">
        <v>0</v>
      </c>
      <c r="D1138" s="10">
        <f>_xlfn.XLOOKUP(A1138, Sheet2!A:A, Sheet2!B:B)</f>
        <v>7.0618999999999996</v>
      </c>
      <c r="E1138" s="10">
        <f>_xlfn.XLOOKUP(A1138, Sheet1!A:A, Sheet1!G:G)</f>
        <v>-1</v>
      </c>
      <c r="F1138" s="10">
        <f t="shared" si="17"/>
        <v>0</v>
      </c>
      <c r="G1138" cm="1">
        <f t="array" ref="G1138:J1138">_xlfn.XLOOKUP(A1138, Sheet1!A:A, Sheet1!C:F)</f>
        <v>16.5</v>
      </c>
      <c r="H1138">
        <v>17.399999999999999</v>
      </c>
      <c r="I1138">
        <v>23.1</v>
      </c>
      <c r="J1138">
        <v>20.8</v>
      </c>
    </row>
    <row r="1139" spans="1:10" x14ac:dyDescent="0.3">
      <c r="A1139" t="str" cm="1">
        <f t="array" ref="A1139">IF(ROW()&lt;=COUNTA(Sheet1!A:A), INDEX(Sheet1!A:A, ROW()),
INDEX(Sheet4!A:A, ROW()-COUNTA(Sheet1!A:A)))</f>
        <v>Al22.699Cr14.274Fe18.748Co19.392Ni24.887</v>
      </c>
      <c r="B1139" s="10">
        <f>_xlfn.XLOOKUP(A1139, Sheet4!A:A, Sheet4!C:C)</f>
        <v>0</v>
      </c>
      <c r="C1139" s="10">
        <v>-1</v>
      </c>
      <c r="D1139" s="10">
        <f>_xlfn.XLOOKUP(A1139, Sheet2!A:A, Sheet2!B:B)</f>
        <v>7.2712000000000003</v>
      </c>
      <c r="E1139" s="10">
        <f>_xlfn.XLOOKUP(A1139, Sheet1!A:A, Sheet1!G:G)</f>
        <v>-1</v>
      </c>
      <c r="F1139" s="10">
        <f t="shared" si="17"/>
        <v>-1</v>
      </c>
      <c r="G1139" cm="1">
        <f t="array" ref="G1139:J1139">_xlfn.XLOOKUP(A1139, Sheet1!A:A, Sheet1!C:F)</f>
        <v>16.484999999999999</v>
      </c>
      <c r="H1139">
        <v>17.373000000000001</v>
      </c>
      <c r="I1139">
        <v>23.091999999999999</v>
      </c>
      <c r="J1139">
        <v>20.765999999999998</v>
      </c>
    </row>
    <row r="1140" spans="1:10" x14ac:dyDescent="0.3">
      <c r="A1140" t="str" cm="1">
        <f t="array" ref="A1140">IF(ROW()&lt;=COUNTA(Sheet1!A:A), INDEX(Sheet1!A:A, ROW()),
INDEX(Sheet4!A:A, ROW()-COUNTA(Sheet1!A:A)))</f>
        <v>Al22.7Cr14.3Fe18.7Co19.4Ni24.9</v>
      </c>
      <c r="B1140" s="10">
        <f>_xlfn.XLOOKUP(A1140, Sheet4!A:A, Sheet4!C:C)</f>
        <v>0</v>
      </c>
      <c r="C1140" s="10">
        <v>-1</v>
      </c>
      <c r="D1140" s="10">
        <f>_xlfn.XLOOKUP(A1140, Sheet2!A:A, Sheet2!B:B)</f>
        <v>7.2709999999999999</v>
      </c>
      <c r="E1140" s="10">
        <f>_xlfn.XLOOKUP(A1140, Sheet1!A:A, Sheet1!G:G)</f>
        <v>-1</v>
      </c>
      <c r="F1140" s="10">
        <f t="shared" si="17"/>
        <v>-1</v>
      </c>
      <c r="G1140" cm="1">
        <f t="array" ref="G1140:J1140">_xlfn.XLOOKUP(A1140, Sheet1!A:A, Sheet1!C:F)</f>
        <v>17.776</v>
      </c>
      <c r="H1140">
        <v>29.495000000000001</v>
      </c>
      <c r="I1140">
        <v>11.632</v>
      </c>
      <c r="J1140">
        <v>18.721</v>
      </c>
    </row>
    <row r="1141" spans="1:10" x14ac:dyDescent="0.3">
      <c r="A1141" t="str" cm="1">
        <f t="array" ref="A1141">IF(ROW()&lt;=COUNTA(Sheet1!A:A), INDEX(Sheet1!A:A, ROW()),
INDEX(Sheet4!A:A, ROW()-COUNTA(Sheet1!A:A)))</f>
        <v>Al22.9Cr21.6Fe28.9Co11.7Ni14.9</v>
      </c>
      <c r="B1141" s="10">
        <f>_xlfn.XLOOKUP(A1141, Sheet4!A:A, Sheet4!C:C)</f>
        <v>0</v>
      </c>
      <c r="C1141" s="10">
        <v>-1</v>
      </c>
      <c r="D1141" s="10">
        <f>_xlfn.XLOOKUP(A1141, Sheet2!A:A, Sheet2!B:B)</f>
        <v>6.8380000000000001</v>
      </c>
      <c r="E1141" s="10">
        <f>_xlfn.XLOOKUP(A1141, Sheet1!A:A, Sheet1!G:G)</f>
        <v>-1</v>
      </c>
      <c r="F1141" s="10">
        <f t="shared" si="17"/>
        <v>-1</v>
      </c>
      <c r="G1141" cm="1">
        <f t="array" ref="G1141:J1141">_xlfn.XLOOKUP(A1141, Sheet1!A:A, Sheet1!C:F)</f>
        <v>13.1</v>
      </c>
      <c r="H1141">
        <v>29</v>
      </c>
      <c r="I1141">
        <v>21.2</v>
      </c>
      <c r="J1141">
        <v>14.3</v>
      </c>
    </row>
    <row r="1142" spans="1:10" x14ac:dyDescent="0.3">
      <c r="A1142" t="str" cm="1">
        <f t="array" ref="A1142">IF(ROW()&lt;=COUNTA(Sheet1!A:A), INDEX(Sheet1!A:A, ROW()),
INDEX(Sheet4!A:A, ROW()-COUNTA(Sheet1!A:A)))</f>
        <v>Al22.945Cr21.572Fe28.887Co11.687Ni14.908</v>
      </c>
      <c r="B1142" s="10">
        <f>_xlfn.XLOOKUP(A1142, Sheet4!A:A, Sheet4!C:C)</f>
        <v>0</v>
      </c>
      <c r="C1142" s="10">
        <v>-1</v>
      </c>
      <c r="D1142" s="10">
        <f>_xlfn.XLOOKUP(A1142, Sheet2!A:A, Sheet2!B:B)</f>
        <v>6.8362999999999996</v>
      </c>
      <c r="E1142" s="10">
        <f>_xlfn.XLOOKUP(A1142, Sheet1!A:A, Sheet1!G:G)</f>
        <v>-1</v>
      </c>
      <c r="F1142" s="10">
        <f t="shared" si="17"/>
        <v>-1</v>
      </c>
      <c r="G1142" cm="1">
        <f t="array" ref="G1142:J1142">_xlfn.XLOOKUP(A1142, Sheet1!A:A, Sheet1!C:F)</f>
        <v>17.8</v>
      </c>
      <c r="H1142">
        <v>29.5</v>
      </c>
      <c r="I1142">
        <v>11.6</v>
      </c>
      <c r="J1142">
        <v>18.7</v>
      </c>
    </row>
    <row r="1143" spans="1:10" x14ac:dyDescent="0.3">
      <c r="A1143" t="str" cm="1">
        <f t="array" ref="A1143">IF(ROW()&lt;=COUNTA(Sheet1!A:A), INDEX(Sheet1!A:A, ROW()),
INDEX(Sheet4!A:A, ROW()-COUNTA(Sheet1!A:A)))</f>
        <v>Al22.964Cr27.499Fe37.191Co5.3003Ni7.0456</v>
      </c>
      <c r="B1143" s="10">
        <f>_xlfn.XLOOKUP(A1143, Sheet4!A:A, Sheet4!C:C)</f>
        <v>0</v>
      </c>
      <c r="C1143" s="10">
        <v>-1</v>
      </c>
      <c r="D1143" s="10">
        <f>_xlfn.XLOOKUP(A1143, Sheet2!A:A, Sheet2!B:B)</f>
        <v>6.4957000000000003</v>
      </c>
      <c r="E1143" s="10">
        <f>_xlfn.XLOOKUP(A1143, Sheet1!A:A, Sheet1!G:G)</f>
        <v>-1</v>
      </c>
      <c r="F1143" s="10">
        <f t="shared" si="17"/>
        <v>-1</v>
      </c>
      <c r="G1143" cm="1">
        <f t="array" ref="G1143:J1143">_xlfn.XLOOKUP(A1143, Sheet1!A:A, Sheet1!C:F)</f>
        <v>18.399999999999999</v>
      </c>
      <c r="H1143">
        <v>29.8</v>
      </c>
      <c r="I1143">
        <v>10</v>
      </c>
      <c r="J1143">
        <v>19.399999999999999</v>
      </c>
    </row>
    <row r="1144" spans="1:10" x14ac:dyDescent="0.3">
      <c r="A1144" t="str" cm="1">
        <f t="array" ref="A1144">IF(ROW()&lt;=COUNTA(Sheet1!A:A), INDEX(Sheet1!A:A, ROW()),
INDEX(Sheet4!A:A, ROW()-COUNTA(Sheet1!A:A)))</f>
        <v>Al23Cr27.5Fe37.2Co5.3Ni7</v>
      </c>
      <c r="B1144" s="10">
        <f>_xlfn.XLOOKUP(A1144, Sheet4!A:A, Sheet4!C:C)</f>
        <v>0</v>
      </c>
      <c r="C1144" s="10">
        <v>-1</v>
      </c>
      <c r="D1144" s="10">
        <f>_xlfn.XLOOKUP(A1144, Sheet2!A:A, Sheet2!B:B)</f>
        <v>6.4930000000000003</v>
      </c>
      <c r="E1144" s="10">
        <f>_xlfn.XLOOKUP(A1144, Sheet1!A:A, Sheet1!G:G)</f>
        <v>-1</v>
      </c>
      <c r="F1144" s="10">
        <f t="shared" si="17"/>
        <v>-1</v>
      </c>
      <c r="G1144" cm="1">
        <f t="array" ref="G1144:J1144">_xlfn.XLOOKUP(A1144, Sheet1!A:A, Sheet1!C:F)</f>
        <v>18.398</v>
      </c>
      <c r="H1144">
        <v>29.802</v>
      </c>
      <c r="I1144">
        <v>10.038</v>
      </c>
      <c r="J1144">
        <v>19.350999999999999</v>
      </c>
    </row>
    <row r="1145" spans="1:10" x14ac:dyDescent="0.3">
      <c r="A1145" t="str" cm="1">
        <f t="array" ref="A1145">IF(ROW()&lt;=COUNTA(Sheet1!A:A), INDEX(Sheet1!A:A, ROW()),
INDEX(Sheet4!A:A, ROW()-COUNTA(Sheet1!A:A)))</f>
        <v>Al1.2CoCrFeNi</v>
      </c>
      <c r="B1145" s="10" t="str">
        <f>_xlfn.XLOOKUP(A1145, Sheet4!A:A, Sheet4!C:C)</f>
        <v>BCC</v>
      </c>
      <c r="C1145" s="10">
        <v>0</v>
      </c>
      <c r="D1145" s="10">
        <f>_xlfn.XLOOKUP(A1145, Sheet2!A:A, Sheet2!B:B)</f>
        <v>7.0385</v>
      </c>
      <c r="E1145" s="10">
        <f>_xlfn.XLOOKUP(A1145, Sheet1!A:A, Sheet1!G:G)</f>
        <v>-1</v>
      </c>
      <c r="F1145" s="10">
        <f t="shared" si="17"/>
        <v>0</v>
      </c>
      <c r="G1145" cm="1">
        <f t="array" ref="G1145:J1145">_xlfn.XLOOKUP(A1145, Sheet1!A:A, Sheet1!C:F)</f>
        <v>13.115</v>
      </c>
      <c r="H1145">
        <v>28.981999999999999</v>
      </c>
      <c r="I1145">
        <v>21.178000000000001</v>
      </c>
      <c r="J1145">
        <v>14.307</v>
      </c>
    </row>
    <row r="1146" spans="1:10" x14ac:dyDescent="0.3">
      <c r="A1146" t="str" cm="1">
        <f t="array" ref="A1146">IF(ROW()&lt;=COUNTA(Sheet1!A:A), INDEX(Sheet1!A:A, ROW()),
INDEX(Sheet4!A:A, ROW()-COUNTA(Sheet1!A:A)))</f>
        <v>Al23.09Cr29.988Fe8.4699Co18.846Ni19.606</v>
      </c>
      <c r="B1146" s="10">
        <f>_xlfn.XLOOKUP(A1146, Sheet4!A:A, Sheet4!C:C)</f>
        <v>0</v>
      </c>
      <c r="C1146" s="10">
        <v>-1</v>
      </c>
      <c r="D1146" s="10">
        <f>_xlfn.XLOOKUP(A1146, Sheet2!A:A, Sheet2!B:B)</f>
        <v>6.8262999999999998</v>
      </c>
      <c r="E1146" s="10">
        <f>_xlfn.XLOOKUP(A1146, Sheet1!A:A, Sheet1!G:G)</f>
        <v>-1</v>
      </c>
      <c r="F1146" s="10">
        <f t="shared" si="17"/>
        <v>-1</v>
      </c>
      <c r="G1146" cm="1">
        <f t="array" ref="G1146:J1146">_xlfn.XLOOKUP(A1146, Sheet1!A:A, Sheet1!C:F)</f>
        <v>22.47191011</v>
      </c>
      <c r="H1146">
        <v>22.47191011</v>
      </c>
      <c r="I1146">
        <v>22.47191011</v>
      </c>
      <c r="J1146">
        <v>10.112359550000001</v>
      </c>
    </row>
    <row r="1147" spans="1:10" x14ac:dyDescent="0.3">
      <c r="A1147" t="str" cm="1">
        <f t="array" ref="A1147">IF(ROW()&lt;=COUNTA(Sheet1!A:A), INDEX(Sheet1!A:A, ROW()),
INDEX(Sheet4!A:A, ROW()-COUNTA(Sheet1!A:A)))</f>
        <v>Al23.095Cr30.354Fe23.435Co11.371Ni11.746</v>
      </c>
      <c r="B1147" s="10">
        <f>_xlfn.XLOOKUP(A1147, Sheet4!A:A, Sheet4!C:C)</f>
        <v>0</v>
      </c>
      <c r="C1147" s="10">
        <v>-1</v>
      </c>
      <c r="D1147" s="10">
        <f>_xlfn.XLOOKUP(A1147, Sheet2!A:A, Sheet2!B:B)</f>
        <v>6.5868000000000002</v>
      </c>
      <c r="E1147" s="10">
        <f>_xlfn.XLOOKUP(A1147, Sheet1!A:A, Sheet1!G:G)</f>
        <v>-1</v>
      </c>
      <c r="F1147" s="10">
        <f t="shared" si="17"/>
        <v>-1</v>
      </c>
      <c r="G1147" cm="1">
        <f t="array" ref="G1147:J1147">_xlfn.XLOOKUP(A1147, Sheet1!A:A, Sheet1!C:F)</f>
        <v>19.342359770000002</v>
      </c>
      <c r="H1147">
        <v>19.342359770000002</v>
      </c>
      <c r="I1147">
        <v>19.342359770000002</v>
      </c>
      <c r="J1147">
        <v>19.342359770000002</v>
      </c>
    </row>
    <row r="1148" spans="1:10" x14ac:dyDescent="0.3">
      <c r="A1148" t="str" cm="1">
        <f t="array" ref="A1148">IF(ROW()&lt;=COUNTA(Sheet1!A:A), INDEX(Sheet1!A:A, ROW()),
INDEX(Sheet4!A:A, ROW()-COUNTA(Sheet1!A:A)))</f>
        <v>Al23.1Cr30.4Fe23.4Co11.4Ni11.7</v>
      </c>
      <c r="B1148" s="10">
        <f>_xlfn.XLOOKUP(A1148, Sheet4!A:A, Sheet4!C:C)</f>
        <v>0</v>
      </c>
      <c r="C1148" s="10">
        <v>-1</v>
      </c>
      <c r="D1148" s="10">
        <f>_xlfn.XLOOKUP(A1148, Sheet2!A:A, Sheet2!B:B)</f>
        <v>6.585</v>
      </c>
      <c r="E1148" s="10">
        <f>_xlfn.XLOOKUP(A1148, Sheet1!A:A, Sheet1!G:G)</f>
        <v>-1</v>
      </c>
      <c r="F1148" s="10">
        <f t="shared" si="17"/>
        <v>-1</v>
      </c>
      <c r="G1148" cm="1">
        <f t="array" ref="G1148:J1148">_xlfn.XLOOKUP(A1148, Sheet1!A:A, Sheet1!C:F)</f>
        <v>19.391999999999999</v>
      </c>
      <c r="H1148">
        <v>14.273999999999999</v>
      </c>
      <c r="I1148">
        <v>18.748000000000001</v>
      </c>
      <c r="J1148">
        <v>24.887</v>
      </c>
    </row>
    <row r="1149" spans="1:10" x14ac:dyDescent="0.3">
      <c r="A1149" t="str" cm="1">
        <f t="array" ref="A1149">IF(ROW()&lt;=COUNTA(Sheet1!A:A), INDEX(Sheet1!A:A, ROW()),
INDEX(Sheet4!A:A, ROW()-COUNTA(Sheet1!A:A)))</f>
        <v>Al23.1Cr30Fe8.5Co18.8Ni19.6</v>
      </c>
      <c r="B1149" s="10">
        <f>_xlfn.XLOOKUP(A1149, Sheet4!A:A, Sheet4!C:C)</f>
        <v>0</v>
      </c>
      <c r="C1149" s="10">
        <v>-1</v>
      </c>
      <c r="D1149" s="10">
        <f>_xlfn.XLOOKUP(A1149, Sheet2!A:A, Sheet2!B:B)</f>
        <v>6.8250000000000002</v>
      </c>
      <c r="E1149" s="10">
        <f>_xlfn.XLOOKUP(A1149, Sheet1!A:A, Sheet1!G:G)</f>
        <v>-1</v>
      </c>
      <c r="F1149" s="10">
        <f t="shared" si="17"/>
        <v>-1</v>
      </c>
      <c r="G1149" cm="1">
        <f t="array" ref="G1149:J1149">_xlfn.XLOOKUP(A1149, Sheet1!A:A, Sheet1!C:F)</f>
        <v>19.399999999999999</v>
      </c>
      <c r="H1149">
        <v>14.3</v>
      </c>
      <c r="I1149">
        <v>18.7</v>
      </c>
      <c r="J1149">
        <v>24.9</v>
      </c>
    </row>
    <row r="1150" spans="1:10" x14ac:dyDescent="0.3">
      <c r="A1150" t="str" cm="1">
        <f t="array" ref="A1150">IF(ROW()&lt;=COUNTA(Sheet1!A:A), INDEX(Sheet1!A:A, ROW()),
INDEX(Sheet4!A:A, ROW()-COUNTA(Sheet1!A:A)))</f>
        <v>Al23.1Cr30.1Fe7.5Co19.3Ni19.9</v>
      </c>
      <c r="B1150" s="10">
        <f>_xlfn.XLOOKUP(A1150, Sheet4!A:A, Sheet4!C:C)</f>
        <v>0</v>
      </c>
      <c r="C1150" s="10">
        <v>-1</v>
      </c>
      <c r="D1150" s="10">
        <f>_xlfn.XLOOKUP(A1150, Sheet2!A:A, Sheet2!B:B)</f>
        <v>6.8327999999999998</v>
      </c>
      <c r="E1150" s="10">
        <f>_xlfn.XLOOKUP(A1150, Sheet1!A:A, Sheet1!G:G)</f>
        <v>-1</v>
      </c>
      <c r="F1150" s="10">
        <f t="shared" si="17"/>
        <v>-1</v>
      </c>
      <c r="G1150" cm="1">
        <f t="array" ref="G1150:J1150">_xlfn.XLOOKUP(A1150, Sheet1!A:A, Sheet1!C:F)</f>
        <v>11.7</v>
      </c>
      <c r="H1150">
        <v>21.6</v>
      </c>
      <c r="I1150">
        <v>28.9</v>
      </c>
      <c r="J1150">
        <v>14.9</v>
      </c>
    </row>
    <row r="1151" spans="1:10" x14ac:dyDescent="0.3">
      <c r="A1151" t="str" cm="1">
        <f t="array" ref="A1151">IF(ROW()&lt;=COUNTA(Sheet1!A:A), INDEX(Sheet1!A:A, ROW()),
INDEX(Sheet4!A:A, ROW()-COUNTA(Sheet1!A:A)))</f>
        <v>Al23.131Cr30.102Fe7.5073Co19.33Ni19.929</v>
      </c>
      <c r="B1151" s="10">
        <f>_xlfn.XLOOKUP(A1151, Sheet4!A:A, Sheet4!C:C)</f>
        <v>0</v>
      </c>
      <c r="C1151" s="10">
        <v>-1</v>
      </c>
      <c r="D1151" s="10">
        <f>_xlfn.XLOOKUP(A1151, Sheet2!A:A, Sheet2!B:B)</f>
        <v>6.8333000000000004</v>
      </c>
      <c r="E1151" s="10">
        <f>_xlfn.XLOOKUP(A1151, Sheet1!A:A, Sheet1!G:G)</f>
        <v>-1</v>
      </c>
      <c r="F1151" s="10">
        <f t="shared" si="17"/>
        <v>-1</v>
      </c>
      <c r="G1151" cm="1">
        <f t="array" ref="G1151:J1151">_xlfn.XLOOKUP(A1151, Sheet1!A:A, Sheet1!C:F)</f>
        <v>11.686999999999999</v>
      </c>
      <c r="H1151">
        <v>21.571999999999999</v>
      </c>
      <c r="I1151">
        <v>28.887</v>
      </c>
      <c r="J1151">
        <v>14.907999999999999</v>
      </c>
    </row>
    <row r="1152" spans="1:10" x14ac:dyDescent="0.3">
      <c r="A1152" t="str" cm="1">
        <f t="array" ref="A1152">IF(ROW()&lt;=COUNTA(Sheet1!A:A), INDEX(Sheet1!A:A, ROW()),
INDEX(Sheet4!A:A, ROW()-COUNTA(Sheet1!A:A)))</f>
        <v>Al23.2Co19.2Cr19.2Fe19.2Ni19.2</v>
      </c>
      <c r="B1152" s="10" t="str">
        <f>_xlfn.XLOOKUP(A1152, Sheet4!A:A, Sheet4!C:C)</f>
        <v>BCC</v>
      </c>
      <c r="C1152" s="10">
        <v>0</v>
      </c>
      <c r="D1152" s="10">
        <f>_xlfn.XLOOKUP(A1152, Sheet2!A:A, Sheet2!B:B)</f>
        <v>7.032</v>
      </c>
      <c r="E1152" s="10">
        <f>_xlfn.XLOOKUP(A1152, Sheet1!A:A, Sheet1!G:G)</f>
        <v>-1</v>
      </c>
      <c r="F1152" s="10">
        <f t="shared" si="17"/>
        <v>0</v>
      </c>
      <c r="G1152" cm="1">
        <f t="array" ref="G1152:J1152">_xlfn.XLOOKUP(A1152, Sheet1!A:A, Sheet1!C:F)</f>
        <v>5.3003</v>
      </c>
      <c r="H1152">
        <v>27.498999999999999</v>
      </c>
      <c r="I1152">
        <v>37.191000000000003</v>
      </c>
      <c r="J1152">
        <v>7.0456000000000003</v>
      </c>
    </row>
    <row r="1153" spans="1:10" x14ac:dyDescent="0.3">
      <c r="A1153" t="str" cm="1">
        <f t="array" ref="A1153">IF(ROW()&lt;=COUNTA(Sheet1!A:A), INDEX(Sheet1!A:A, ROW()),
INDEX(Sheet4!A:A, ROW()-COUNTA(Sheet1!A:A)))</f>
        <v>NiCoFeCrAl1.21</v>
      </c>
      <c r="B1153" s="10" t="str">
        <f>_xlfn.XLOOKUP(A1153, Sheet4!A:A, Sheet4!C:C)</f>
        <v>FCC+BCC</v>
      </c>
      <c r="C1153" s="10">
        <v>-1</v>
      </c>
      <c r="D1153" s="10">
        <f>_xlfn.XLOOKUP(A1153, Sheet2!A:A, Sheet2!B:B)</f>
        <v>7.0307000000000004</v>
      </c>
      <c r="E1153" s="10">
        <f>_xlfn.XLOOKUP(A1153, Sheet1!A:A, Sheet1!G:G)</f>
        <v>-1</v>
      </c>
      <c r="F1153" s="10">
        <f t="shared" si="17"/>
        <v>-1</v>
      </c>
      <c r="G1153" cm="1">
        <f t="array" ref="G1153:J1153">_xlfn.XLOOKUP(A1153, Sheet1!A:A, Sheet1!C:F)</f>
        <v>5.3</v>
      </c>
      <c r="H1153">
        <v>27.5</v>
      </c>
      <c r="I1153">
        <v>37.200000000000003</v>
      </c>
      <c r="J1153">
        <v>7</v>
      </c>
    </row>
    <row r="1154" spans="1:10" x14ac:dyDescent="0.3">
      <c r="A1154" t="str" cm="1">
        <f t="array" ref="A1154">IF(ROW()&lt;=COUNTA(Sheet1!A:A), INDEX(Sheet1!A:A, ROW()),
INDEX(Sheet4!A:A, ROW()-COUNTA(Sheet1!A:A)))</f>
        <v>NiCoFeCrAl1.21</v>
      </c>
      <c r="B1154" s="10" t="str">
        <f>_xlfn.XLOOKUP(A1154, Sheet4!A:A, Sheet4!C:C)</f>
        <v>FCC+BCC</v>
      </c>
      <c r="C1154" s="10">
        <v>-1</v>
      </c>
      <c r="D1154" s="10">
        <f>_xlfn.XLOOKUP(A1154, Sheet2!A:A, Sheet2!B:B)</f>
        <v>7.0307000000000004</v>
      </c>
      <c r="E1154" s="10">
        <f>_xlfn.XLOOKUP(A1154, Sheet1!A:A, Sheet1!G:G)</f>
        <v>-1</v>
      </c>
      <c r="F1154" s="10">
        <f t="shared" si="17"/>
        <v>-1</v>
      </c>
      <c r="G1154" cm="1">
        <f t="array" ref="G1154:J1154">_xlfn.XLOOKUP(A1154, Sheet1!A:A, Sheet1!C:F)</f>
        <v>5.3</v>
      </c>
      <c r="H1154">
        <v>27.5</v>
      </c>
      <c r="I1154">
        <v>37.200000000000003</v>
      </c>
      <c r="J1154">
        <v>7</v>
      </c>
    </row>
    <row r="1155" spans="1:10" x14ac:dyDescent="0.3">
      <c r="A1155" t="str" cm="1">
        <f t="array" ref="A1155">IF(ROW()&lt;=COUNTA(Sheet1!A:A), INDEX(Sheet1!A:A, ROW()),
INDEX(Sheet4!A:A, ROW()-COUNTA(Sheet1!A:A)))</f>
        <v>Al23.251Cr30.118Fe6.4328Co19.783Ni20.415</v>
      </c>
      <c r="B1155" s="10">
        <f>_xlfn.XLOOKUP(A1155, Sheet4!A:A, Sheet4!C:C)</f>
        <v>0</v>
      </c>
      <c r="C1155" s="10">
        <v>-1</v>
      </c>
      <c r="D1155" s="10">
        <f>_xlfn.XLOOKUP(A1155, Sheet2!A:A, Sheet2!B:B)</f>
        <v>6.8411999999999997</v>
      </c>
      <c r="E1155" s="10">
        <f>_xlfn.XLOOKUP(A1155, Sheet1!A:A, Sheet1!G:G)</f>
        <v>-1</v>
      </c>
      <c r="F1155" s="10">
        <f t="shared" ref="F1155:F1218" si="18">IF(OR(C1155=1, E1155=1), 1,
   IF(OR(C1155=0, E1155=0), 0,
      -1))</f>
        <v>-1</v>
      </c>
      <c r="G1155" cm="1">
        <f t="array" ref="G1155:J1155">_xlfn.XLOOKUP(A1155, Sheet1!A:A, Sheet1!C:F)</f>
        <v>19.23076923</v>
      </c>
      <c r="H1155">
        <v>19.23076923</v>
      </c>
      <c r="I1155">
        <v>19.23076923</v>
      </c>
      <c r="J1155">
        <v>19.23076923</v>
      </c>
    </row>
    <row r="1156" spans="1:10" x14ac:dyDescent="0.3">
      <c r="A1156" t="str" cm="1">
        <f t="array" ref="A1156">IF(ROW()&lt;=COUNTA(Sheet1!A:A), INDEX(Sheet1!A:A, ROW()),
INDEX(Sheet4!A:A, ROW()-COUNTA(Sheet1!A:A)))</f>
        <v>Al23.253Cr30.138Fe18.137Co13.717Ni14.756</v>
      </c>
      <c r="B1156" s="10">
        <f>_xlfn.XLOOKUP(A1156, Sheet4!A:A, Sheet4!C:C)</f>
        <v>0</v>
      </c>
      <c r="C1156" s="10">
        <v>-1</v>
      </c>
      <c r="D1156" s="10">
        <f>_xlfn.XLOOKUP(A1156, Sheet2!A:A, Sheet2!B:B)</f>
        <v>6.6669</v>
      </c>
      <c r="E1156" s="10">
        <f>_xlfn.XLOOKUP(A1156, Sheet1!A:A, Sheet1!G:G)</f>
        <v>-1</v>
      </c>
      <c r="F1156" s="10">
        <f t="shared" si="18"/>
        <v>-1</v>
      </c>
      <c r="G1156" cm="1">
        <f t="array" ref="G1156:J1156">_xlfn.XLOOKUP(A1156, Sheet1!A:A, Sheet1!C:F)</f>
        <v>18.846</v>
      </c>
      <c r="H1156">
        <v>29.988</v>
      </c>
      <c r="I1156">
        <v>8.4699000000000009</v>
      </c>
      <c r="J1156">
        <v>19.606000000000002</v>
      </c>
    </row>
    <row r="1157" spans="1:10" x14ac:dyDescent="0.3">
      <c r="A1157" t="str" cm="1">
        <f t="array" ref="A1157">IF(ROW()&lt;=COUNTA(Sheet1!A:A), INDEX(Sheet1!A:A, ROW()),
INDEX(Sheet4!A:A, ROW()-COUNTA(Sheet1!A:A)))</f>
        <v>AlCoCr0.3FeNi</v>
      </c>
      <c r="B1157" s="10" t="str">
        <f>_xlfn.XLOOKUP(A1157, Sheet4!A:A, Sheet4!C:C)</f>
        <v>FCC+BCC</v>
      </c>
      <c r="C1157" s="10">
        <v>-1</v>
      </c>
      <c r="D1157" s="10">
        <f>_xlfn.XLOOKUP(A1157, Sheet2!A:A, Sheet2!B:B)</f>
        <v>7.3952999999999998</v>
      </c>
      <c r="E1157" s="10">
        <f>_xlfn.XLOOKUP(A1157, Sheet1!A:A, Sheet1!G:G)</f>
        <v>-1</v>
      </c>
      <c r="F1157" s="10">
        <f t="shared" si="18"/>
        <v>-1</v>
      </c>
      <c r="G1157" cm="1">
        <f t="array" ref="G1157:J1157">_xlfn.XLOOKUP(A1157, Sheet1!A:A, Sheet1!C:F)</f>
        <v>11.371</v>
      </c>
      <c r="H1157">
        <v>30.353999999999999</v>
      </c>
      <c r="I1157">
        <v>23.434999999999999</v>
      </c>
      <c r="J1157">
        <v>11.746</v>
      </c>
    </row>
    <row r="1158" spans="1:10" x14ac:dyDescent="0.3">
      <c r="A1158" t="str" cm="1">
        <f t="array" ref="A1158">IF(ROW()&lt;=COUNTA(Sheet1!A:A), INDEX(Sheet1!A:A, ROW()),
INDEX(Sheet4!A:A, ROW()-COUNTA(Sheet1!A:A)))</f>
        <v>Al23.3Cr26.1Fe35Co6.9Ni8.7</v>
      </c>
      <c r="B1158" s="10">
        <f>_xlfn.XLOOKUP(A1158, Sheet4!A:A, Sheet4!C:C)</f>
        <v>0</v>
      </c>
      <c r="C1158" s="10">
        <v>-1</v>
      </c>
      <c r="D1158" s="10">
        <f>_xlfn.XLOOKUP(A1158, Sheet2!A:A, Sheet2!B:B)</f>
        <v>6.556</v>
      </c>
      <c r="E1158" s="10">
        <f>_xlfn.XLOOKUP(A1158, Sheet1!A:A, Sheet1!G:G)</f>
        <v>-1</v>
      </c>
      <c r="F1158" s="10">
        <f t="shared" si="18"/>
        <v>-1</v>
      </c>
      <c r="G1158" cm="1">
        <f t="array" ref="G1158:J1158">_xlfn.XLOOKUP(A1158, Sheet1!A:A, Sheet1!C:F)</f>
        <v>11.4</v>
      </c>
      <c r="H1158">
        <v>30.4</v>
      </c>
      <c r="I1158">
        <v>23.4</v>
      </c>
      <c r="J1158">
        <v>11.7</v>
      </c>
    </row>
    <row r="1159" spans="1:10" x14ac:dyDescent="0.3">
      <c r="A1159" t="str" cm="1">
        <f t="array" ref="A1159">IF(ROW()&lt;=COUNTA(Sheet1!A:A), INDEX(Sheet1!A:A, ROW()),
INDEX(Sheet4!A:A, ROW()-COUNTA(Sheet1!A:A)))</f>
        <v>Al23.3Cr30.1Fe18.1Co13.7Ni14.8</v>
      </c>
      <c r="B1159" s="10">
        <f>_xlfn.XLOOKUP(A1159, Sheet4!A:A, Sheet4!C:C)</f>
        <v>0</v>
      </c>
      <c r="C1159" s="10">
        <v>-1</v>
      </c>
      <c r="D1159" s="10">
        <f>_xlfn.XLOOKUP(A1159, Sheet2!A:A, Sheet2!B:B)</f>
        <v>6.6660000000000004</v>
      </c>
      <c r="E1159" s="10">
        <f>_xlfn.XLOOKUP(A1159, Sheet1!A:A, Sheet1!G:G)</f>
        <v>-1</v>
      </c>
      <c r="F1159" s="10">
        <f t="shared" si="18"/>
        <v>-1</v>
      </c>
      <c r="G1159" cm="1">
        <f t="array" ref="G1159:J1159">_xlfn.XLOOKUP(A1159, Sheet1!A:A, Sheet1!C:F)</f>
        <v>18.8</v>
      </c>
      <c r="H1159">
        <v>30</v>
      </c>
      <c r="I1159">
        <v>8.5</v>
      </c>
      <c r="J1159">
        <v>19.600000000000001</v>
      </c>
    </row>
    <row r="1160" spans="1:10" x14ac:dyDescent="0.3">
      <c r="A1160" t="str" cm="1">
        <f t="array" ref="A1160">IF(ROW()&lt;=COUNTA(Sheet1!A:A), INDEX(Sheet1!A:A, ROW()),
INDEX(Sheet4!A:A, ROW()-COUNTA(Sheet1!A:A)))</f>
        <v>Al23.3Cr30.1Fe6.4Co19.8Ni20.4</v>
      </c>
      <c r="B1160" s="10">
        <f>_xlfn.XLOOKUP(A1160, Sheet4!A:A, Sheet4!C:C)</f>
        <v>0</v>
      </c>
      <c r="C1160" s="10">
        <v>-1</v>
      </c>
      <c r="D1160" s="10">
        <f>_xlfn.XLOOKUP(A1160, Sheet2!A:A, Sheet2!B:B)</f>
        <v>6.8390000000000004</v>
      </c>
      <c r="E1160" s="10">
        <f>_xlfn.XLOOKUP(A1160, Sheet1!A:A, Sheet1!G:G)</f>
        <v>-1</v>
      </c>
      <c r="F1160" s="10">
        <f t="shared" si="18"/>
        <v>-1</v>
      </c>
      <c r="G1160" cm="1">
        <f t="array" ref="G1160:J1160">_xlfn.XLOOKUP(A1160, Sheet1!A:A, Sheet1!C:F)</f>
        <v>19.3</v>
      </c>
      <c r="H1160">
        <v>30.1</v>
      </c>
      <c r="I1160">
        <v>7.5</v>
      </c>
      <c r="J1160">
        <v>19.899999999999999</v>
      </c>
    </row>
    <row r="1161" spans="1:10" x14ac:dyDescent="0.3">
      <c r="A1161" t="str" cm="1">
        <f t="array" ref="A1161">IF(ROW()&lt;=COUNTA(Sheet1!A:A), INDEX(Sheet1!A:A, ROW()),
INDEX(Sheet4!A:A, ROW()-COUNTA(Sheet1!A:A)))</f>
        <v>Al23.341Cr26.051Fe34.957Co6.9101Ni8.741</v>
      </c>
      <c r="B1161" s="10">
        <f>_xlfn.XLOOKUP(A1161, Sheet4!A:A, Sheet4!C:C)</f>
        <v>0</v>
      </c>
      <c r="C1161" s="10">
        <v>-1</v>
      </c>
      <c r="D1161" s="10">
        <f>_xlfn.XLOOKUP(A1161, Sheet2!A:A, Sheet2!B:B)</f>
        <v>6.5559000000000003</v>
      </c>
      <c r="E1161" s="10">
        <f>_xlfn.XLOOKUP(A1161, Sheet1!A:A, Sheet1!G:G)</f>
        <v>-1</v>
      </c>
      <c r="F1161" s="10">
        <f t="shared" si="18"/>
        <v>-1</v>
      </c>
      <c r="G1161" cm="1">
        <f t="array" ref="G1161:J1161">_xlfn.XLOOKUP(A1161, Sheet1!A:A, Sheet1!C:F)</f>
        <v>19.329999999999998</v>
      </c>
      <c r="H1161">
        <v>30.102</v>
      </c>
      <c r="I1161">
        <v>7.5072999999999999</v>
      </c>
      <c r="J1161">
        <v>19.928999999999998</v>
      </c>
    </row>
    <row r="1162" spans="1:10" x14ac:dyDescent="0.3">
      <c r="A1162" t="str" cm="1">
        <f t="array" ref="A1162">IF(ROW()&lt;=COUNTA(Sheet1!A:A), INDEX(Sheet1!A:A, ROW()),
INDEX(Sheet4!A:A, ROW()-COUNTA(Sheet1!A:A)))</f>
        <v>Al23.4Cr11.5Fe15.2Co22Ni27.9</v>
      </c>
      <c r="B1162" s="10">
        <f>_xlfn.XLOOKUP(A1162, Sheet4!A:A, Sheet4!C:C)</f>
        <v>0</v>
      </c>
      <c r="C1162" s="10">
        <v>-1</v>
      </c>
      <c r="D1162" s="10">
        <f>_xlfn.XLOOKUP(A1162, Sheet2!A:A, Sheet2!B:B)</f>
        <v>7.3780000000000001</v>
      </c>
      <c r="E1162" s="10">
        <f>_xlfn.XLOOKUP(A1162, Sheet1!A:A, Sheet1!G:G)</f>
        <v>-1</v>
      </c>
      <c r="F1162" s="10">
        <f t="shared" si="18"/>
        <v>-1</v>
      </c>
      <c r="G1162" cm="1">
        <f t="array" ref="G1162:J1162">_xlfn.XLOOKUP(A1162, Sheet1!A:A, Sheet1!C:F)</f>
        <v>19.2</v>
      </c>
      <c r="H1162">
        <v>19.2</v>
      </c>
      <c r="I1162">
        <v>19.2</v>
      </c>
      <c r="J1162">
        <v>19.2</v>
      </c>
    </row>
    <row r="1163" spans="1:10" x14ac:dyDescent="0.3">
      <c r="A1163" t="str" cm="1">
        <f t="array" ref="A1163">IF(ROW()&lt;=COUNTA(Sheet1!A:A), INDEX(Sheet1!A:A, ROW()),
INDEX(Sheet4!A:A, ROW()-COUNTA(Sheet1!A:A)))</f>
        <v>Al23.437Cr11.473Fe15.18Co22.037Ni27.873</v>
      </c>
      <c r="B1163" s="10">
        <f>_xlfn.XLOOKUP(A1163, Sheet4!A:A, Sheet4!C:C)</f>
        <v>0</v>
      </c>
      <c r="C1163" s="10">
        <v>-1</v>
      </c>
      <c r="D1163" s="10">
        <f>_xlfn.XLOOKUP(A1163, Sheet2!A:A, Sheet2!B:B)</f>
        <v>7.3765000000000001</v>
      </c>
      <c r="E1163" s="10">
        <f>_xlfn.XLOOKUP(A1163, Sheet1!A:A, Sheet1!G:G)</f>
        <v>-1</v>
      </c>
      <c r="F1163" s="10">
        <f t="shared" si="18"/>
        <v>-1</v>
      </c>
      <c r="G1163" cm="1">
        <f t="array" ref="G1163:J1163">_xlfn.XLOOKUP(A1163, Sheet1!A:A, Sheet1!C:F)</f>
        <v>19.19385797</v>
      </c>
      <c r="H1163">
        <v>19.19385797</v>
      </c>
      <c r="I1163">
        <v>19.19385797</v>
      </c>
      <c r="J1163">
        <v>19.19385797</v>
      </c>
    </row>
    <row r="1164" spans="1:10" x14ac:dyDescent="0.3">
      <c r="A1164" t="str" cm="1">
        <f t="array" ref="A1164">IF(ROW()&lt;=COUNTA(Sheet1!A:A), INDEX(Sheet1!A:A, ROW()),
INDEX(Sheet4!A:A, ROW()-COUNTA(Sheet1!A:A)))</f>
        <v>Al23.485Cr29.048Fe29.2Co8.7738Ni9.4937</v>
      </c>
      <c r="B1164" s="10">
        <f>_xlfn.XLOOKUP(A1164, Sheet4!A:A, Sheet4!C:C)</f>
        <v>0</v>
      </c>
      <c r="C1164" s="10">
        <v>-1</v>
      </c>
      <c r="D1164" s="10">
        <f>_xlfn.XLOOKUP(A1164, Sheet2!A:A, Sheet2!B:B)</f>
        <v>6.5224000000000002</v>
      </c>
      <c r="E1164" s="10">
        <f>_xlfn.XLOOKUP(A1164, Sheet1!A:A, Sheet1!G:G)</f>
        <v>-1</v>
      </c>
      <c r="F1164" s="10">
        <f t="shared" si="18"/>
        <v>-1</v>
      </c>
      <c r="G1164" cm="1">
        <f t="array" ref="G1164:J1164">_xlfn.XLOOKUP(A1164, Sheet1!A:A, Sheet1!C:F)</f>
        <v>19.783000000000001</v>
      </c>
      <c r="H1164">
        <v>30.117999999999999</v>
      </c>
      <c r="I1164">
        <v>6.4328000000000003</v>
      </c>
      <c r="J1164">
        <v>20.414999999999999</v>
      </c>
    </row>
    <row r="1165" spans="1:10" x14ac:dyDescent="0.3">
      <c r="A1165" t="str" cm="1">
        <f t="array" ref="A1165">IF(ROW()&lt;=COUNTA(Sheet1!A:A), INDEX(Sheet1!A:A, ROW()),
INDEX(Sheet4!A:A, ROW()-COUNTA(Sheet1!A:A)))</f>
        <v>Al23.5Cr29Fe29.2Co8.8Ni9.5</v>
      </c>
      <c r="B1165" s="10">
        <f>_xlfn.XLOOKUP(A1165, Sheet4!A:A, Sheet4!C:C)</f>
        <v>0</v>
      </c>
      <c r="C1165" s="10">
        <v>-1</v>
      </c>
      <c r="D1165" s="10">
        <f>_xlfn.XLOOKUP(A1165, Sheet2!A:A, Sheet2!B:B)</f>
        <v>6.5229999999999997</v>
      </c>
      <c r="E1165" s="10">
        <f>_xlfn.XLOOKUP(A1165, Sheet1!A:A, Sheet1!G:G)</f>
        <v>-1</v>
      </c>
      <c r="F1165" s="10">
        <f t="shared" si="18"/>
        <v>-1</v>
      </c>
      <c r="G1165" cm="1">
        <f t="array" ref="G1165:J1165">_xlfn.XLOOKUP(A1165, Sheet1!A:A, Sheet1!C:F)</f>
        <v>13.717000000000001</v>
      </c>
      <c r="H1165">
        <v>30.138000000000002</v>
      </c>
      <c r="I1165">
        <v>18.137</v>
      </c>
      <c r="J1165">
        <v>14.756</v>
      </c>
    </row>
    <row r="1166" spans="1:10" x14ac:dyDescent="0.3">
      <c r="A1166" t="str" cm="1">
        <f t="array" ref="A1166">IF(ROW()&lt;=COUNTA(Sheet1!A:A), INDEX(Sheet1!A:A, ROW()),
INDEX(Sheet4!A:A, ROW()-COUNTA(Sheet1!A:A)))</f>
        <v>Al23.5Cr12.8Fe17Co20.5Ni26.2</v>
      </c>
      <c r="B1166" s="10">
        <f>_xlfn.XLOOKUP(A1166, Sheet4!A:A, Sheet4!C:C)</f>
        <v>0</v>
      </c>
      <c r="C1166" s="10">
        <v>-1</v>
      </c>
      <c r="D1166" s="10">
        <f>_xlfn.XLOOKUP(A1166, Sheet2!A:A, Sheet2!B:B)</f>
        <v>7.298</v>
      </c>
      <c r="E1166" s="10">
        <f>_xlfn.XLOOKUP(A1166, Sheet1!A:A, Sheet1!G:G)</f>
        <v>-1</v>
      </c>
      <c r="F1166" s="10">
        <f t="shared" si="18"/>
        <v>-1</v>
      </c>
      <c r="G1166" cm="1">
        <f t="array" ref="G1166:J1166">_xlfn.XLOOKUP(A1166, Sheet1!A:A, Sheet1!C:F)</f>
        <v>23.25581395</v>
      </c>
      <c r="H1166">
        <v>6.9767441860000003</v>
      </c>
      <c r="I1166">
        <v>23.25581395</v>
      </c>
      <c r="J1166">
        <v>23.25581395</v>
      </c>
    </row>
    <row r="1167" spans="1:10" x14ac:dyDescent="0.3">
      <c r="A1167" t="str" cm="1">
        <f t="array" ref="A1167">IF(ROW()&lt;=COUNTA(Sheet1!A:A), INDEX(Sheet1!A:A, ROW()),
INDEX(Sheet4!A:A, ROW()-COUNTA(Sheet1!A:A)))</f>
        <v>Al23.537Cr12.785Fe17.011Co20.481Ni26.187</v>
      </c>
      <c r="B1167" s="10">
        <f>_xlfn.XLOOKUP(A1167, Sheet4!A:A, Sheet4!C:C)</f>
        <v>0</v>
      </c>
      <c r="C1167" s="10">
        <v>-1</v>
      </c>
      <c r="D1167" s="10">
        <f>_xlfn.XLOOKUP(A1167, Sheet2!A:A, Sheet2!B:B)</f>
        <v>7.2960000000000003</v>
      </c>
      <c r="E1167" s="10">
        <f>_xlfn.XLOOKUP(A1167, Sheet1!A:A, Sheet1!G:G)</f>
        <v>-1</v>
      </c>
      <c r="F1167" s="10">
        <f t="shared" si="18"/>
        <v>-1</v>
      </c>
      <c r="G1167" cm="1">
        <f t="array" ref="G1167:J1167">_xlfn.XLOOKUP(A1167, Sheet1!A:A, Sheet1!C:F)</f>
        <v>6.9</v>
      </c>
      <c r="H1167">
        <v>26.1</v>
      </c>
      <c r="I1167">
        <v>35</v>
      </c>
      <c r="J1167">
        <v>8.6999999999999993</v>
      </c>
    </row>
    <row r="1168" spans="1:10" x14ac:dyDescent="0.3">
      <c r="A1168" t="str" cm="1">
        <f t="array" ref="A1168">IF(ROW()&lt;=COUNTA(Sheet1!A:A), INDEX(Sheet1!A:A, ROW()),
INDEX(Sheet4!A:A, ROW()-COUNTA(Sheet1!A:A)))</f>
        <v>Al23.6Cr29.6Fe31.3Co7.3Ni8.2</v>
      </c>
      <c r="B1168" s="10">
        <f>_xlfn.XLOOKUP(A1168, Sheet4!A:A, Sheet4!C:C)</f>
        <v>0</v>
      </c>
      <c r="C1168" s="10">
        <v>-1</v>
      </c>
      <c r="D1168" s="10">
        <f>_xlfn.XLOOKUP(A1168, Sheet2!A:A, Sheet2!B:B)</f>
        <v>6.4649999999999999</v>
      </c>
      <c r="E1168" s="10">
        <f>_xlfn.XLOOKUP(A1168, Sheet1!A:A, Sheet1!G:G)</f>
        <v>-1</v>
      </c>
      <c r="F1168" s="10">
        <f t="shared" si="18"/>
        <v>-1</v>
      </c>
      <c r="G1168" cm="1">
        <f t="array" ref="G1168:J1168">_xlfn.XLOOKUP(A1168, Sheet1!A:A, Sheet1!C:F)</f>
        <v>13.7</v>
      </c>
      <c r="H1168">
        <v>30.1</v>
      </c>
      <c r="I1168">
        <v>18.100000000000001</v>
      </c>
      <c r="J1168">
        <v>14.8</v>
      </c>
    </row>
    <row r="1169" spans="1:10" x14ac:dyDescent="0.3">
      <c r="A1169" t="str" cm="1">
        <f t="array" ref="A1169">IF(ROW()&lt;=COUNTA(Sheet1!A:A), INDEX(Sheet1!A:A, ROW()),
INDEX(Sheet4!A:A, ROW()-COUNTA(Sheet1!A:A)))</f>
        <v>Al23.6Cr19.9Fe26.7Co12.9Ni16.9</v>
      </c>
      <c r="B1169" s="10">
        <f>_xlfn.XLOOKUP(A1169, Sheet4!A:A, Sheet4!C:C)</f>
        <v>0</v>
      </c>
      <c r="C1169" s="10">
        <v>-1</v>
      </c>
      <c r="D1169" s="10">
        <f>_xlfn.XLOOKUP(A1169, Sheet2!A:A, Sheet2!B:B)</f>
        <v>6.8890000000000002</v>
      </c>
      <c r="E1169" s="10">
        <f>_xlfn.XLOOKUP(A1169, Sheet1!A:A, Sheet1!G:G)</f>
        <v>-1</v>
      </c>
      <c r="F1169" s="10">
        <f t="shared" si="18"/>
        <v>-1</v>
      </c>
      <c r="G1169" cm="1">
        <f t="array" ref="G1169:J1169">_xlfn.XLOOKUP(A1169, Sheet1!A:A, Sheet1!C:F)</f>
        <v>19.8</v>
      </c>
      <c r="H1169">
        <v>30.1</v>
      </c>
      <c r="I1169">
        <v>6.4</v>
      </c>
      <c r="J1169">
        <v>20.399999999999999</v>
      </c>
    </row>
    <row r="1170" spans="1:10" x14ac:dyDescent="0.3">
      <c r="A1170" t="str" cm="1">
        <f t="array" ref="A1170">IF(ROW()&lt;=COUNTA(Sheet1!A:A), INDEX(Sheet1!A:A, ROW()),
INDEX(Sheet4!A:A, ROW()-COUNTA(Sheet1!A:A)))</f>
        <v>Al23.6Cr31.3Fe15.2Co14.7Ni15.2</v>
      </c>
      <c r="B1170" s="10">
        <f>_xlfn.XLOOKUP(A1170, Sheet4!A:A, Sheet4!C:C)</f>
        <v>0</v>
      </c>
      <c r="C1170" s="10">
        <v>-1</v>
      </c>
      <c r="D1170" s="10">
        <f>_xlfn.XLOOKUP(A1170, Sheet2!A:A, Sheet2!B:B)</f>
        <v>6.6449999999999996</v>
      </c>
      <c r="E1170" s="10">
        <f>_xlfn.XLOOKUP(A1170, Sheet1!A:A, Sheet1!G:G)</f>
        <v>-1</v>
      </c>
      <c r="F1170" s="10">
        <f t="shared" si="18"/>
        <v>-1</v>
      </c>
      <c r="G1170" cm="1">
        <f t="array" ref="G1170:J1170">_xlfn.XLOOKUP(A1170, Sheet1!A:A, Sheet1!C:F)</f>
        <v>6.9100999999999999</v>
      </c>
      <c r="H1170">
        <v>26.050999999999998</v>
      </c>
      <c r="I1170">
        <v>34.957000000000001</v>
      </c>
      <c r="J1170">
        <v>8.7409999999999997</v>
      </c>
    </row>
    <row r="1171" spans="1:10" x14ac:dyDescent="0.3">
      <c r="A1171" t="str" cm="1">
        <f t="array" ref="A1171">IF(ROW()&lt;=COUNTA(Sheet1!A:A), INDEX(Sheet1!A:A, ROW()),
INDEX(Sheet4!A:A, ROW()-COUNTA(Sheet1!A:A)))</f>
        <v>Al23.617Cr29.558Fe31.281Co7.3486Ni8.1954</v>
      </c>
      <c r="B1171" s="10">
        <f>_xlfn.XLOOKUP(A1171, Sheet4!A:A, Sheet4!C:C)</f>
        <v>0</v>
      </c>
      <c r="C1171" s="10">
        <v>-1</v>
      </c>
      <c r="D1171" s="10">
        <f>_xlfn.XLOOKUP(A1171, Sheet2!A:A, Sheet2!B:B)</f>
        <v>6.4653999999999998</v>
      </c>
      <c r="E1171" s="10">
        <f>_xlfn.XLOOKUP(A1171, Sheet1!A:A, Sheet1!G:G)</f>
        <v>-1</v>
      </c>
      <c r="F1171" s="10">
        <f t="shared" si="18"/>
        <v>-1</v>
      </c>
      <c r="G1171" cm="1">
        <f t="array" ref="G1171:J1171">_xlfn.XLOOKUP(A1171, Sheet1!A:A, Sheet1!C:F)</f>
        <v>22</v>
      </c>
      <c r="H1171">
        <v>11.5</v>
      </c>
      <c r="I1171">
        <v>15.2</v>
      </c>
      <c r="J1171">
        <v>27.9</v>
      </c>
    </row>
    <row r="1172" spans="1:10" x14ac:dyDescent="0.3">
      <c r="A1172" t="str" cm="1">
        <f t="array" ref="A1172">IF(ROW()&lt;=COUNTA(Sheet1!A:A), INDEX(Sheet1!A:A, ROW()),
INDEX(Sheet4!A:A, ROW()-COUNTA(Sheet1!A:A)))</f>
        <v>Al23.618Cr31.328Fe15.204Co14.662Ni15.189</v>
      </c>
      <c r="B1172" s="10">
        <f>_xlfn.XLOOKUP(A1172, Sheet4!A:A, Sheet4!C:C)</f>
        <v>0</v>
      </c>
      <c r="C1172" s="10">
        <v>-1</v>
      </c>
      <c r="D1172" s="10">
        <f>_xlfn.XLOOKUP(A1172, Sheet2!A:A, Sheet2!B:B)</f>
        <v>6.6429999999999998</v>
      </c>
      <c r="E1172" s="10">
        <f>_xlfn.XLOOKUP(A1172, Sheet1!A:A, Sheet1!G:G)</f>
        <v>-1</v>
      </c>
      <c r="F1172" s="10">
        <f t="shared" si="18"/>
        <v>-1</v>
      </c>
      <c r="G1172" cm="1">
        <f t="array" ref="G1172:J1172">_xlfn.XLOOKUP(A1172, Sheet1!A:A, Sheet1!C:F)</f>
        <v>22.036999999999999</v>
      </c>
      <c r="H1172">
        <v>11.473000000000001</v>
      </c>
      <c r="I1172">
        <v>15.18</v>
      </c>
      <c r="J1172">
        <v>27.873000000000001</v>
      </c>
    </row>
    <row r="1173" spans="1:10" x14ac:dyDescent="0.3">
      <c r="A1173" t="str" cm="1">
        <f t="array" ref="A1173">IF(ROW()&lt;=COUNTA(Sheet1!A:A), INDEX(Sheet1!A:A, ROW()),
INDEX(Sheet4!A:A, ROW()-COUNTA(Sheet1!A:A)))</f>
        <v>Al23.62Cr19.894Fe26.734Co12.87Ni16.882</v>
      </c>
      <c r="B1173" s="10">
        <f>_xlfn.XLOOKUP(A1173, Sheet4!A:A, Sheet4!C:C)</f>
        <v>0</v>
      </c>
      <c r="C1173" s="10">
        <v>-1</v>
      </c>
      <c r="D1173" s="10">
        <f>_xlfn.XLOOKUP(A1173, Sheet2!A:A, Sheet2!B:B)</f>
        <v>6.8875000000000002</v>
      </c>
      <c r="E1173" s="10">
        <f>_xlfn.XLOOKUP(A1173, Sheet1!A:A, Sheet1!G:G)</f>
        <v>-1</v>
      </c>
      <c r="F1173" s="10">
        <f t="shared" si="18"/>
        <v>-1</v>
      </c>
      <c r="G1173" cm="1">
        <f t="array" ref="G1173:J1173">_xlfn.XLOOKUP(A1173, Sheet1!A:A, Sheet1!C:F)</f>
        <v>8.7737999999999996</v>
      </c>
      <c r="H1173">
        <v>29.047999999999998</v>
      </c>
      <c r="I1173">
        <v>29.2</v>
      </c>
      <c r="J1173">
        <v>9.4937000000000005</v>
      </c>
    </row>
    <row r="1174" spans="1:10" x14ac:dyDescent="0.3">
      <c r="A1174" t="str" cm="1">
        <f t="array" ref="A1174">IF(ROW()&lt;=COUNTA(Sheet1!A:A), INDEX(Sheet1!A:A, ROW()),
INDEX(Sheet4!A:A, ROW()-COUNTA(Sheet1!A:A)))</f>
        <v>Al23.754Cr23.723Fe32.147Co8.9571Ni11.419</v>
      </c>
      <c r="B1174" s="10">
        <f>_xlfn.XLOOKUP(A1174, Sheet4!A:A, Sheet4!C:C)</f>
        <v>0</v>
      </c>
      <c r="C1174" s="10">
        <v>-1</v>
      </c>
      <c r="D1174" s="10">
        <f>_xlfn.XLOOKUP(A1174, Sheet2!A:A, Sheet2!B:B)</f>
        <v>6.6558000000000002</v>
      </c>
      <c r="E1174" s="10">
        <f>_xlfn.XLOOKUP(A1174, Sheet1!A:A, Sheet1!G:G)</f>
        <v>-1</v>
      </c>
      <c r="F1174" s="10">
        <f t="shared" si="18"/>
        <v>-1</v>
      </c>
      <c r="G1174" cm="1">
        <f t="array" ref="G1174:J1174">_xlfn.XLOOKUP(A1174, Sheet1!A:A, Sheet1!C:F)</f>
        <v>8.8000000000000007</v>
      </c>
      <c r="H1174">
        <v>29</v>
      </c>
      <c r="I1174">
        <v>29.2</v>
      </c>
      <c r="J1174">
        <v>9.5</v>
      </c>
    </row>
    <row r="1175" spans="1:10" x14ac:dyDescent="0.3">
      <c r="A1175" t="str" cm="1">
        <f t="array" ref="A1175">IF(ROW()&lt;=COUNTA(Sheet1!A:A), INDEX(Sheet1!A:A, ROW()),
INDEX(Sheet4!A:A, ROW()-COUNTA(Sheet1!A:A)))</f>
        <v>Al23.8Cr23.7Fe32.1Co9Ni11.4</v>
      </c>
      <c r="B1175" s="10">
        <f>_xlfn.XLOOKUP(A1175, Sheet4!A:A, Sheet4!C:C)</f>
        <v>0</v>
      </c>
      <c r="C1175" s="10">
        <v>-1</v>
      </c>
      <c r="D1175" s="10">
        <f>_xlfn.XLOOKUP(A1175, Sheet2!A:A, Sheet2!B:B)</f>
        <v>6.6539999999999999</v>
      </c>
      <c r="E1175" s="10">
        <f>_xlfn.XLOOKUP(A1175, Sheet1!A:A, Sheet1!G:G)</f>
        <v>-1</v>
      </c>
      <c r="F1175" s="10">
        <f t="shared" si="18"/>
        <v>-1</v>
      </c>
      <c r="G1175" cm="1">
        <f t="array" ref="G1175:J1175">_xlfn.XLOOKUP(A1175, Sheet1!A:A, Sheet1!C:F)</f>
        <v>20.5</v>
      </c>
      <c r="H1175">
        <v>12.8</v>
      </c>
      <c r="I1175">
        <v>17</v>
      </c>
      <c r="J1175">
        <v>26.2</v>
      </c>
    </row>
    <row r="1176" spans="1:10" x14ac:dyDescent="0.3">
      <c r="A1176" t="str" cm="1">
        <f t="array" ref="A1176">IF(ROW()&lt;=COUNTA(Sheet1!A:A), INDEX(Sheet1!A:A, ROW()),
INDEX(Sheet4!A:A, ROW()-COUNTA(Sheet1!A:A)))</f>
        <v>Al1.25CoCrFeNi</v>
      </c>
      <c r="B1176" s="10" t="str">
        <f>_xlfn.XLOOKUP(A1176, Sheet4!A:A, Sheet4!C:C)</f>
        <v>BCC</v>
      </c>
      <c r="C1176" s="10">
        <v>0</v>
      </c>
      <c r="D1176" s="10">
        <f>_xlfn.XLOOKUP(A1176, Sheet2!A:A, Sheet2!B:B)</f>
        <v>7</v>
      </c>
      <c r="E1176" s="10">
        <f>_xlfn.XLOOKUP(A1176, Sheet1!A:A, Sheet1!G:G)</f>
        <v>-1</v>
      </c>
      <c r="F1176" s="10">
        <f t="shared" si="18"/>
        <v>0</v>
      </c>
      <c r="G1176" cm="1">
        <f t="array" ref="G1176:J1176">_xlfn.XLOOKUP(A1176, Sheet1!A:A, Sheet1!C:F)</f>
        <v>20.481000000000002</v>
      </c>
      <c r="H1176">
        <v>12.785</v>
      </c>
      <c r="I1176">
        <v>17.010999999999999</v>
      </c>
      <c r="J1176">
        <v>26.187000000000001</v>
      </c>
    </row>
    <row r="1177" spans="1:10" x14ac:dyDescent="0.3">
      <c r="A1177" t="str" cm="1">
        <f t="array" ref="A1177">IF(ROW()&lt;=COUNTA(Sheet1!A:A), INDEX(Sheet1!A:A, ROW()),
INDEX(Sheet4!A:A, ROW()-COUNTA(Sheet1!A:A)))</f>
        <v>Al24.087Cr32.042Fe13.083Co14.881Ni15.907</v>
      </c>
      <c r="B1177" s="10">
        <f>_xlfn.XLOOKUP(A1177, Sheet4!A:A, Sheet4!C:C)</f>
        <v>0</v>
      </c>
      <c r="C1177" s="10">
        <v>-1</v>
      </c>
      <c r="D1177" s="10">
        <f>_xlfn.XLOOKUP(A1177, Sheet2!A:A, Sheet2!B:B)</f>
        <v>6.6218000000000004</v>
      </c>
      <c r="E1177" s="10">
        <f>_xlfn.XLOOKUP(A1177, Sheet1!A:A, Sheet1!G:G)</f>
        <v>-1</v>
      </c>
      <c r="F1177" s="10">
        <f t="shared" si="18"/>
        <v>-1</v>
      </c>
      <c r="G1177" cm="1">
        <f t="array" ref="G1177:J1177">_xlfn.XLOOKUP(A1177, Sheet1!A:A, Sheet1!C:F)</f>
        <v>7.3</v>
      </c>
      <c r="H1177">
        <v>29.6</v>
      </c>
      <c r="I1177">
        <v>31.3</v>
      </c>
      <c r="J1177">
        <v>8.1999999999999993</v>
      </c>
    </row>
    <row r="1178" spans="1:10" x14ac:dyDescent="0.3">
      <c r="A1178" t="str" cm="1">
        <f t="array" ref="A1178">IF(ROW()&lt;=COUNTA(Sheet1!A:A), INDEX(Sheet1!A:A, ROW()),
INDEX(Sheet4!A:A, ROW()-COUNTA(Sheet1!A:A)))</f>
        <v>Al24.1Cr32Fe13.1Co14.9Ni15.9</v>
      </c>
      <c r="B1178" s="10">
        <f>_xlfn.XLOOKUP(A1178, Sheet4!A:A, Sheet4!C:C)</f>
        <v>0</v>
      </c>
      <c r="C1178" s="10">
        <v>-1</v>
      </c>
      <c r="D1178" s="10">
        <f>_xlfn.XLOOKUP(A1178, Sheet2!A:A, Sheet2!B:B)</f>
        <v>6.6219999999999999</v>
      </c>
      <c r="E1178" s="10">
        <f>_xlfn.XLOOKUP(A1178, Sheet1!A:A, Sheet1!G:G)</f>
        <v>-1</v>
      </c>
      <c r="F1178" s="10">
        <f t="shared" si="18"/>
        <v>-1</v>
      </c>
      <c r="G1178" cm="1">
        <f t="array" ref="G1178:J1178">_xlfn.XLOOKUP(A1178, Sheet1!A:A, Sheet1!C:F)</f>
        <v>12.9</v>
      </c>
      <c r="H1178">
        <v>19.899999999999999</v>
      </c>
      <c r="I1178">
        <v>26.7</v>
      </c>
      <c r="J1178">
        <v>16.899999999999999</v>
      </c>
    </row>
    <row r="1179" spans="1:10" x14ac:dyDescent="0.3">
      <c r="A1179" t="str" cm="1">
        <f t="array" ref="A1179">IF(ROW()&lt;=COUNTA(Sheet1!A:A), INDEX(Sheet1!A:A, ROW()),
INDEX(Sheet4!A:A, ROW()-COUNTA(Sheet1!A:A)))</f>
        <v>Al24.157Cr31.067Fe25.283Co9.5031Ni9.9901</v>
      </c>
      <c r="B1179" s="10">
        <f>_xlfn.XLOOKUP(A1179, Sheet4!A:A, Sheet4!C:C)</f>
        <v>0</v>
      </c>
      <c r="C1179" s="10">
        <v>-1</v>
      </c>
      <c r="D1179" s="10">
        <f>_xlfn.XLOOKUP(A1179, Sheet2!A:A, Sheet2!B:B)</f>
        <v>6.4656000000000002</v>
      </c>
      <c r="E1179" s="10">
        <f>_xlfn.XLOOKUP(A1179, Sheet1!A:A, Sheet1!G:G)</f>
        <v>-1</v>
      </c>
      <c r="F1179" s="10">
        <f t="shared" si="18"/>
        <v>-1</v>
      </c>
      <c r="G1179" cm="1">
        <f t="array" ref="G1179:J1179">_xlfn.XLOOKUP(A1179, Sheet1!A:A, Sheet1!C:F)</f>
        <v>14.7</v>
      </c>
      <c r="H1179">
        <v>31.3</v>
      </c>
      <c r="I1179">
        <v>15.2</v>
      </c>
      <c r="J1179">
        <v>15.2</v>
      </c>
    </row>
    <row r="1180" spans="1:10" x14ac:dyDescent="0.3">
      <c r="A1180" t="str" cm="1">
        <f t="array" ref="A1180">IF(ROW()&lt;=COUNTA(Sheet1!A:A), INDEX(Sheet1!A:A, ROW()),
INDEX(Sheet4!A:A, ROW()-COUNTA(Sheet1!A:A)))</f>
        <v>Al24.2Cr31.1Fe25.3Co9.5Ni10</v>
      </c>
      <c r="B1180" s="10">
        <f>_xlfn.XLOOKUP(A1180, Sheet4!A:A, Sheet4!C:C)</f>
        <v>0</v>
      </c>
      <c r="C1180" s="10">
        <v>-1</v>
      </c>
      <c r="D1180" s="10">
        <f>_xlfn.XLOOKUP(A1180, Sheet2!A:A, Sheet2!B:B)</f>
        <v>6.4645000000000001</v>
      </c>
      <c r="E1180" s="10">
        <f>_xlfn.XLOOKUP(A1180, Sheet1!A:A, Sheet1!G:G)</f>
        <v>-1</v>
      </c>
      <c r="F1180" s="10">
        <f t="shared" si="18"/>
        <v>-1</v>
      </c>
      <c r="G1180" cm="1">
        <f t="array" ref="G1180:J1180">_xlfn.XLOOKUP(A1180, Sheet1!A:A, Sheet1!C:F)</f>
        <v>7.3486000000000002</v>
      </c>
      <c r="H1180">
        <v>29.558</v>
      </c>
      <c r="I1180">
        <v>31.280999999999999</v>
      </c>
      <c r="J1180">
        <v>8.1953999999999994</v>
      </c>
    </row>
    <row r="1181" spans="1:10" x14ac:dyDescent="0.3">
      <c r="A1181" t="str" cm="1">
        <f t="array" ref="A1181">IF(ROW()&lt;=COUNTA(Sheet1!A:A), INDEX(Sheet1!A:A, ROW()),
INDEX(Sheet4!A:A, ROW()-COUNTA(Sheet1!A:A)))</f>
        <v>Al24.3Cr31.7Fe19.8Co11.9Ni12.3</v>
      </c>
      <c r="B1181" s="10">
        <f>_xlfn.XLOOKUP(A1181, Sheet4!A:A, Sheet4!C:C)</f>
        <v>0</v>
      </c>
      <c r="C1181" s="10">
        <v>-1</v>
      </c>
      <c r="D1181" s="10">
        <f>_xlfn.XLOOKUP(A1181, Sheet2!A:A, Sheet2!B:B)</f>
        <v>6.516</v>
      </c>
      <c r="E1181" s="10">
        <f>_xlfn.XLOOKUP(A1181, Sheet1!A:A, Sheet1!G:G)</f>
        <v>-1</v>
      </c>
      <c r="F1181" s="10">
        <f t="shared" si="18"/>
        <v>-1</v>
      </c>
      <c r="G1181" cm="1">
        <f t="array" ref="G1181:J1181">_xlfn.XLOOKUP(A1181, Sheet1!A:A, Sheet1!C:F)</f>
        <v>14.662000000000001</v>
      </c>
      <c r="H1181">
        <v>31.327999999999999</v>
      </c>
      <c r="I1181">
        <v>15.204000000000001</v>
      </c>
      <c r="J1181">
        <v>15.189</v>
      </c>
    </row>
    <row r="1182" spans="1:10" x14ac:dyDescent="0.3">
      <c r="A1182" t="str" cm="1">
        <f t="array" ref="A1182">IF(ROW()&lt;=COUNTA(Sheet1!A:A), INDEX(Sheet1!A:A, ROW()),
INDEX(Sheet4!A:A, ROW()-COUNTA(Sheet1!A:A)))</f>
        <v>Al24.309Cr31.738Fe19.833Co11.85Ni12.271</v>
      </c>
      <c r="B1182" s="10">
        <f>_xlfn.XLOOKUP(A1182, Sheet4!A:A, Sheet4!C:C)</f>
        <v>0</v>
      </c>
      <c r="C1182" s="10">
        <v>-1</v>
      </c>
      <c r="D1182" s="10">
        <f>_xlfn.XLOOKUP(A1182, Sheet2!A:A, Sheet2!B:B)</f>
        <v>6.5137</v>
      </c>
      <c r="E1182" s="10">
        <f>_xlfn.XLOOKUP(A1182, Sheet1!A:A, Sheet1!G:G)</f>
        <v>-1</v>
      </c>
      <c r="F1182" s="10">
        <f t="shared" si="18"/>
        <v>-1</v>
      </c>
      <c r="G1182" cm="1">
        <f t="array" ref="G1182:J1182">_xlfn.XLOOKUP(A1182, Sheet1!A:A, Sheet1!C:F)</f>
        <v>12.87</v>
      </c>
      <c r="H1182">
        <v>19.893999999999998</v>
      </c>
      <c r="I1182">
        <v>26.734000000000002</v>
      </c>
      <c r="J1182">
        <v>16.882000000000001</v>
      </c>
    </row>
    <row r="1183" spans="1:10" x14ac:dyDescent="0.3">
      <c r="A1183" t="str" cm="1">
        <f t="array" ref="A1183">IF(ROW()&lt;=COUNTA(Sheet1!A:A), INDEX(Sheet1!A:A, ROW()),
INDEX(Sheet4!A:A, ROW()-COUNTA(Sheet1!A:A)))</f>
        <v>Al24.468Cr32.449Fe11.207Co15.57Ni16.306</v>
      </c>
      <c r="B1183" s="10">
        <f>_xlfn.XLOOKUP(A1183, Sheet4!A:A, Sheet4!C:C)</f>
        <v>0</v>
      </c>
      <c r="C1183" s="10">
        <v>-1</v>
      </c>
      <c r="D1183" s="10">
        <f>_xlfn.XLOOKUP(A1183, Sheet2!A:A, Sheet2!B:B)</f>
        <v>6.6093999999999999</v>
      </c>
      <c r="E1183" s="10">
        <f>_xlfn.XLOOKUP(A1183, Sheet1!A:A, Sheet1!G:G)</f>
        <v>-1</v>
      </c>
      <c r="F1183" s="10">
        <f t="shared" si="18"/>
        <v>-1</v>
      </c>
      <c r="G1183" cm="1">
        <f t="array" ref="G1183:J1183">_xlfn.XLOOKUP(A1183, Sheet1!A:A, Sheet1!C:F)</f>
        <v>8.9571000000000005</v>
      </c>
      <c r="H1183">
        <v>23.722999999999999</v>
      </c>
      <c r="I1183">
        <v>32.146999999999998</v>
      </c>
      <c r="J1183">
        <v>11.419</v>
      </c>
    </row>
    <row r="1184" spans="1:10" x14ac:dyDescent="0.3">
      <c r="A1184" t="str" cm="1">
        <f t="array" ref="A1184">IF(ROW()&lt;=COUNTA(Sheet1!A:A), INDEX(Sheet1!A:A, ROW()),
INDEX(Sheet4!A:A, ROW()-COUNTA(Sheet1!A:A)))</f>
        <v>Al24.5Cr32.4Fe11.2Co15.6Ni16.3</v>
      </c>
      <c r="B1184" s="10">
        <f>_xlfn.XLOOKUP(A1184, Sheet4!A:A, Sheet4!C:C)</f>
        <v>0</v>
      </c>
      <c r="C1184" s="10">
        <v>-1</v>
      </c>
      <c r="D1184" s="10">
        <f>_xlfn.XLOOKUP(A1184, Sheet2!A:A, Sheet2!B:B)</f>
        <v>6.609</v>
      </c>
      <c r="E1184" s="10">
        <f>_xlfn.XLOOKUP(A1184, Sheet1!A:A, Sheet1!G:G)</f>
        <v>-1</v>
      </c>
      <c r="F1184" s="10">
        <f t="shared" si="18"/>
        <v>-1</v>
      </c>
      <c r="G1184" cm="1">
        <f t="array" ref="G1184:J1184">_xlfn.XLOOKUP(A1184, Sheet1!A:A, Sheet1!C:F)</f>
        <v>9</v>
      </c>
      <c r="H1184">
        <v>23.7</v>
      </c>
      <c r="I1184">
        <v>32.1</v>
      </c>
      <c r="J1184">
        <v>11.4</v>
      </c>
    </row>
    <row r="1185" spans="1:10" x14ac:dyDescent="0.3">
      <c r="A1185" t="str" cm="1">
        <f t="array" ref="A1185">IF(ROW()&lt;=COUNTA(Sheet1!A:A), INDEX(Sheet1!A:A, ROW()),
INDEX(Sheet4!A:A, ROW()-COUNTA(Sheet1!A:A)))</f>
        <v>Al1.3CoCrFeNi</v>
      </c>
      <c r="B1185" s="10">
        <f>_xlfn.XLOOKUP(A1185, Sheet4!A:A, Sheet4!C:C)</f>
        <v>0</v>
      </c>
      <c r="C1185" s="10">
        <v>-1</v>
      </c>
      <c r="D1185" s="10">
        <f>_xlfn.XLOOKUP(A1185, Sheet2!A:A, Sheet2!B:B)</f>
        <v>6.9622999999999999</v>
      </c>
      <c r="E1185" s="10">
        <f>_xlfn.XLOOKUP(A1185, Sheet1!A:A, Sheet1!G:G)</f>
        <v>-1</v>
      </c>
      <c r="F1185" s="10">
        <f t="shared" si="18"/>
        <v>-1</v>
      </c>
      <c r="G1185" cm="1">
        <f t="array" ref="G1185:J1185">_xlfn.XLOOKUP(A1185, Sheet1!A:A, Sheet1!C:F)</f>
        <v>19.047619050000002</v>
      </c>
      <c r="H1185">
        <v>19.047619050000002</v>
      </c>
      <c r="I1185">
        <v>19.047619050000002</v>
      </c>
      <c r="J1185">
        <v>19.047619050000002</v>
      </c>
    </row>
    <row r="1186" spans="1:10" x14ac:dyDescent="0.3">
      <c r="A1186" t="str" cm="1">
        <f t="array" ref="A1186">IF(ROW()&lt;=COUNTA(Sheet1!A:A), INDEX(Sheet1!A:A, ROW()),
INDEX(Sheet4!A:A, ROW()-COUNTA(Sheet1!A:A)))</f>
        <v>Al24.671Cr26.266Fe35.331Co6.0Ni7.7328</v>
      </c>
      <c r="B1186" s="10">
        <f>_xlfn.XLOOKUP(A1186, Sheet4!A:A, Sheet4!C:C)</f>
        <v>0</v>
      </c>
      <c r="C1186" s="10">
        <v>-1</v>
      </c>
      <c r="D1186" s="10">
        <f>_xlfn.XLOOKUP(A1186, Sheet2!A:A, Sheet2!B:B)</f>
        <v>6.4558</v>
      </c>
      <c r="E1186" s="10">
        <f>_xlfn.XLOOKUP(A1186, Sheet1!A:A, Sheet1!G:G)</f>
        <v>-1</v>
      </c>
      <c r="F1186" s="10">
        <f t="shared" si="18"/>
        <v>-1</v>
      </c>
      <c r="G1186" cm="1">
        <f t="array" ref="G1186:J1186">_xlfn.XLOOKUP(A1186, Sheet1!A:A, Sheet1!C:F)</f>
        <v>14.881</v>
      </c>
      <c r="H1186">
        <v>32.042000000000002</v>
      </c>
      <c r="I1186">
        <v>13.083</v>
      </c>
      <c r="J1186">
        <v>15.907</v>
      </c>
    </row>
    <row r="1187" spans="1:10" x14ac:dyDescent="0.3">
      <c r="A1187" t="str" cm="1">
        <f t="array" ref="A1187">IF(ROW()&lt;=COUNTA(Sheet1!A:A), INDEX(Sheet1!A:A, ROW()),
INDEX(Sheet4!A:A, ROW()-COUNTA(Sheet1!A:A)))</f>
        <v>Al24.7Cr32.9Fe9.7Co16Ni16.8</v>
      </c>
      <c r="B1187" s="10">
        <f>_xlfn.XLOOKUP(A1187, Sheet4!A:A, Sheet4!C:C)</f>
        <v>0</v>
      </c>
      <c r="C1187" s="10">
        <v>-1</v>
      </c>
      <c r="D1187" s="10">
        <f>_xlfn.XLOOKUP(A1187, Sheet2!A:A, Sheet2!B:B)</f>
        <v>6.6044</v>
      </c>
      <c r="E1187" s="10">
        <f>_xlfn.XLOOKUP(A1187, Sheet1!A:A, Sheet1!G:G)</f>
        <v>-1</v>
      </c>
      <c r="F1187" s="10">
        <f t="shared" si="18"/>
        <v>-1</v>
      </c>
      <c r="G1187" cm="1">
        <f t="array" ref="G1187:J1187">_xlfn.XLOOKUP(A1187, Sheet1!A:A, Sheet1!C:F)</f>
        <v>14.9</v>
      </c>
      <c r="H1187">
        <v>32</v>
      </c>
      <c r="I1187">
        <v>13.1</v>
      </c>
      <c r="J1187">
        <v>15.9</v>
      </c>
    </row>
    <row r="1188" spans="1:10" x14ac:dyDescent="0.3">
      <c r="A1188" t="str" cm="1">
        <f t="array" ref="A1188">IF(ROW()&lt;=COUNTA(Sheet1!A:A), INDEX(Sheet1!A:A, ROW()),
INDEX(Sheet4!A:A, ROW()-COUNTA(Sheet1!A:A)))</f>
        <v>Al24.679Cr32.906Fe9.6917Co15.961Ni16.762</v>
      </c>
      <c r="B1188" s="10">
        <f>_xlfn.XLOOKUP(A1188, Sheet4!A:A, Sheet4!C:C)</f>
        <v>0</v>
      </c>
      <c r="C1188" s="10">
        <v>-1</v>
      </c>
      <c r="D1188" s="10">
        <f>_xlfn.XLOOKUP(A1188, Sheet2!A:A, Sheet2!B:B)</f>
        <v>6.6028000000000002</v>
      </c>
      <c r="E1188" s="10">
        <f>_xlfn.XLOOKUP(A1188, Sheet1!A:A, Sheet1!G:G)</f>
        <v>-1</v>
      </c>
      <c r="F1188" s="10">
        <f t="shared" si="18"/>
        <v>-1</v>
      </c>
      <c r="G1188" cm="1">
        <f t="array" ref="G1188:J1188">_xlfn.XLOOKUP(A1188, Sheet1!A:A, Sheet1!C:F)</f>
        <v>9.5030999999999999</v>
      </c>
      <c r="H1188">
        <v>31.067</v>
      </c>
      <c r="I1188">
        <v>25.283000000000001</v>
      </c>
      <c r="J1188">
        <v>9.9901</v>
      </c>
    </row>
    <row r="1189" spans="1:10" x14ac:dyDescent="0.3">
      <c r="A1189" t="str" cm="1">
        <f t="array" ref="A1189">IF(ROW()&lt;=COUNTA(Sheet1!A:A), INDEX(Sheet1!A:A, ROW()),
INDEX(Sheet4!A:A, ROW()-COUNTA(Sheet1!A:A)))</f>
        <v>Al24.688Cr24.592Fe32.719Co7.7811Ni10.22</v>
      </c>
      <c r="B1189" s="10">
        <f>_xlfn.XLOOKUP(A1189, Sheet4!A:A, Sheet4!C:C)</f>
        <v>0</v>
      </c>
      <c r="C1189" s="10">
        <v>-1</v>
      </c>
      <c r="D1189" s="10">
        <f>_xlfn.XLOOKUP(A1189, Sheet2!A:A, Sheet2!B:B)</f>
        <v>6.556</v>
      </c>
      <c r="E1189" s="10">
        <f>_xlfn.XLOOKUP(A1189, Sheet1!A:A, Sheet1!G:G)</f>
        <v>-1</v>
      </c>
      <c r="F1189" s="10">
        <f t="shared" si="18"/>
        <v>-1</v>
      </c>
      <c r="G1189" cm="1">
        <f t="array" ref="G1189:J1189">_xlfn.XLOOKUP(A1189, Sheet1!A:A, Sheet1!C:F)</f>
        <v>9.5</v>
      </c>
      <c r="H1189">
        <v>31.1</v>
      </c>
      <c r="I1189">
        <v>25.3</v>
      </c>
      <c r="J1189">
        <v>10</v>
      </c>
    </row>
    <row r="1190" spans="1:10" x14ac:dyDescent="0.3">
      <c r="A1190" t="str" cm="1">
        <f t="array" ref="A1190">IF(ROW()&lt;=COUNTA(Sheet1!A:A), INDEX(Sheet1!A:A, ROW()),
INDEX(Sheet4!A:A, ROW()-COUNTA(Sheet1!A:A)))</f>
        <v>Al24.695Cr18.519Fe24.381Co14.158Ni18.247</v>
      </c>
      <c r="B1190" s="10">
        <f>_xlfn.XLOOKUP(A1190, Sheet4!A:A, Sheet4!C:C)</f>
        <v>0</v>
      </c>
      <c r="C1190" s="10">
        <v>-1</v>
      </c>
      <c r="D1190" s="10">
        <f>_xlfn.XLOOKUP(A1190, Sheet2!A:A, Sheet2!B:B)</f>
        <v>6.9013999999999998</v>
      </c>
      <c r="E1190" s="10">
        <f>_xlfn.XLOOKUP(A1190, Sheet1!A:A, Sheet1!G:G)</f>
        <v>-1</v>
      </c>
      <c r="F1190" s="10">
        <f t="shared" si="18"/>
        <v>-1</v>
      </c>
      <c r="G1190" cm="1">
        <f t="array" ref="G1190:J1190">_xlfn.XLOOKUP(A1190, Sheet1!A:A, Sheet1!C:F)</f>
        <v>11.9</v>
      </c>
      <c r="H1190">
        <v>31.7</v>
      </c>
      <c r="I1190">
        <v>19.8</v>
      </c>
      <c r="J1190">
        <v>12.3</v>
      </c>
    </row>
    <row r="1191" spans="1:10" x14ac:dyDescent="0.3">
      <c r="A1191" t="str" cm="1">
        <f t="array" ref="A1191">IF(ROW()&lt;=COUNTA(Sheet1!A:A), INDEX(Sheet1!A:A, ROW()),
INDEX(Sheet4!A:A, ROW()-COUNTA(Sheet1!A:A)))</f>
        <v>Al24.7Cr26.3Fe35.3Co6Ni7.7</v>
      </c>
      <c r="B1191" s="10">
        <f>_xlfn.XLOOKUP(A1191, Sheet4!A:A, Sheet4!C:C)</f>
        <v>0</v>
      </c>
      <c r="C1191" s="10">
        <v>-1</v>
      </c>
      <c r="D1191" s="10">
        <f>_xlfn.XLOOKUP(A1191, Sheet2!A:A, Sheet2!B:B)</f>
        <v>6.4530000000000003</v>
      </c>
      <c r="E1191" s="10">
        <f>_xlfn.XLOOKUP(A1191, Sheet1!A:A, Sheet1!G:G)</f>
        <v>-1</v>
      </c>
      <c r="F1191" s="10">
        <f t="shared" si="18"/>
        <v>-1</v>
      </c>
      <c r="G1191" cm="1">
        <f t="array" ref="G1191:J1191">_xlfn.XLOOKUP(A1191, Sheet1!A:A, Sheet1!C:F)</f>
        <v>11.85</v>
      </c>
      <c r="H1191">
        <v>31.738</v>
      </c>
      <c r="I1191">
        <v>19.832999999999998</v>
      </c>
      <c r="J1191">
        <v>12.271000000000001</v>
      </c>
    </row>
    <row r="1192" spans="1:10" x14ac:dyDescent="0.3">
      <c r="A1192" t="str" cm="1">
        <f t="array" ref="A1192">IF(ROW()&lt;=COUNTA(Sheet1!A:A), INDEX(Sheet1!A:A, ROW()),
INDEX(Sheet4!A:A, ROW()-COUNTA(Sheet1!A:A)))</f>
        <v>Al24.7Cr24.6Fe32.7Co7.8Ni10.2</v>
      </c>
      <c r="B1192" s="10">
        <f>_xlfn.XLOOKUP(A1192, Sheet4!A:A, Sheet4!C:C)</f>
        <v>0</v>
      </c>
      <c r="C1192" s="10">
        <v>-1</v>
      </c>
      <c r="D1192" s="10">
        <f>_xlfn.XLOOKUP(A1192, Sheet2!A:A, Sheet2!B:B)</f>
        <v>6.5549999999999997</v>
      </c>
      <c r="E1192" s="10">
        <f>_xlfn.XLOOKUP(A1192, Sheet1!A:A, Sheet1!G:G)</f>
        <v>-1</v>
      </c>
      <c r="F1192" s="10">
        <f t="shared" si="18"/>
        <v>-1</v>
      </c>
      <c r="G1192" cm="1">
        <f t="array" ref="G1192:J1192">_xlfn.XLOOKUP(A1192, Sheet1!A:A, Sheet1!C:F)</f>
        <v>15.57</v>
      </c>
      <c r="H1192">
        <v>32.448999999999998</v>
      </c>
      <c r="I1192">
        <v>11.207000000000001</v>
      </c>
      <c r="J1192">
        <v>16.306000000000001</v>
      </c>
    </row>
    <row r="1193" spans="1:10" x14ac:dyDescent="0.3">
      <c r="A1193" t="str" cm="1">
        <f t="array" ref="A1193">IF(ROW()&lt;=COUNTA(Sheet1!A:A), INDEX(Sheet1!A:A, ROW()),
INDEX(Sheet4!A:A, ROW()-COUNTA(Sheet1!A:A)))</f>
        <v>Al24.7Cr18.5Fe24.4Co14.2Ni18.2</v>
      </c>
      <c r="B1193" s="10">
        <f>_xlfn.XLOOKUP(A1193, Sheet4!A:A, Sheet4!C:C)</f>
        <v>0</v>
      </c>
      <c r="C1193" s="10">
        <v>-1</v>
      </c>
      <c r="D1193" s="10">
        <f>_xlfn.XLOOKUP(A1193, Sheet2!A:A, Sheet2!B:B)</f>
        <v>6.9009999999999998</v>
      </c>
      <c r="E1193" s="10">
        <f>_xlfn.XLOOKUP(A1193, Sheet1!A:A, Sheet1!G:G)</f>
        <v>-1</v>
      </c>
      <c r="F1193" s="10">
        <f t="shared" si="18"/>
        <v>-1</v>
      </c>
      <c r="G1193" cm="1">
        <f t="array" ref="G1193:J1193">_xlfn.XLOOKUP(A1193, Sheet1!A:A, Sheet1!C:F)</f>
        <v>15.6</v>
      </c>
      <c r="H1193">
        <v>32.4</v>
      </c>
      <c r="I1193">
        <v>11.2</v>
      </c>
      <c r="J1193">
        <v>16.3</v>
      </c>
    </row>
    <row r="1194" spans="1:10" x14ac:dyDescent="0.3">
      <c r="A1194" t="str" cm="1">
        <f t="array" ref="A1194">IF(ROW()&lt;=COUNTA(Sheet1!A:A), INDEX(Sheet1!A:A, ROW()),
INDEX(Sheet4!A:A, ROW()-COUNTA(Sheet1!A:A)))</f>
        <v>Al24.855Cr33.237Fe8.1593Co16.626Ni17.122</v>
      </c>
      <c r="B1194" s="10">
        <f>_xlfn.XLOOKUP(A1194, Sheet4!A:A, Sheet4!C:C)</f>
        <v>0</v>
      </c>
      <c r="C1194" s="10">
        <v>-1</v>
      </c>
      <c r="D1194" s="10">
        <f>_xlfn.XLOOKUP(A1194, Sheet2!A:A, Sheet2!B:B)</f>
        <v>6.6012000000000004</v>
      </c>
      <c r="E1194" s="10">
        <f>_xlfn.XLOOKUP(A1194, Sheet1!A:A, Sheet1!G:G)</f>
        <v>-1</v>
      </c>
      <c r="F1194" s="10">
        <f t="shared" si="18"/>
        <v>-1</v>
      </c>
      <c r="G1194" cm="1">
        <f t="array" ref="G1194:J1194">_xlfn.XLOOKUP(A1194, Sheet1!A:A, Sheet1!C:F)</f>
        <v>18.86792453</v>
      </c>
      <c r="H1194">
        <v>18.86792453</v>
      </c>
      <c r="I1194">
        <v>18.86792453</v>
      </c>
      <c r="J1194">
        <v>18.86792453</v>
      </c>
    </row>
    <row r="1195" spans="1:10" x14ac:dyDescent="0.3">
      <c r="A1195" t="str" cm="1">
        <f t="array" ref="A1195">IF(ROW()&lt;=COUNTA(Sheet1!A:A), INDEX(Sheet1!A:A, ROW()),
INDEX(Sheet4!A:A, ROW()-COUNTA(Sheet1!A:A)))</f>
        <v>Al24.9Cr33.2Fe8.2Co16.6Ni17.1</v>
      </c>
      <c r="B1195" s="10">
        <f>_xlfn.XLOOKUP(A1195, Sheet4!A:A, Sheet4!C:C)</f>
        <v>0</v>
      </c>
      <c r="C1195" s="10">
        <v>-1</v>
      </c>
      <c r="D1195" s="10">
        <f>_xlfn.XLOOKUP(A1195, Sheet2!A:A, Sheet2!B:B)</f>
        <v>6.5990000000000002</v>
      </c>
      <c r="E1195" s="10">
        <f>_xlfn.XLOOKUP(A1195, Sheet1!A:A, Sheet1!G:G)</f>
        <v>-1</v>
      </c>
      <c r="F1195" s="10">
        <f t="shared" si="18"/>
        <v>-1</v>
      </c>
      <c r="G1195" cm="1">
        <f t="array" ref="G1195:J1195">_xlfn.XLOOKUP(A1195, Sheet1!A:A, Sheet1!C:F)</f>
        <v>6</v>
      </c>
      <c r="H1195">
        <v>26.265999999999998</v>
      </c>
      <c r="I1195">
        <v>35.331000000000003</v>
      </c>
      <c r="J1195">
        <v>7.7328000000000001</v>
      </c>
    </row>
    <row r="1196" spans="1:10" x14ac:dyDescent="0.3">
      <c r="A1196" t="str" cm="1">
        <f t="array" ref="A1196">IF(ROW()&lt;=COUNTA(Sheet1!A:A), INDEX(Sheet1!A:A, ROW()),
INDEX(Sheet4!A:A, ROW()-COUNTA(Sheet1!A:A)))</f>
        <v>Al1.33NiCoFeCr</v>
      </c>
      <c r="B1196" s="10">
        <f>_xlfn.XLOOKUP(A1196, Sheet4!A:A, Sheet4!C:C)</f>
        <v>0</v>
      </c>
      <c r="C1196" s="10">
        <v>-1</v>
      </c>
      <c r="D1196" s="10">
        <f>_xlfn.XLOOKUP(A1196, Sheet2!A:A, Sheet2!B:B)</f>
        <v>6.94</v>
      </c>
      <c r="E1196" s="10">
        <f>_xlfn.XLOOKUP(A1196, Sheet1!A:A, Sheet1!G:G)</f>
        <v>-1</v>
      </c>
      <c r="F1196" s="10">
        <f t="shared" si="18"/>
        <v>-1</v>
      </c>
      <c r="G1196" cm="1">
        <f t="array" ref="G1196:J1196">_xlfn.XLOOKUP(A1196, Sheet1!A:A, Sheet1!C:F)</f>
        <v>16</v>
      </c>
      <c r="H1196">
        <v>32.9</v>
      </c>
      <c r="I1196">
        <v>9.6999999999999993</v>
      </c>
      <c r="J1196">
        <v>16.8</v>
      </c>
    </row>
    <row r="1197" spans="1:10" x14ac:dyDescent="0.3">
      <c r="A1197" t="str" cm="1">
        <f t="array" ref="A1197">IF(ROW()&lt;=COUNTA(Sheet1!A:A), INDEX(Sheet1!A:A, ROW()),
INDEX(Sheet4!A:A, ROW()-COUNTA(Sheet1!A:A)))</f>
        <v>Al24.999Cr33.087Fe21.637Co9.9821Ni10.295</v>
      </c>
      <c r="B1197" s="10">
        <f>_xlfn.XLOOKUP(A1197, Sheet4!A:A, Sheet4!C:C)</f>
        <v>0</v>
      </c>
      <c r="C1197" s="10">
        <v>-1</v>
      </c>
      <c r="D1197" s="10">
        <f>_xlfn.XLOOKUP(A1197, Sheet2!A:A, Sheet2!B:B)</f>
        <v>6.3940000000000001</v>
      </c>
      <c r="E1197" s="10">
        <f>_xlfn.XLOOKUP(A1197, Sheet1!A:A, Sheet1!G:G)</f>
        <v>-1</v>
      </c>
      <c r="F1197" s="10">
        <f t="shared" si="18"/>
        <v>-1</v>
      </c>
      <c r="G1197" cm="1">
        <f t="array" ref="G1197:J1197">_xlfn.XLOOKUP(A1197, Sheet1!A:A, Sheet1!C:F)</f>
        <v>15.961</v>
      </c>
      <c r="H1197">
        <v>32.905999999999999</v>
      </c>
      <c r="I1197">
        <v>9.6917000000000009</v>
      </c>
      <c r="J1197">
        <v>16.762</v>
      </c>
    </row>
    <row r="1198" spans="1:10" x14ac:dyDescent="0.3">
      <c r="A1198" t="str" cm="1">
        <f t="array" ref="A1198">IF(ROW()&lt;=COUNTA(Sheet1!A:A), INDEX(Sheet1!A:A, ROW()),
INDEX(Sheet4!A:A, ROW()-COUNTA(Sheet1!A:A)))</f>
        <v>Al25Cr33.1Fe21.6Co10Ni10.3</v>
      </c>
      <c r="B1198" s="10">
        <f>_xlfn.XLOOKUP(A1198, Sheet4!A:A, Sheet4!C:C)</f>
        <v>0</v>
      </c>
      <c r="C1198" s="10">
        <v>-1</v>
      </c>
      <c r="D1198" s="10">
        <f>_xlfn.XLOOKUP(A1198, Sheet2!A:A, Sheet2!B:B)</f>
        <v>6.3940000000000001</v>
      </c>
      <c r="E1198" s="10">
        <f>_xlfn.XLOOKUP(A1198, Sheet1!A:A, Sheet1!G:G)</f>
        <v>-1</v>
      </c>
      <c r="F1198" s="10">
        <f t="shared" si="18"/>
        <v>-1</v>
      </c>
      <c r="G1198" cm="1">
        <f t="array" ref="G1198:J1198">_xlfn.XLOOKUP(A1198, Sheet1!A:A, Sheet1!C:F)</f>
        <v>7.7811000000000003</v>
      </c>
      <c r="H1198">
        <v>24.591999999999999</v>
      </c>
      <c r="I1198">
        <v>32.719000000000001</v>
      </c>
      <c r="J1198">
        <v>10.220000000000001</v>
      </c>
    </row>
    <row r="1199" spans="1:10" x14ac:dyDescent="0.3">
      <c r="A1199" t="str" cm="1">
        <f t="array" ref="A1199">IF(ROW()&lt;=COUNTA(Sheet1!A:A), INDEX(Sheet1!A:A, ROW()),
INDEX(Sheet4!A:A, ROW()-COUNTA(Sheet1!A:A)))</f>
        <v>Al25Ni18.75Co18.75Fe18.75Cr18.75</v>
      </c>
      <c r="B1199" s="10" t="str">
        <f>_xlfn.XLOOKUP(A1199, Sheet4!A:A, Sheet4!C:C)</f>
        <v>BCC</v>
      </c>
      <c r="C1199" s="10">
        <v>0</v>
      </c>
      <c r="D1199" s="10">
        <f>_xlfn.XLOOKUP(A1199, Sheet2!A:A, Sheet2!B:B)</f>
        <v>6.9375</v>
      </c>
      <c r="E1199" s="10">
        <f>_xlfn.XLOOKUP(A1199, Sheet1!A:A, Sheet1!G:G)</f>
        <v>-1</v>
      </c>
      <c r="F1199" s="10">
        <f t="shared" si="18"/>
        <v>0</v>
      </c>
      <c r="G1199" cm="1">
        <f t="array" ref="G1199:J1199">_xlfn.XLOOKUP(A1199, Sheet1!A:A, Sheet1!C:F)</f>
        <v>14.157999999999999</v>
      </c>
      <c r="H1199">
        <v>18.518999999999998</v>
      </c>
      <c r="I1199">
        <v>24.381</v>
      </c>
      <c r="J1199">
        <v>18.247</v>
      </c>
    </row>
    <row r="1200" spans="1:10" x14ac:dyDescent="0.3">
      <c r="A1200" t="str" cm="1">
        <f t="array" ref="A1200">IF(ROW()&lt;=COUNTA(Sheet1!A:A), INDEX(Sheet1!A:A, ROW()),
INDEX(Sheet4!A:A, ROW()-COUNTA(Sheet1!A:A)))</f>
        <v>Al25.076Cr33.124Fe16.849Co12.019Ni12.933</v>
      </c>
      <c r="B1200" s="10">
        <f>_xlfn.XLOOKUP(A1200, Sheet4!A:A, Sheet4!C:C)</f>
        <v>0</v>
      </c>
      <c r="C1200" s="10">
        <v>-1</v>
      </c>
      <c r="D1200" s="10">
        <f>_xlfn.XLOOKUP(A1200, Sheet2!A:A, Sheet2!B:B)</f>
        <v>6.4626000000000001</v>
      </c>
      <c r="E1200" s="10">
        <f>_xlfn.XLOOKUP(A1200, Sheet1!A:A, Sheet1!G:G)</f>
        <v>-1</v>
      </c>
      <c r="F1200" s="10">
        <f t="shared" si="18"/>
        <v>-1</v>
      </c>
      <c r="G1200" cm="1">
        <f t="array" ref="G1200:J1200">_xlfn.XLOOKUP(A1200, Sheet1!A:A, Sheet1!C:F)</f>
        <v>6</v>
      </c>
      <c r="H1200">
        <v>26.3</v>
      </c>
      <c r="I1200">
        <v>35.299999999999997</v>
      </c>
      <c r="J1200">
        <v>7.7</v>
      </c>
    </row>
    <row r="1201" spans="1:10" x14ac:dyDescent="0.3">
      <c r="A1201" t="str" cm="1">
        <f t="array" ref="A1201">IF(ROW()&lt;=COUNTA(Sheet1!A:A), INDEX(Sheet1!A:A, ROW()),
INDEX(Sheet4!A:A, ROW()-COUNTA(Sheet1!A:A)))</f>
        <v>Al25.1Cr33.1Fe16.8Co12Ni12.9</v>
      </c>
      <c r="B1201" s="10">
        <f>_xlfn.XLOOKUP(A1201, Sheet4!A:A, Sheet4!C:C)</f>
        <v>0</v>
      </c>
      <c r="C1201" s="10">
        <v>-1</v>
      </c>
      <c r="D1201" s="10">
        <f>_xlfn.XLOOKUP(A1201, Sheet2!A:A, Sheet2!B:B)</f>
        <v>6.4595000000000002</v>
      </c>
      <c r="E1201" s="10">
        <f>_xlfn.XLOOKUP(A1201, Sheet1!A:A, Sheet1!G:G)</f>
        <v>-1</v>
      </c>
      <c r="F1201" s="10">
        <f t="shared" si="18"/>
        <v>-1</v>
      </c>
      <c r="G1201" cm="1">
        <f t="array" ref="G1201:J1201">_xlfn.XLOOKUP(A1201, Sheet1!A:A, Sheet1!C:F)</f>
        <v>7.8</v>
      </c>
      <c r="H1201">
        <v>24.6</v>
      </c>
      <c r="I1201">
        <v>32.700000000000003</v>
      </c>
      <c r="J1201">
        <v>10.199999999999999</v>
      </c>
    </row>
    <row r="1202" spans="1:10" x14ac:dyDescent="0.3">
      <c r="A1202" t="str" cm="1">
        <f t="array" ref="A1202">IF(ROW()&lt;=COUNTA(Sheet1!A:A), INDEX(Sheet1!A:A, ROW()),
INDEX(Sheet4!A:A, ROW()-COUNTA(Sheet1!A:A)))</f>
        <v>Al25.154Cr22.38Fe29.816Co9.8614Ni12.789</v>
      </c>
      <c r="B1202" s="10">
        <f>_xlfn.XLOOKUP(A1202, Sheet4!A:A, Sheet4!C:C)</f>
        <v>0</v>
      </c>
      <c r="C1202" s="10">
        <v>-1</v>
      </c>
      <c r="D1202" s="10">
        <f>_xlfn.XLOOKUP(A1202, Sheet2!A:A, Sheet2!B:B)</f>
        <v>6.6490999999999998</v>
      </c>
      <c r="E1202" s="10">
        <f>_xlfn.XLOOKUP(A1202, Sheet1!A:A, Sheet1!G:G)</f>
        <v>-1</v>
      </c>
      <c r="F1202" s="10">
        <f t="shared" si="18"/>
        <v>-1</v>
      </c>
      <c r="G1202" cm="1">
        <f t="array" ref="G1202:J1202">_xlfn.XLOOKUP(A1202, Sheet1!A:A, Sheet1!C:F)</f>
        <v>14.2</v>
      </c>
      <c r="H1202">
        <v>18.5</v>
      </c>
      <c r="I1202">
        <v>24.4</v>
      </c>
      <c r="J1202">
        <v>18.2</v>
      </c>
    </row>
    <row r="1203" spans="1:10" x14ac:dyDescent="0.3">
      <c r="A1203" t="str" cm="1">
        <f t="array" ref="A1203">IF(ROW()&lt;=COUNTA(Sheet1!A:A), INDEX(Sheet1!A:A, ROW()),
INDEX(Sheet4!A:A, ROW()-COUNTA(Sheet1!A:A)))</f>
        <v>Al25.2Cr22.4Fe29.8Co9.9Ni12.8</v>
      </c>
      <c r="B1203" s="10">
        <f>_xlfn.XLOOKUP(A1203, Sheet4!A:A, Sheet4!C:C)</f>
        <v>0</v>
      </c>
      <c r="C1203" s="10">
        <v>-1</v>
      </c>
      <c r="D1203" s="10">
        <f>_xlfn.XLOOKUP(A1203, Sheet2!A:A, Sheet2!B:B)</f>
        <v>6.6483999999999996</v>
      </c>
      <c r="E1203" s="10">
        <f>_xlfn.XLOOKUP(A1203, Sheet1!A:A, Sheet1!G:G)</f>
        <v>-1</v>
      </c>
      <c r="F1203" s="10">
        <f t="shared" si="18"/>
        <v>-1</v>
      </c>
      <c r="G1203" cm="1">
        <f t="array" ref="G1203:J1203">_xlfn.XLOOKUP(A1203, Sheet1!A:A, Sheet1!C:F)</f>
        <v>16.626000000000001</v>
      </c>
      <c r="H1203">
        <v>33.237000000000002</v>
      </c>
      <c r="I1203">
        <v>8.1593</v>
      </c>
      <c r="J1203">
        <v>17.122</v>
      </c>
    </row>
    <row r="1204" spans="1:10" x14ac:dyDescent="0.3">
      <c r="A1204" t="str" cm="1">
        <f t="array" ref="A1204">IF(ROW()&lt;=COUNTA(Sheet1!A:A), INDEX(Sheet1!A:A, ROW()),
INDEX(Sheet4!A:A, ROW()-COUNTA(Sheet1!A:A)))</f>
        <v>Al25.2Cr31.6Fe26.8Co8Ni8.4</v>
      </c>
      <c r="B1204" s="10">
        <f>_xlfn.XLOOKUP(A1204, Sheet4!A:A, Sheet4!C:C)</f>
        <v>0</v>
      </c>
      <c r="C1204" s="10">
        <v>-1</v>
      </c>
      <c r="D1204" s="10">
        <f>_xlfn.XLOOKUP(A1204, Sheet2!A:A, Sheet2!B:B)</f>
        <v>6.3559999999999999</v>
      </c>
      <c r="E1204" s="10">
        <f>_xlfn.XLOOKUP(A1204, Sheet1!A:A, Sheet1!G:G)</f>
        <v>-1</v>
      </c>
      <c r="F1204" s="10">
        <f t="shared" si="18"/>
        <v>-1</v>
      </c>
      <c r="G1204" cm="1">
        <f t="array" ref="G1204:J1204">_xlfn.XLOOKUP(A1204, Sheet1!A:A, Sheet1!C:F)</f>
        <v>16.600000000000001</v>
      </c>
      <c r="H1204">
        <v>33.200000000000003</v>
      </c>
      <c r="I1204">
        <v>8.1999999999999993</v>
      </c>
      <c r="J1204">
        <v>17.100000000000001</v>
      </c>
    </row>
    <row r="1205" spans="1:10" x14ac:dyDescent="0.3">
      <c r="A1205" t="str" cm="1">
        <f t="array" ref="A1205">IF(ROW()&lt;=COUNTA(Sheet1!A:A), INDEX(Sheet1!A:A, ROW()),
INDEX(Sheet4!A:A, ROW()-COUNTA(Sheet1!A:A)))</f>
        <v>Al25.2Cr33.5Fe7.2Co16.7Ni17.4</v>
      </c>
      <c r="B1205" s="10">
        <f>_xlfn.XLOOKUP(A1205, Sheet4!A:A, Sheet4!C:C)</f>
        <v>0</v>
      </c>
      <c r="C1205" s="10">
        <v>-1</v>
      </c>
      <c r="D1205" s="10">
        <f>_xlfn.XLOOKUP(A1205, Sheet2!A:A, Sheet2!B:B)</f>
        <v>6.585</v>
      </c>
      <c r="E1205" s="10">
        <f>_xlfn.XLOOKUP(A1205, Sheet1!A:A, Sheet1!G:G)</f>
        <v>-1</v>
      </c>
      <c r="F1205" s="10">
        <f t="shared" si="18"/>
        <v>-1</v>
      </c>
      <c r="G1205" cm="1">
        <f t="array" ref="G1205:J1205">_xlfn.XLOOKUP(A1205, Sheet1!A:A, Sheet1!C:F)</f>
        <v>18.761726079999999</v>
      </c>
      <c r="H1205">
        <v>18.761726079999999</v>
      </c>
      <c r="I1205">
        <v>18.761726079999999</v>
      </c>
      <c r="J1205">
        <v>18.761726079999999</v>
      </c>
    </row>
    <row r="1206" spans="1:10" x14ac:dyDescent="0.3">
      <c r="A1206" t="str" cm="1">
        <f t="array" ref="A1206">IF(ROW()&lt;=COUNTA(Sheet1!A:A), INDEX(Sheet1!A:A, ROW()),
INDEX(Sheet4!A:A, ROW()-COUNTA(Sheet1!A:A)))</f>
        <v>Al25.217Cr31.592Fe26.845Co7.9949Ni8.3508</v>
      </c>
      <c r="B1206" s="10">
        <f>_xlfn.XLOOKUP(A1206, Sheet4!A:A, Sheet4!C:C)</f>
        <v>0</v>
      </c>
      <c r="C1206" s="10">
        <v>-1</v>
      </c>
      <c r="D1206" s="10">
        <f>_xlfn.XLOOKUP(A1206, Sheet2!A:A, Sheet2!B:B)</f>
        <v>6.3543000000000003</v>
      </c>
      <c r="E1206" s="10">
        <f>_xlfn.XLOOKUP(A1206, Sheet1!A:A, Sheet1!G:G)</f>
        <v>-1</v>
      </c>
      <c r="F1206" s="10">
        <f t="shared" si="18"/>
        <v>-1</v>
      </c>
      <c r="G1206" cm="1">
        <f t="array" ref="G1206:J1206">_xlfn.XLOOKUP(A1206, Sheet1!A:A, Sheet1!C:F)</f>
        <v>9.9821000000000009</v>
      </c>
      <c r="H1206">
        <v>33.087000000000003</v>
      </c>
      <c r="I1206">
        <v>21.637</v>
      </c>
      <c r="J1206">
        <v>10.295</v>
      </c>
    </row>
    <row r="1207" spans="1:10" x14ac:dyDescent="0.3">
      <c r="A1207" t="str" cm="1">
        <f t="array" ref="A1207">IF(ROW()&lt;=COUNTA(Sheet1!A:A), INDEX(Sheet1!A:A, ROW()),
INDEX(Sheet4!A:A, ROW()-COUNTA(Sheet1!A:A)))</f>
        <v>Al25.229Cr33.491Fe7.1736Co16.733Ni17.373</v>
      </c>
      <c r="B1207" s="10">
        <f>_xlfn.XLOOKUP(A1207, Sheet4!A:A, Sheet4!C:C)</f>
        <v>0</v>
      </c>
      <c r="C1207" s="10">
        <v>-1</v>
      </c>
      <c r="D1207" s="10">
        <f>_xlfn.XLOOKUP(A1207, Sheet2!A:A, Sheet2!B:B)</f>
        <v>6.5834999999999999</v>
      </c>
      <c r="E1207" s="10">
        <f>_xlfn.XLOOKUP(A1207, Sheet1!A:A, Sheet1!G:G)</f>
        <v>-1</v>
      </c>
      <c r="F1207" s="10">
        <f t="shared" si="18"/>
        <v>-1</v>
      </c>
      <c r="G1207" cm="1">
        <f t="array" ref="G1207:J1207">_xlfn.XLOOKUP(A1207, Sheet1!A:A, Sheet1!C:F)</f>
        <v>10</v>
      </c>
      <c r="H1207">
        <v>33.1</v>
      </c>
      <c r="I1207">
        <v>21.6</v>
      </c>
      <c r="J1207">
        <v>10.3</v>
      </c>
    </row>
    <row r="1208" spans="1:10" x14ac:dyDescent="0.3">
      <c r="A1208" t="str" cm="1">
        <f t="array" ref="A1208">IF(ROW()&lt;=COUNTA(Sheet1!A:A), INDEX(Sheet1!A:A, ROW()),
INDEX(Sheet4!A:A, ROW()-COUNTA(Sheet1!A:A)))</f>
        <v>Al25.56Cr16.72Fe22.379Co15.684Ni19.657</v>
      </c>
      <c r="B1208" s="10">
        <f>_xlfn.XLOOKUP(A1208, Sheet4!A:A, Sheet4!C:C)</f>
        <v>0</v>
      </c>
      <c r="C1208" s="10">
        <v>-1</v>
      </c>
      <c r="D1208" s="10">
        <f>_xlfn.XLOOKUP(A1208, Sheet2!A:A, Sheet2!B:B)</f>
        <v>6.9375999999999998</v>
      </c>
      <c r="E1208" s="10">
        <f>_xlfn.XLOOKUP(A1208, Sheet1!A:A, Sheet1!G:G)</f>
        <v>-1</v>
      </c>
      <c r="F1208" s="10">
        <f t="shared" si="18"/>
        <v>-1</v>
      </c>
      <c r="G1208" cm="1">
        <f t="array" ref="G1208:J1208">_xlfn.XLOOKUP(A1208, Sheet1!A:A, Sheet1!C:F)</f>
        <v>18.75</v>
      </c>
      <c r="H1208">
        <v>18.75</v>
      </c>
      <c r="I1208">
        <v>18.75</v>
      </c>
      <c r="J1208">
        <v>18.75</v>
      </c>
    </row>
    <row r="1209" spans="1:10" x14ac:dyDescent="0.3">
      <c r="A1209" t="str" cm="1">
        <f t="array" ref="A1209">IF(ROW()&lt;=COUNTA(Sheet1!A:A), INDEX(Sheet1!A:A, ROW()),
INDEX(Sheet4!A:A, ROW()-COUNTA(Sheet1!A:A)))</f>
        <v>Al25.6Cr16.7Fe22.4Co15.7Ni19.7</v>
      </c>
      <c r="B1209" s="10">
        <f>_xlfn.XLOOKUP(A1209, Sheet4!A:A, Sheet4!C:C)</f>
        <v>0</v>
      </c>
      <c r="C1209" s="10">
        <v>-1</v>
      </c>
      <c r="D1209" s="10">
        <f>_xlfn.XLOOKUP(A1209, Sheet2!A:A, Sheet2!B:B)</f>
        <v>6.9381000000000004</v>
      </c>
      <c r="E1209" s="10">
        <f>_xlfn.XLOOKUP(A1209, Sheet1!A:A, Sheet1!G:G)</f>
        <v>-1</v>
      </c>
      <c r="F1209" s="10">
        <f t="shared" si="18"/>
        <v>-1</v>
      </c>
      <c r="G1209" cm="1">
        <f t="array" ref="G1209:J1209">_xlfn.XLOOKUP(A1209, Sheet1!A:A, Sheet1!C:F)</f>
        <v>12.019</v>
      </c>
      <c r="H1209">
        <v>33.124000000000002</v>
      </c>
      <c r="I1209">
        <v>16.849</v>
      </c>
      <c r="J1209">
        <v>12.933</v>
      </c>
    </row>
    <row r="1210" spans="1:10" x14ac:dyDescent="0.3">
      <c r="A1210" t="str" cm="1">
        <f t="array" ref="A1210">IF(ROW()&lt;=COUNTA(Sheet1!A:A), INDEX(Sheet1!A:A, ROW()),
INDEX(Sheet4!A:A, ROW()-COUNTA(Sheet1!A:A)))</f>
        <v>Al25.682Cr14.016Fe18.41Co18.288Ni23.604</v>
      </c>
      <c r="B1210" s="10">
        <f>_xlfn.XLOOKUP(A1210, Sheet4!A:A, Sheet4!C:C)</f>
        <v>0</v>
      </c>
      <c r="C1210" s="10">
        <v>-1</v>
      </c>
      <c r="D1210" s="10">
        <f>_xlfn.XLOOKUP(A1210, Sheet2!A:A, Sheet2!B:B)</f>
        <v>7.0904999999999996</v>
      </c>
      <c r="E1210" s="10">
        <f>_xlfn.XLOOKUP(A1210, Sheet1!A:A, Sheet1!G:G)</f>
        <v>-1</v>
      </c>
      <c r="F1210" s="10">
        <f t="shared" si="18"/>
        <v>-1</v>
      </c>
      <c r="G1210" cm="1">
        <f t="array" ref="G1210:J1210">_xlfn.XLOOKUP(A1210, Sheet1!A:A, Sheet1!C:F)</f>
        <v>12</v>
      </c>
      <c r="H1210">
        <v>33.1</v>
      </c>
      <c r="I1210">
        <v>16.8</v>
      </c>
      <c r="J1210">
        <v>12.9</v>
      </c>
    </row>
    <row r="1211" spans="1:10" x14ac:dyDescent="0.3">
      <c r="A1211" t="str" cm="1">
        <f t="array" ref="A1211">IF(ROW()&lt;=COUNTA(Sheet1!A:A), INDEX(Sheet1!A:A, ROW()),
INDEX(Sheet4!A:A, ROW()-COUNTA(Sheet1!A:A)))</f>
        <v>Al25.689Cr33.652Fe6.2264Co16.926Ni17.507</v>
      </c>
      <c r="B1211" s="10">
        <f>_xlfn.XLOOKUP(A1211, Sheet4!A:A, Sheet4!C:C)</f>
        <v>0</v>
      </c>
      <c r="C1211" s="10">
        <v>-1</v>
      </c>
      <c r="D1211" s="10">
        <f>_xlfn.XLOOKUP(A1211, Sheet2!A:A, Sheet2!B:B)</f>
        <v>6.5618999999999996</v>
      </c>
      <c r="E1211" s="10">
        <f>_xlfn.XLOOKUP(A1211, Sheet1!A:A, Sheet1!G:G)</f>
        <v>-1</v>
      </c>
      <c r="F1211" s="10">
        <f t="shared" si="18"/>
        <v>-1</v>
      </c>
      <c r="G1211" cm="1">
        <f t="array" ref="G1211:J1211">_xlfn.XLOOKUP(A1211, Sheet1!A:A, Sheet1!C:F)</f>
        <v>9.8613999999999997</v>
      </c>
      <c r="H1211">
        <v>22.38</v>
      </c>
      <c r="I1211">
        <v>29.815999999999999</v>
      </c>
      <c r="J1211">
        <v>12.789</v>
      </c>
    </row>
    <row r="1212" spans="1:10" x14ac:dyDescent="0.3">
      <c r="A1212" t="str" cm="1">
        <f t="array" ref="A1212">IF(ROW()&lt;=COUNTA(Sheet1!A:A), INDEX(Sheet1!A:A, ROW()),
INDEX(Sheet4!A:A, ROW()-COUNTA(Sheet1!A:A)))</f>
        <v>Al25.7Cr33.7Fe6.2Co16.9Ni17.5</v>
      </c>
      <c r="B1212" s="10">
        <f>_xlfn.XLOOKUP(A1212, Sheet4!A:A, Sheet4!C:C)</f>
        <v>0</v>
      </c>
      <c r="C1212" s="10">
        <v>-1</v>
      </c>
      <c r="D1212" s="10">
        <f>_xlfn.XLOOKUP(A1212, Sheet2!A:A, Sheet2!B:B)</f>
        <v>6.56</v>
      </c>
      <c r="E1212" s="10">
        <f>_xlfn.XLOOKUP(A1212, Sheet1!A:A, Sheet1!G:G)</f>
        <v>-1</v>
      </c>
      <c r="F1212" s="10">
        <f t="shared" si="18"/>
        <v>-1</v>
      </c>
      <c r="G1212" cm="1">
        <f t="array" ref="G1212:J1212">_xlfn.XLOOKUP(A1212, Sheet1!A:A, Sheet1!C:F)</f>
        <v>9.9</v>
      </c>
      <c r="H1212">
        <v>22.4</v>
      </c>
      <c r="I1212">
        <v>29.8</v>
      </c>
      <c r="J1212">
        <v>12.8</v>
      </c>
    </row>
    <row r="1213" spans="1:10" x14ac:dyDescent="0.3">
      <c r="A1213" t="str" cm="1">
        <f t="array" ref="A1213">IF(ROW()&lt;=COUNTA(Sheet1!A:A), INDEX(Sheet1!A:A, ROW()),
INDEX(Sheet4!A:A, ROW()-COUNTA(Sheet1!A:A)))</f>
        <v>Al25.7Cr14Fe18.4Co18.3Ni23.6</v>
      </c>
      <c r="B1213" s="10">
        <f>_xlfn.XLOOKUP(A1213, Sheet4!A:A, Sheet4!C:C)</f>
        <v>0</v>
      </c>
      <c r="C1213" s="10">
        <v>-1</v>
      </c>
      <c r="D1213" s="10">
        <f>_xlfn.XLOOKUP(A1213, Sheet2!A:A, Sheet2!B:B)</f>
        <v>7.09</v>
      </c>
      <c r="E1213" s="10">
        <f>_xlfn.XLOOKUP(A1213, Sheet1!A:A, Sheet1!G:G)</f>
        <v>-1</v>
      </c>
      <c r="F1213" s="10">
        <f t="shared" si="18"/>
        <v>-1</v>
      </c>
      <c r="G1213" cm="1">
        <f t="array" ref="G1213:J1213">_xlfn.XLOOKUP(A1213, Sheet1!A:A, Sheet1!C:F)</f>
        <v>8</v>
      </c>
      <c r="H1213">
        <v>31.6</v>
      </c>
      <c r="I1213">
        <v>26.8</v>
      </c>
      <c r="J1213">
        <v>8.4</v>
      </c>
    </row>
    <row r="1214" spans="1:10" x14ac:dyDescent="0.3">
      <c r="A1214" t="str" cm="1">
        <f t="array" ref="A1214">IF(ROW()&lt;=COUNTA(Sheet1!A:A), INDEX(Sheet1!A:A, ROW()),
INDEX(Sheet4!A:A, ROW()-COUNTA(Sheet1!A:A)))</f>
        <v>Al25.797Cr15.306Fe20.371Co16.989Ni21.537</v>
      </c>
      <c r="B1214" s="10">
        <f>_xlfn.XLOOKUP(A1214, Sheet4!A:A, Sheet4!C:C)</f>
        <v>0</v>
      </c>
      <c r="C1214" s="10">
        <v>-1</v>
      </c>
      <c r="D1214" s="10">
        <f>_xlfn.XLOOKUP(A1214, Sheet2!A:A, Sheet2!B:B)</f>
        <v>7.0046999999999997</v>
      </c>
      <c r="E1214" s="10">
        <f>_xlfn.XLOOKUP(A1214, Sheet1!A:A, Sheet1!G:G)</f>
        <v>-1</v>
      </c>
      <c r="F1214" s="10">
        <f t="shared" si="18"/>
        <v>-1</v>
      </c>
      <c r="G1214" cm="1">
        <f t="array" ref="G1214:J1214">_xlfn.XLOOKUP(A1214, Sheet1!A:A, Sheet1!C:F)</f>
        <v>16.7</v>
      </c>
      <c r="H1214">
        <v>33.5</v>
      </c>
      <c r="I1214">
        <v>7.2</v>
      </c>
      <c r="J1214">
        <v>17.399999999999999</v>
      </c>
    </row>
    <row r="1215" spans="1:10" x14ac:dyDescent="0.3">
      <c r="A1215" t="str" cm="1">
        <f t="array" ref="A1215">IF(ROW()&lt;=COUNTA(Sheet1!A:A), INDEX(Sheet1!A:A, ROW()),
INDEX(Sheet4!A:A, ROW()-COUNTA(Sheet1!A:A)))</f>
        <v>Al25.8Cr15.3Fe20.4Co17Ni21.5</v>
      </c>
      <c r="B1215" s="10">
        <f>_xlfn.XLOOKUP(A1215, Sheet4!A:A, Sheet4!C:C)</f>
        <v>0</v>
      </c>
      <c r="C1215" s="10">
        <v>-1</v>
      </c>
      <c r="D1215" s="10">
        <f>_xlfn.XLOOKUP(A1215, Sheet2!A:A, Sheet2!B:B)</f>
        <v>7.0039999999999996</v>
      </c>
      <c r="E1215" s="10">
        <f>_xlfn.XLOOKUP(A1215, Sheet1!A:A, Sheet1!G:G)</f>
        <v>-1</v>
      </c>
      <c r="F1215" s="10">
        <f t="shared" si="18"/>
        <v>-1</v>
      </c>
      <c r="G1215" cm="1">
        <f t="array" ref="G1215:J1215">_xlfn.XLOOKUP(A1215, Sheet1!A:A, Sheet1!C:F)</f>
        <v>7.9949000000000003</v>
      </c>
      <c r="H1215">
        <v>31.591999999999999</v>
      </c>
      <c r="I1215">
        <v>26.844999999999999</v>
      </c>
      <c r="J1215">
        <v>8.3507999999999996</v>
      </c>
    </row>
    <row r="1216" spans="1:10" x14ac:dyDescent="0.3">
      <c r="A1216" t="str" cm="1">
        <f t="array" ref="A1216">IF(ROW()&lt;=COUNTA(Sheet1!A:A), INDEX(Sheet1!A:A, ROW()),
INDEX(Sheet4!A:A, ROW()-COUNTA(Sheet1!A:A)))</f>
        <v>Al25.8Cr34.5Fe18.5Co10.3Ni10.8</v>
      </c>
      <c r="B1216" s="10">
        <f>_xlfn.XLOOKUP(A1216, Sheet4!A:A, Sheet4!C:C)</f>
        <v>0</v>
      </c>
      <c r="C1216" s="10">
        <v>-1</v>
      </c>
      <c r="D1216" s="10">
        <f>_xlfn.XLOOKUP(A1216, Sheet2!A:A, Sheet2!B:B)</f>
        <v>6.3372999999999999</v>
      </c>
      <c r="E1216" s="10">
        <f>_xlfn.XLOOKUP(A1216, Sheet1!A:A, Sheet1!G:G)</f>
        <v>-1</v>
      </c>
      <c r="F1216" s="10">
        <f t="shared" si="18"/>
        <v>-1</v>
      </c>
      <c r="G1216" cm="1">
        <f t="array" ref="G1216:J1216">_xlfn.XLOOKUP(A1216, Sheet1!A:A, Sheet1!C:F)</f>
        <v>16.733000000000001</v>
      </c>
      <c r="H1216">
        <v>33.491</v>
      </c>
      <c r="I1216">
        <v>7.1736000000000004</v>
      </c>
      <c r="J1216">
        <v>17.373000000000001</v>
      </c>
    </row>
    <row r="1217" spans="1:10" x14ac:dyDescent="0.3">
      <c r="A1217" t="str" cm="1">
        <f t="array" ref="A1217">IF(ROW()&lt;=COUNTA(Sheet1!A:A), INDEX(Sheet1!A:A, ROW()),
INDEX(Sheet4!A:A, ROW()-COUNTA(Sheet1!A:A)))</f>
        <v>Al25.844Cr34.517Fe18.489Co10.34Ni10.81</v>
      </c>
      <c r="B1217" s="10">
        <f>_xlfn.XLOOKUP(A1217, Sheet4!A:A, Sheet4!C:C)</f>
        <v>0</v>
      </c>
      <c r="C1217" s="10">
        <v>-1</v>
      </c>
      <c r="D1217" s="10">
        <f>_xlfn.XLOOKUP(A1217, Sheet2!A:A, Sheet2!B:B)</f>
        <v>6.3371000000000004</v>
      </c>
      <c r="E1217" s="10">
        <f>_xlfn.XLOOKUP(A1217, Sheet1!A:A, Sheet1!G:G)</f>
        <v>-1</v>
      </c>
      <c r="F1217" s="10">
        <f t="shared" si="18"/>
        <v>-1</v>
      </c>
      <c r="G1217" cm="1">
        <f t="array" ref="G1217:J1217">_xlfn.XLOOKUP(A1217, Sheet1!A:A, Sheet1!C:F)</f>
        <v>15.683999999999999</v>
      </c>
      <c r="H1217">
        <v>16.72</v>
      </c>
      <c r="I1217">
        <v>22.379000000000001</v>
      </c>
      <c r="J1217">
        <v>19.657</v>
      </c>
    </row>
    <row r="1218" spans="1:10" x14ac:dyDescent="0.3">
      <c r="A1218" t="str" cm="1">
        <f t="array" ref="A1218">IF(ROW()&lt;=COUNTA(Sheet1!A:A), INDEX(Sheet1!A:A, ROW()),
INDEX(Sheet4!A:A, ROW()-COUNTA(Sheet1!A:A)))</f>
        <v>Al1.4CoCrFeNi</v>
      </c>
      <c r="B1218" s="10">
        <f>_xlfn.XLOOKUP(A1218, Sheet4!A:A, Sheet4!C:C)</f>
        <v>0</v>
      </c>
      <c r="C1218" s="10">
        <v>-1</v>
      </c>
      <c r="D1218" s="10">
        <f>_xlfn.XLOOKUP(A1218, Sheet2!A:A, Sheet2!B:B)</f>
        <v>6.8888999999999996</v>
      </c>
      <c r="E1218" s="10">
        <f>_xlfn.XLOOKUP(A1218, Sheet1!A:A, Sheet1!G:G)</f>
        <v>-1</v>
      </c>
      <c r="F1218" s="10">
        <f t="shared" si="18"/>
        <v>-1</v>
      </c>
      <c r="G1218" cm="1">
        <f t="array" ref="G1218:J1218">_xlfn.XLOOKUP(A1218, Sheet1!A:A, Sheet1!C:F)</f>
        <v>15.7</v>
      </c>
      <c r="H1218">
        <v>16.7</v>
      </c>
      <c r="I1218">
        <v>22.4</v>
      </c>
      <c r="J1218">
        <v>19.7</v>
      </c>
    </row>
    <row r="1219" spans="1:10" x14ac:dyDescent="0.3">
      <c r="A1219" t="str" cm="1">
        <f t="array" ref="A1219">IF(ROW()&lt;=COUNTA(Sheet1!A:A), INDEX(Sheet1!A:A, ROW()),
INDEX(Sheet4!A:A, ROW()-COUNTA(Sheet1!A:A)))</f>
        <v>Al25.961Cr34.228Fe14.225Co12.518Ni13.067</v>
      </c>
      <c r="B1219" s="10">
        <f>_xlfn.XLOOKUP(A1219, Sheet4!A:A, Sheet4!C:C)</f>
        <v>0</v>
      </c>
      <c r="C1219" s="10">
        <v>-1</v>
      </c>
      <c r="D1219" s="10">
        <f>_xlfn.XLOOKUP(A1219, Sheet2!A:A, Sheet2!B:B)</f>
        <v>6.4039000000000001</v>
      </c>
      <c r="E1219" s="10">
        <f>_xlfn.XLOOKUP(A1219, Sheet1!A:A, Sheet1!G:G)</f>
        <v>-1</v>
      </c>
      <c r="F1219" s="10">
        <f t="shared" ref="F1219:F1282" si="19">IF(OR(C1219=1, E1219=1), 1,
   IF(OR(C1219=0, E1219=0), 0,
      -1))</f>
        <v>-1</v>
      </c>
      <c r="G1219" cm="1">
        <f t="array" ref="G1219:J1219">_xlfn.XLOOKUP(A1219, Sheet1!A:A, Sheet1!C:F)</f>
        <v>18.288</v>
      </c>
      <c r="H1219">
        <v>14.016</v>
      </c>
      <c r="I1219">
        <v>18.41</v>
      </c>
      <c r="J1219">
        <v>23.603999999999999</v>
      </c>
    </row>
    <row r="1220" spans="1:10" x14ac:dyDescent="0.3">
      <c r="A1220" t="str" cm="1">
        <f t="array" ref="A1220">IF(ROW()&lt;=COUNTA(Sheet1!A:A), INDEX(Sheet1!A:A, ROW()),
INDEX(Sheet4!A:A, ROW()-COUNTA(Sheet1!A:A)))</f>
        <v>Al26Cr34.2Fe14.2Co12.5Ni13.1</v>
      </c>
      <c r="B1220" s="10">
        <f>_xlfn.XLOOKUP(A1220, Sheet4!A:A, Sheet4!C:C)</f>
        <v>0</v>
      </c>
      <c r="C1220" s="10">
        <v>-1</v>
      </c>
      <c r="D1220" s="10">
        <f>_xlfn.XLOOKUP(A1220, Sheet2!A:A, Sheet2!B:B)</f>
        <v>6.4029999999999996</v>
      </c>
      <c r="E1220" s="10">
        <f>_xlfn.XLOOKUP(A1220, Sheet1!A:A, Sheet1!G:G)</f>
        <v>-1</v>
      </c>
      <c r="F1220" s="10">
        <f t="shared" si="19"/>
        <v>-1</v>
      </c>
      <c r="G1220" cm="1">
        <f t="array" ref="G1220:J1220">_xlfn.XLOOKUP(A1220, Sheet1!A:A, Sheet1!C:F)</f>
        <v>16.925999999999998</v>
      </c>
      <c r="H1220">
        <v>33.652000000000001</v>
      </c>
      <c r="I1220">
        <v>6.2263999999999999</v>
      </c>
      <c r="J1220">
        <v>17.507000000000001</v>
      </c>
    </row>
    <row r="1221" spans="1:10" x14ac:dyDescent="0.3">
      <c r="A1221" t="str" cm="1">
        <f t="array" ref="A1221">IF(ROW()&lt;=COUNTA(Sheet1!A:A), INDEX(Sheet1!A:A, ROW()),
INDEX(Sheet4!A:A, ROW()-COUNTA(Sheet1!A:A)))</f>
        <v>Al26Cr35Fe12.3Co12.9Ni13.8</v>
      </c>
      <c r="B1221" s="10">
        <f>_xlfn.XLOOKUP(A1221, Sheet4!A:A, Sheet4!C:C)</f>
        <v>0</v>
      </c>
      <c r="C1221" s="10">
        <v>-1</v>
      </c>
      <c r="D1221" s="10">
        <f>_xlfn.XLOOKUP(A1221, Sheet2!A:A, Sheet2!B:B)</f>
        <v>6.4050000000000002</v>
      </c>
      <c r="E1221" s="10">
        <f>_xlfn.XLOOKUP(A1221, Sheet1!A:A, Sheet1!G:G)</f>
        <v>-1</v>
      </c>
      <c r="F1221" s="10">
        <f t="shared" si="19"/>
        <v>-1</v>
      </c>
      <c r="G1221" cm="1">
        <f t="array" ref="G1221:J1221">_xlfn.XLOOKUP(A1221, Sheet1!A:A, Sheet1!C:F)</f>
        <v>16.899999999999999</v>
      </c>
      <c r="H1221">
        <v>33.700000000000003</v>
      </c>
      <c r="I1221">
        <v>6.2</v>
      </c>
      <c r="J1221">
        <v>17.5</v>
      </c>
    </row>
    <row r="1222" spans="1:10" x14ac:dyDescent="0.3">
      <c r="A1222" t="str" cm="1">
        <f t="array" ref="A1222">IF(ROW()&lt;=COUNTA(Sheet1!A:A), INDEX(Sheet1!A:A, ROW()),
INDEX(Sheet4!A:A, ROW()-COUNTA(Sheet1!A:A)))</f>
        <v>Al26.018Cr35.028Fe12.275Co12.868Ni13.81</v>
      </c>
      <c r="B1222" s="10">
        <f>_xlfn.XLOOKUP(A1222, Sheet4!A:A, Sheet4!C:C)</f>
        <v>0</v>
      </c>
      <c r="C1222" s="10">
        <v>-1</v>
      </c>
      <c r="D1222" s="10">
        <f>_xlfn.XLOOKUP(A1222, Sheet2!A:A, Sheet2!B:B)</f>
        <v>6.4034000000000004</v>
      </c>
      <c r="E1222" s="10">
        <f>_xlfn.XLOOKUP(A1222, Sheet1!A:A, Sheet1!G:G)</f>
        <v>-1</v>
      </c>
      <c r="F1222" s="10">
        <f t="shared" si="19"/>
        <v>-1</v>
      </c>
      <c r="G1222" cm="1">
        <f t="array" ref="G1222:J1222">_xlfn.XLOOKUP(A1222, Sheet1!A:A, Sheet1!C:F)</f>
        <v>18.3</v>
      </c>
      <c r="H1222">
        <v>14</v>
      </c>
      <c r="I1222">
        <v>18.399999999999999</v>
      </c>
      <c r="J1222">
        <v>23.6</v>
      </c>
    </row>
    <row r="1223" spans="1:10" x14ac:dyDescent="0.3">
      <c r="A1223" t="str" cm="1">
        <f t="array" ref="A1223">IF(ROW()&lt;=COUNTA(Sheet1!A:A), INDEX(Sheet1!A:A, ROW()),
INDEX(Sheet4!A:A, ROW()-COUNTA(Sheet1!A:A)))</f>
        <v>Al26Cr33.6Fe23.1Co8.4Ni8.8</v>
      </c>
      <c r="B1223" s="10">
        <f>_xlfn.XLOOKUP(A1223, Sheet4!A:A, Sheet4!C:C)</f>
        <v>0</v>
      </c>
      <c r="C1223" s="10">
        <v>-1</v>
      </c>
      <c r="D1223" s="10">
        <f>_xlfn.XLOOKUP(A1223, Sheet2!A:A, Sheet2!B:B)</f>
        <v>6.2862999999999998</v>
      </c>
      <c r="E1223" s="10">
        <f>_xlfn.XLOOKUP(A1223, Sheet1!A:A, Sheet1!G:G)</f>
        <v>-1</v>
      </c>
      <c r="F1223" s="10">
        <f t="shared" si="19"/>
        <v>-1</v>
      </c>
      <c r="G1223" cm="1">
        <f t="array" ref="G1223:J1223">_xlfn.XLOOKUP(A1223, Sheet1!A:A, Sheet1!C:F)</f>
        <v>16.989000000000001</v>
      </c>
      <c r="H1223">
        <v>15.305999999999999</v>
      </c>
      <c r="I1223">
        <v>20.370999999999999</v>
      </c>
      <c r="J1223">
        <v>21.536999999999999</v>
      </c>
    </row>
    <row r="1224" spans="1:10" x14ac:dyDescent="0.3">
      <c r="A1224" t="str" cm="1">
        <f t="array" ref="A1224">IF(ROW()&lt;=COUNTA(Sheet1!A:A), INDEX(Sheet1!A:A, ROW()),
INDEX(Sheet4!A:A, ROW()-COUNTA(Sheet1!A:A)))</f>
        <v>Al26.04Cr33.638Fe23.054Co8.448Ni8.8202</v>
      </c>
      <c r="B1224" s="10">
        <f>_xlfn.XLOOKUP(A1224, Sheet4!A:A, Sheet4!C:C)</f>
        <v>0</v>
      </c>
      <c r="C1224" s="10">
        <v>-1</v>
      </c>
      <c r="D1224" s="10">
        <f>_xlfn.XLOOKUP(A1224, Sheet2!A:A, Sheet2!B:B)</f>
        <v>6.2861000000000002</v>
      </c>
      <c r="E1224" s="10">
        <f>_xlfn.XLOOKUP(A1224, Sheet1!A:A, Sheet1!G:G)</f>
        <v>-1</v>
      </c>
      <c r="F1224" s="10">
        <f t="shared" si="19"/>
        <v>-1</v>
      </c>
      <c r="G1224" cm="1">
        <f t="array" ref="G1224:J1224">_xlfn.XLOOKUP(A1224, Sheet1!A:A, Sheet1!C:F)</f>
        <v>17</v>
      </c>
      <c r="H1224">
        <v>15.3</v>
      </c>
      <c r="I1224">
        <v>20.399999999999999</v>
      </c>
      <c r="J1224">
        <v>21.5</v>
      </c>
    </row>
    <row r="1225" spans="1:10" x14ac:dyDescent="0.3">
      <c r="A1225" t="str" cm="1">
        <f t="array" ref="A1225">IF(ROW()&lt;=COUNTA(Sheet1!A:A), INDEX(Sheet1!A:A, ROW()),
INDEX(Sheet4!A:A, ROW()-COUNTA(Sheet1!A:A)))</f>
        <v>Al26.3Cr35.9Fe10.4Co13.5Ni14</v>
      </c>
      <c r="B1225" s="10">
        <f>_xlfn.XLOOKUP(A1225, Sheet4!A:A, Sheet4!C:C)</f>
        <v>0</v>
      </c>
      <c r="C1225" s="10">
        <v>-1</v>
      </c>
      <c r="D1225" s="10">
        <f>_xlfn.XLOOKUP(A1225, Sheet2!A:A, Sheet2!B:B)</f>
        <v>6.3836000000000004</v>
      </c>
      <c r="E1225" s="10">
        <f>_xlfn.XLOOKUP(A1225, Sheet1!A:A, Sheet1!G:G)</f>
        <v>-1</v>
      </c>
      <c r="F1225" s="10">
        <f t="shared" si="19"/>
        <v>-1</v>
      </c>
      <c r="G1225" cm="1">
        <f t="array" ref="G1225:J1225">_xlfn.XLOOKUP(A1225, Sheet1!A:A, Sheet1!C:F)</f>
        <v>10.3</v>
      </c>
      <c r="H1225">
        <v>34.5</v>
      </c>
      <c r="I1225">
        <v>18.5</v>
      </c>
      <c r="J1225">
        <v>10.8</v>
      </c>
    </row>
    <row r="1226" spans="1:10" x14ac:dyDescent="0.3">
      <c r="A1226" t="str" cm="1">
        <f t="array" ref="A1226">IF(ROW()&lt;=COUNTA(Sheet1!A:A), INDEX(Sheet1!A:A, ROW()),
INDEX(Sheet4!A:A, ROW()-COUNTA(Sheet1!A:A)))</f>
        <v>Al26.335Cr35.884Fe10.356Co13.452Ni13.973</v>
      </c>
      <c r="B1226" s="10">
        <f>_xlfn.XLOOKUP(A1226, Sheet4!A:A, Sheet4!C:C)</f>
        <v>0</v>
      </c>
      <c r="C1226" s="10">
        <v>-1</v>
      </c>
      <c r="D1226" s="10">
        <f>_xlfn.XLOOKUP(A1226, Sheet2!A:A, Sheet2!B:B)</f>
        <v>6.3795999999999999</v>
      </c>
      <c r="E1226" s="10">
        <f>_xlfn.XLOOKUP(A1226, Sheet1!A:A, Sheet1!G:G)</f>
        <v>-1</v>
      </c>
      <c r="F1226" s="10">
        <f t="shared" si="19"/>
        <v>-1</v>
      </c>
      <c r="G1226" cm="1">
        <f t="array" ref="G1226:J1226">_xlfn.XLOOKUP(A1226, Sheet1!A:A, Sheet1!C:F)</f>
        <v>10.34</v>
      </c>
      <c r="H1226">
        <v>34.517000000000003</v>
      </c>
      <c r="I1226">
        <v>18.489000000000001</v>
      </c>
      <c r="J1226">
        <v>10.81</v>
      </c>
    </row>
    <row r="1227" spans="1:10" x14ac:dyDescent="0.3">
      <c r="A1227" t="str" cm="1">
        <f t="array" ref="A1227">IF(ROW()&lt;=COUNTA(Sheet1!A:A), INDEX(Sheet1!A:A, ROW()),
INDEX(Sheet4!A:A, ROW()-COUNTA(Sheet1!A:A)))</f>
        <v>Al26.4Cr20.613Fe27.729Co11.054Ni14.204</v>
      </c>
      <c r="B1227" s="10">
        <f>_xlfn.XLOOKUP(A1227, Sheet4!A:A, Sheet4!C:C)</f>
        <v>0</v>
      </c>
      <c r="C1227" s="10">
        <v>-1</v>
      </c>
      <c r="D1227" s="10">
        <f>_xlfn.XLOOKUP(A1227, Sheet2!A:A, Sheet2!B:B)</f>
        <v>6.6623999999999999</v>
      </c>
      <c r="E1227" s="10">
        <f>_xlfn.XLOOKUP(A1227, Sheet1!A:A, Sheet1!G:G)</f>
        <v>-1</v>
      </c>
      <c r="F1227" s="10">
        <f t="shared" si="19"/>
        <v>-1</v>
      </c>
      <c r="G1227" cm="1">
        <f t="array" ref="G1227:J1227">_xlfn.XLOOKUP(A1227, Sheet1!A:A, Sheet1!C:F)</f>
        <v>18.518518520000001</v>
      </c>
      <c r="H1227">
        <v>18.518518520000001</v>
      </c>
      <c r="I1227">
        <v>18.518518520000001</v>
      </c>
      <c r="J1227">
        <v>18.518518520000001</v>
      </c>
    </row>
    <row r="1228" spans="1:10" x14ac:dyDescent="0.3">
      <c r="A1228" t="str" cm="1">
        <f t="array" ref="A1228">IF(ROW()&lt;=COUNTA(Sheet1!A:A), INDEX(Sheet1!A:A, ROW()),
INDEX(Sheet4!A:A, ROW()-COUNTA(Sheet1!A:A)))</f>
        <v>Al26.4Cr20.6Fe27.7Co11.1Ni14.2</v>
      </c>
      <c r="B1228" s="10">
        <f>_xlfn.XLOOKUP(A1228, Sheet4!A:A, Sheet4!C:C)</f>
        <v>0</v>
      </c>
      <c r="C1228" s="10">
        <v>-1</v>
      </c>
      <c r="D1228" s="10">
        <f>_xlfn.XLOOKUP(A1228, Sheet2!A:A, Sheet2!B:B)</f>
        <v>6.6630000000000003</v>
      </c>
      <c r="E1228" s="10">
        <f>_xlfn.XLOOKUP(A1228, Sheet1!A:A, Sheet1!G:G)</f>
        <v>-1</v>
      </c>
      <c r="F1228" s="10">
        <f t="shared" si="19"/>
        <v>-1</v>
      </c>
      <c r="G1228" cm="1">
        <f t="array" ref="G1228:J1228">_xlfn.XLOOKUP(A1228, Sheet1!A:A, Sheet1!C:F)</f>
        <v>12.518000000000001</v>
      </c>
      <c r="H1228">
        <v>34.228000000000002</v>
      </c>
      <c r="I1228">
        <v>14.225</v>
      </c>
      <c r="J1228">
        <v>13.067</v>
      </c>
    </row>
    <row r="1229" spans="1:10" x14ac:dyDescent="0.3">
      <c r="A1229" t="str" cm="1">
        <f t="array" ref="A1229">IF(ROW()&lt;=COUNTA(Sheet1!A:A), INDEX(Sheet1!A:A, ROW()),
INDEX(Sheet4!A:A, ROW()-COUNTA(Sheet1!A:A)))</f>
        <v>Al26.4Cr24.9Fe33.5Co6.5Ni8.6</v>
      </c>
      <c r="B1229" s="10">
        <f>_xlfn.XLOOKUP(A1229, Sheet4!A:A, Sheet4!C:C)</f>
        <v>0</v>
      </c>
      <c r="C1229" s="10">
        <v>-1</v>
      </c>
      <c r="D1229" s="10">
        <f>_xlfn.XLOOKUP(A1229, Sheet2!A:A, Sheet2!B:B)</f>
        <v>6.4173999999999998</v>
      </c>
      <c r="E1229" s="10">
        <f>_xlfn.XLOOKUP(A1229, Sheet1!A:A, Sheet1!G:G)</f>
        <v>-1</v>
      </c>
      <c r="F1229" s="10">
        <f t="shared" si="19"/>
        <v>-1</v>
      </c>
      <c r="G1229" cm="1">
        <f t="array" ref="G1229:J1229">_xlfn.XLOOKUP(A1229, Sheet1!A:A, Sheet1!C:F)</f>
        <v>12.5</v>
      </c>
      <c r="H1229">
        <v>34.200000000000003</v>
      </c>
      <c r="I1229">
        <v>14.2</v>
      </c>
      <c r="J1229">
        <v>13.1</v>
      </c>
    </row>
    <row r="1230" spans="1:10" x14ac:dyDescent="0.3">
      <c r="A1230" t="str" cm="1">
        <f t="array" ref="A1230">IF(ROW()&lt;=COUNTA(Sheet1!A:A), INDEX(Sheet1!A:A, ROW()),
INDEX(Sheet4!A:A, ROW()-COUNTA(Sheet1!A:A)))</f>
        <v>Al26.448Cr24.89Fe33.505Co6.5465Ni8.6105</v>
      </c>
      <c r="B1230" s="10">
        <f>_xlfn.XLOOKUP(A1230, Sheet4!A:A, Sheet4!C:C)</f>
        <v>0</v>
      </c>
      <c r="C1230" s="10">
        <v>-1</v>
      </c>
      <c r="D1230" s="10">
        <f>_xlfn.XLOOKUP(A1230, Sheet2!A:A, Sheet2!B:B)</f>
        <v>6.4175000000000004</v>
      </c>
      <c r="E1230" s="10">
        <f>_xlfn.XLOOKUP(A1230, Sheet1!A:A, Sheet1!G:G)</f>
        <v>-1</v>
      </c>
      <c r="F1230" s="10">
        <f t="shared" si="19"/>
        <v>-1</v>
      </c>
      <c r="G1230" cm="1">
        <f t="array" ref="G1230:J1230">_xlfn.XLOOKUP(A1230, Sheet1!A:A, Sheet1!C:F)</f>
        <v>12.9</v>
      </c>
      <c r="H1230">
        <v>35</v>
      </c>
      <c r="I1230">
        <v>12.3</v>
      </c>
      <c r="J1230">
        <v>13.8</v>
      </c>
    </row>
    <row r="1231" spans="1:10" x14ac:dyDescent="0.3">
      <c r="A1231" t="str" cm="1">
        <f t="array" ref="A1231">IF(ROW()&lt;=COUNTA(Sheet1!A:A), INDEX(Sheet1!A:A, ROW()),
INDEX(Sheet4!A:A, ROW()-COUNTA(Sheet1!A:A)))</f>
        <v>Al26.458Cr23.092Fe31.01Co8.5177Ni10.922</v>
      </c>
      <c r="B1231" s="10">
        <f>_xlfn.XLOOKUP(A1231, Sheet4!A:A, Sheet4!C:C)</f>
        <v>0</v>
      </c>
      <c r="C1231" s="10">
        <v>-1</v>
      </c>
      <c r="D1231" s="10">
        <f>_xlfn.XLOOKUP(A1231, Sheet2!A:A, Sheet2!B:B)</f>
        <v>6.5189000000000004</v>
      </c>
      <c r="E1231" s="10">
        <f>_xlfn.XLOOKUP(A1231, Sheet1!A:A, Sheet1!G:G)</f>
        <v>-1</v>
      </c>
      <c r="F1231" s="10">
        <f t="shared" si="19"/>
        <v>-1</v>
      </c>
      <c r="G1231" cm="1">
        <f t="array" ref="G1231:J1231">_xlfn.XLOOKUP(A1231, Sheet1!A:A, Sheet1!C:F)</f>
        <v>12.868</v>
      </c>
      <c r="H1231">
        <v>35.027999999999999</v>
      </c>
      <c r="I1231">
        <v>12.275</v>
      </c>
      <c r="J1231">
        <v>13.81</v>
      </c>
    </row>
    <row r="1232" spans="1:10" x14ac:dyDescent="0.3">
      <c r="A1232" t="str" cm="1">
        <f t="array" ref="A1232">IF(ROW()&lt;=COUNTA(Sheet1!A:A), INDEX(Sheet1!A:A, ROW()),
INDEX(Sheet4!A:A, ROW()-COUNTA(Sheet1!A:A)))</f>
        <v>Al26.487Cr34.34Fe24.422Co7.1436Ni7.6076</v>
      </c>
      <c r="B1232" s="10">
        <f>_xlfn.XLOOKUP(A1232, Sheet4!A:A, Sheet4!C:C)</f>
        <v>0</v>
      </c>
      <c r="C1232" s="10">
        <v>-1</v>
      </c>
      <c r="D1232" s="10">
        <f>_xlfn.XLOOKUP(A1232, Sheet2!A:A, Sheet2!B:B)</f>
        <v>6.2123999999999997</v>
      </c>
      <c r="E1232" s="10">
        <f>_xlfn.XLOOKUP(A1232, Sheet1!A:A, Sheet1!G:G)</f>
        <v>-1</v>
      </c>
      <c r="F1232" s="10">
        <f t="shared" si="19"/>
        <v>-1</v>
      </c>
      <c r="G1232" cm="1">
        <f t="array" ref="G1232:J1232">_xlfn.XLOOKUP(A1232, Sheet1!A:A, Sheet1!C:F)</f>
        <v>8.4</v>
      </c>
      <c r="H1232">
        <v>33.6</v>
      </c>
      <c r="I1232">
        <v>23.1</v>
      </c>
      <c r="J1232">
        <v>8.8000000000000007</v>
      </c>
    </row>
    <row r="1233" spans="1:10" x14ac:dyDescent="0.3">
      <c r="A1233" t="str" cm="1">
        <f t="array" ref="A1233">IF(ROW()&lt;=COUNTA(Sheet1!A:A), INDEX(Sheet1!A:A, ROW()),
INDEX(Sheet4!A:A, ROW()-COUNTA(Sheet1!A:A)))</f>
        <v>Al26.5Cr23.1Fe31Co8.5Ni10.9</v>
      </c>
      <c r="B1233" s="10">
        <f>_xlfn.XLOOKUP(A1233, Sheet4!A:A, Sheet4!C:C)</f>
        <v>0</v>
      </c>
      <c r="C1233" s="10">
        <v>-1</v>
      </c>
      <c r="D1233" s="10">
        <f>_xlfn.XLOOKUP(A1233, Sheet2!A:A, Sheet2!B:B)</f>
        <v>6.516</v>
      </c>
      <c r="E1233" s="10">
        <f>_xlfn.XLOOKUP(A1233, Sheet1!A:A, Sheet1!G:G)</f>
        <v>-1</v>
      </c>
      <c r="F1233" s="10">
        <f t="shared" si="19"/>
        <v>-1</v>
      </c>
      <c r="G1233" cm="1">
        <f t="array" ref="G1233:J1233">_xlfn.XLOOKUP(A1233, Sheet1!A:A, Sheet1!C:F)</f>
        <v>8.4480000000000004</v>
      </c>
      <c r="H1233">
        <v>33.637999999999998</v>
      </c>
      <c r="I1233">
        <v>23.053999999999998</v>
      </c>
      <c r="J1233">
        <v>8.8201999999999998</v>
      </c>
    </row>
    <row r="1234" spans="1:10" x14ac:dyDescent="0.3">
      <c r="A1234" t="str" cm="1">
        <f t="array" ref="A1234">IF(ROW()&lt;=COUNTA(Sheet1!A:A), INDEX(Sheet1!A:A, ROW()),
INDEX(Sheet4!A:A, ROW()-COUNTA(Sheet1!A:A)))</f>
        <v>Al26.5Cr11.4Fe15.2Co20.6Ni26.3</v>
      </c>
      <c r="B1234" s="10">
        <f>_xlfn.XLOOKUP(A1234, Sheet4!A:A, Sheet4!C:C)</f>
        <v>0</v>
      </c>
      <c r="C1234" s="10">
        <v>-1</v>
      </c>
      <c r="D1234" s="10">
        <f>_xlfn.XLOOKUP(A1234, Sheet2!A:A, Sheet2!B:B)</f>
        <v>7.1790000000000003</v>
      </c>
      <c r="E1234" s="10">
        <f>_xlfn.XLOOKUP(A1234, Sheet1!A:A, Sheet1!G:G)</f>
        <v>-1</v>
      </c>
      <c r="F1234" s="10">
        <f t="shared" si="19"/>
        <v>-1</v>
      </c>
      <c r="G1234" cm="1">
        <f t="array" ref="G1234:J1234">_xlfn.XLOOKUP(A1234, Sheet1!A:A, Sheet1!C:F)</f>
        <v>13.5</v>
      </c>
      <c r="H1234">
        <v>35.9</v>
      </c>
      <c r="I1234">
        <v>10.4</v>
      </c>
      <c r="J1234">
        <v>14</v>
      </c>
    </row>
    <row r="1235" spans="1:10" x14ac:dyDescent="0.3">
      <c r="A1235" t="str" cm="1">
        <f t="array" ref="A1235">IF(ROW()&lt;=COUNTA(Sheet1!A:A), INDEX(Sheet1!A:A, ROW()),
INDEX(Sheet4!A:A, ROW()-COUNTA(Sheet1!A:A)))</f>
        <v>Al26.5Cr34.3Fe24.4Co7.1Ni7.6</v>
      </c>
      <c r="B1235" s="10">
        <f>_xlfn.XLOOKUP(A1235, Sheet4!A:A, Sheet4!C:C)</f>
        <v>0</v>
      </c>
      <c r="C1235" s="10">
        <v>-1</v>
      </c>
      <c r="D1235" s="10">
        <f>_xlfn.XLOOKUP(A1235, Sheet2!A:A, Sheet2!B:B)</f>
        <v>6.2102000000000004</v>
      </c>
      <c r="E1235" s="10">
        <f>_xlfn.XLOOKUP(A1235, Sheet1!A:A, Sheet1!G:G)</f>
        <v>-1</v>
      </c>
      <c r="F1235" s="10">
        <f t="shared" si="19"/>
        <v>-1</v>
      </c>
      <c r="G1235" cm="1">
        <f t="array" ref="G1235:J1235">_xlfn.XLOOKUP(A1235, Sheet1!A:A, Sheet1!C:F)</f>
        <v>13.452</v>
      </c>
      <c r="H1235">
        <v>35.884</v>
      </c>
      <c r="I1235">
        <v>10.356</v>
      </c>
      <c r="J1235">
        <v>13.973000000000001</v>
      </c>
    </row>
    <row r="1236" spans="1:10" x14ac:dyDescent="0.3">
      <c r="A1236" t="str" cm="1">
        <f t="array" ref="A1236">IF(ROW()&lt;=COUNTA(Sheet1!A:A), INDEX(Sheet1!A:A, ROW()),
INDEX(Sheet4!A:A, ROW()-COUNTA(Sheet1!A:A)))</f>
        <v>Al26.538Cr11.447Fe15.157Co20.602Ni26.256</v>
      </c>
      <c r="B1236" s="10">
        <f>_xlfn.XLOOKUP(A1236, Sheet4!A:A, Sheet4!C:C)</f>
        <v>0</v>
      </c>
      <c r="C1236" s="10">
        <v>-1</v>
      </c>
      <c r="D1236" s="10">
        <f>_xlfn.XLOOKUP(A1236, Sheet2!A:A, Sheet2!B:B)</f>
        <v>7.1753</v>
      </c>
      <c r="E1236" s="10">
        <f>_xlfn.XLOOKUP(A1236, Sheet1!A:A, Sheet1!G:G)</f>
        <v>-1</v>
      </c>
      <c r="F1236" s="10">
        <f t="shared" si="19"/>
        <v>-1</v>
      </c>
      <c r="G1236" cm="1">
        <f t="array" ref="G1236:J1236">_xlfn.XLOOKUP(A1236, Sheet1!A:A, Sheet1!C:F)</f>
        <v>11.054</v>
      </c>
      <c r="H1236">
        <v>20.613</v>
      </c>
      <c r="I1236">
        <v>27.728999999999999</v>
      </c>
      <c r="J1236">
        <v>14.204000000000001</v>
      </c>
    </row>
    <row r="1237" spans="1:10" x14ac:dyDescent="0.3">
      <c r="A1237" t="str" cm="1">
        <f t="array" ref="A1237">IF(ROW()&lt;=COUNTA(Sheet1!A:A), INDEX(Sheet1!A:A, ROW()),
INDEX(Sheet4!A:A, ROW()-COUNTA(Sheet1!A:A)))</f>
        <v>Al26.6Cr35.8Fe19.7Co8.5Ni9.3</v>
      </c>
      <c r="B1237" s="10">
        <f>_xlfn.XLOOKUP(A1237, Sheet4!A:A, Sheet4!C:C)</f>
        <v>0</v>
      </c>
      <c r="C1237" s="10">
        <v>-1</v>
      </c>
      <c r="D1237" s="10">
        <f>_xlfn.XLOOKUP(A1237, Sheet2!A:A, Sheet2!B:B)</f>
        <v>6.2232000000000003</v>
      </c>
      <c r="E1237" s="10">
        <f>_xlfn.XLOOKUP(A1237, Sheet1!A:A, Sheet1!G:G)</f>
        <v>-1</v>
      </c>
      <c r="F1237" s="10">
        <f t="shared" si="19"/>
        <v>-1</v>
      </c>
      <c r="G1237" cm="1">
        <f t="array" ref="G1237:J1237">_xlfn.XLOOKUP(A1237, Sheet1!A:A, Sheet1!C:F)</f>
        <v>11.1</v>
      </c>
      <c r="H1237">
        <v>20.6</v>
      </c>
      <c r="I1237">
        <v>27.7</v>
      </c>
      <c r="J1237">
        <v>14.2</v>
      </c>
    </row>
    <row r="1238" spans="1:10" x14ac:dyDescent="0.3">
      <c r="A1238" t="str" cm="1">
        <f t="array" ref="A1238">IF(ROW()&lt;=COUNTA(Sheet1!A:A), INDEX(Sheet1!A:A, ROW()),
INDEX(Sheet4!A:A, ROW()-COUNTA(Sheet1!A:A)))</f>
        <v>Al26.633Cr35.834Fe19.722Co8.5182Ni9.2931</v>
      </c>
      <c r="B1238" s="10">
        <f>_xlfn.XLOOKUP(A1238, Sheet4!A:A, Sheet4!C:C)</f>
        <v>0</v>
      </c>
      <c r="C1238" s="10">
        <v>-1</v>
      </c>
      <c r="D1238" s="10">
        <f>_xlfn.XLOOKUP(A1238, Sheet2!A:A, Sheet2!B:B)</f>
        <v>6.2226999999999997</v>
      </c>
      <c r="E1238" s="10">
        <f>_xlfn.XLOOKUP(A1238, Sheet1!A:A, Sheet1!G:G)</f>
        <v>-1</v>
      </c>
      <c r="F1238" s="10">
        <f t="shared" si="19"/>
        <v>-1</v>
      </c>
      <c r="G1238" cm="1">
        <f t="array" ref="G1238:J1238">_xlfn.XLOOKUP(A1238, Sheet1!A:A, Sheet1!C:F)</f>
        <v>6.5</v>
      </c>
      <c r="H1238">
        <v>24.9</v>
      </c>
      <c r="I1238">
        <v>33.5</v>
      </c>
      <c r="J1238">
        <v>8.6</v>
      </c>
    </row>
    <row r="1239" spans="1:10" x14ac:dyDescent="0.3">
      <c r="A1239" t="str" cm="1">
        <f t="array" ref="A1239">IF(ROW()&lt;=COUNTA(Sheet1!A:A), INDEX(Sheet1!A:A, ROW()),
INDEX(Sheet4!A:A, ROW()-COUNTA(Sheet1!A:A)))</f>
        <v>Al26.7Cr36Fe9Co13.9Ni14.4</v>
      </c>
      <c r="B1239" s="10">
        <f>_xlfn.XLOOKUP(A1239, Sheet4!A:A, Sheet4!C:C)</f>
        <v>0</v>
      </c>
      <c r="C1239" s="10">
        <v>-1</v>
      </c>
      <c r="D1239" s="10">
        <f>_xlfn.XLOOKUP(A1239, Sheet2!A:A, Sheet2!B:B)</f>
        <v>6.3719999999999999</v>
      </c>
      <c r="E1239" s="10">
        <f>_xlfn.XLOOKUP(A1239, Sheet1!A:A, Sheet1!G:G)</f>
        <v>-1</v>
      </c>
      <c r="F1239" s="10">
        <f t="shared" si="19"/>
        <v>-1</v>
      </c>
      <c r="G1239" cm="1">
        <f t="array" ref="G1239:J1239">_xlfn.XLOOKUP(A1239, Sheet1!A:A, Sheet1!C:F)</f>
        <v>6.5465</v>
      </c>
      <c r="H1239">
        <v>24.89</v>
      </c>
      <c r="I1239">
        <v>33.505000000000003</v>
      </c>
      <c r="J1239">
        <v>8.6105</v>
      </c>
    </row>
    <row r="1240" spans="1:10" x14ac:dyDescent="0.3">
      <c r="A1240" t="str" cm="1">
        <f t="array" ref="A1240">IF(ROW()&lt;=COUNTA(Sheet1!A:A), INDEX(Sheet1!A:A, ROW()),
INDEX(Sheet4!A:A, ROW()-COUNTA(Sheet1!A:A)))</f>
        <v>Al26.701Cr36.006Fe9.0012Co13.873Ni14.419</v>
      </c>
      <c r="B1240" s="10">
        <f>_xlfn.XLOOKUP(A1240, Sheet4!A:A, Sheet4!C:C)</f>
        <v>0</v>
      </c>
      <c r="C1240" s="10">
        <v>-1</v>
      </c>
      <c r="D1240" s="10">
        <f>_xlfn.XLOOKUP(A1240, Sheet2!A:A, Sheet2!B:B)</f>
        <v>6.3719000000000001</v>
      </c>
      <c r="E1240" s="10">
        <f>_xlfn.XLOOKUP(A1240, Sheet1!A:A, Sheet1!G:G)</f>
        <v>-1</v>
      </c>
      <c r="F1240" s="10">
        <f t="shared" si="19"/>
        <v>-1</v>
      </c>
      <c r="G1240" cm="1">
        <f t="array" ref="G1240:J1240">_xlfn.XLOOKUP(A1240, Sheet1!A:A, Sheet1!C:F)</f>
        <v>8.5176999999999996</v>
      </c>
      <c r="H1240">
        <v>23.091999999999999</v>
      </c>
      <c r="I1240">
        <v>31.01</v>
      </c>
      <c r="J1240">
        <v>10.922000000000001</v>
      </c>
    </row>
    <row r="1241" spans="1:10" x14ac:dyDescent="0.3">
      <c r="A1241" t="str" cm="1">
        <f t="array" ref="A1241">IF(ROW()&lt;=COUNTA(Sheet1!A:A), INDEX(Sheet1!A:A, ROW()),
INDEX(Sheet4!A:A, ROW()-COUNTA(Sheet1!A:A)))</f>
        <v>Al26.888Cr36.715Fe7.7867Co13.962Ni14.648</v>
      </c>
      <c r="B1241" s="10">
        <f>_xlfn.XLOOKUP(A1241, Sheet4!A:A, Sheet4!C:C)</f>
        <v>0</v>
      </c>
      <c r="C1241" s="10">
        <v>-1</v>
      </c>
      <c r="D1241" s="10">
        <f>_xlfn.XLOOKUP(A1241, Sheet2!A:A, Sheet2!B:B)</f>
        <v>6.3539000000000003</v>
      </c>
      <c r="E1241" s="10">
        <f>_xlfn.XLOOKUP(A1241, Sheet1!A:A, Sheet1!G:G)</f>
        <v>-1</v>
      </c>
      <c r="F1241" s="10">
        <f t="shared" si="19"/>
        <v>-1</v>
      </c>
      <c r="G1241" cm="1">
        <f t="array" ref="G1241:J1241">_xlfn.XLOOKUP(A1241, Sheet1!A:A, Sheet1!C:F)</f>
        <v>7.1436000000000002</v>
      </c>
      <c r="H1241">
        <v>34.340000000000003</v>
      </c>
      <c r="I1241">
        <v>24.422000000000001</v>
      </c>
      <c r="J1241">
        <v>7.6075999999999997</v>
      </c>
    </row>
    <row r="1242" spans="1:10" x14ac:dyDescent="0.3">
      <c r="A1242" t="str" cm="1">
        <f t="array" ref="A1242">IF(ROW()&lt;=COUNTA(Sheet1!A:A), INDEX(Sheet1!A:A, ROW()),
INDEX(Sheet4!A:A, ROW()-COUNTA(Sheet1!A:A)))</f>
        <v>Al26.9Cr36.7Fe7.8Co14Ni14.6</v>
      </c>
      <c r="B1242" s="10">
        <f>_xlfn.XLOOKUP(A1242, Sheet4!A:A, Sheet4!C:C)</f>
        <v>0</v>
      </c>
      <c r="C1242" s="10">
        <v>-1</v>
      </c>
      <c r="D1242" s="10">
        <f>_xlfn.XLOOKUP(A1242, Sheet2!A:A, Sheet2!B:B)</f>
        <v>6.3529999999999998</v>
      </c>
      <c r="E1242" s="10">
        <f>_xlfn.XLOOKUP(A1242, Sheet1!A:A, Sheet1!G:G)</f>
        <v>-1</v>
      </c>
      <c r="F1242" s="10">
        <f t="shared" si="19"/>
        <v>-1</v>
      </c>
      <c r="G1242" cm="1">
        <f t="array" ref="G1242:J1242">_xlfn.XLOOKUP(A1242, Sheet1!A:A, Sheet1!C:F)</f>
        <v>8.5</v>
      </c>
      <c r="H1242">
        <v>23.1</v>
      </c>
      <c r="I1242">
        <v>31</v>
      </c>
      <c r="J1242">
        <v>10.9</v>
      </c>
    </row>
    <row r="1243" spans="1:10" x14ac:dyDescent="0.3">
      <c r="A1243" t="str" cm="1">
        <f t="array" ref="A1243">IF(ROW()&lt;=COUNTA(Sheet1!A:A), INDEX(Sheet1!A:A, ROW()),
INDEX(Sheet4!A:A, ROW()-COUNTA(Sheet1!A:A)))</f>
        <v>Al26.9Cr36.9Fe6.8Co14.4Ni15</v>
      </c>
      <c r="B1243" s="10">
        <f>_xlfn.XLOOKUP(A1243, Sheet4!A:A, Sheet4!C:C)</f>
        <v>0</v>
      </c>
      <c r="C1243" s="10">
        <v>-1</v>
      </c>
      <c r="D1243" s="10">
        <f>_xlfn.XLOOKUP(A1243, Sheet2!A:A, Sheet2!B:B)</f>
        <v>6.3609999999999998</v>
      </c>
      <c r="E1243" s="10">
        <f>_xlfn.XLOOKUP(A1243, Sheet1!A:A, Sheet1!G:G)</f>
        <v>-1</v>
      </c>
      <c r="F1243" s="10">
        <f t="shared" si="19"/>
        <v>-1</v>
      </c>
      <c r="G1243" cm="1">
        <f t="array" ref="G1243:J1243">_xlfn.XLOOKUP(A1243, Sheet1!A:A, Sheet1!C:F)</f>
        <v>20.6</v>
      </c>
      <c r="H1243">
        <v>11.4</v>
      </c>
      <c r="I1243">
        <v>15.2</v>
      </c>
      <c r="J1243">
        <v>26.3</v>
      </c>
    </row>
    <row r="1244" spans="1:10" x14ac:dyDescent="0.3">
      <c r="A1244" t="str" cm="1">
        <f t="array" ref="A1244">IF(ROW()&lt;=COUNTA(Sheet1!A:A), INDEX(Sheet1!A:A, ROW()),
INDEX(Sheet4!A:A, ROW()-COUNTA(Sheet1!A:A)))</f>
        <v>Al26.91Cr36.872Fe6.8079Co14.422Ni14.988</v>
      </c>
      <c r="B1244" s="10">
        <f>_xlfn.XLOOKUP(A1244, Sheet4!A:A, Sheet4!C:C)</f>
        <v>0</v>
      </c>
      <c r="C1244" s="10">
        <v>-1</v>
      </c>
      <c r="D1244" s="10">
        <f>_xlfn.XLOOKUP(A1244, Sheet2!A:A, Sheet2!B:B)</f>
        <v>6.3609999999999998</v>
      </c>
      <c r="E1244" s="10">
        <f>_xlfn.XLOOKUP(A1244, Sheet1!A:A, Sheet1!G:G)</f>
        <v>-1</v>
      </c>
      <c r="F1244" s="10">
        <f t="shared" si="19"/>
        <v>-1</v>
      </c>
      <c r="G1244" cm="1">
        <f t="array" ref="G1244:J1244">_xlfn.XLOOKUP(A1244, Sheet1!A:A, Sheet1!C:F)</f>
        <v>7.1</v>
      </c>
      <c r="H1244">
        <v>34.299999999999997</v>
      </c>
      <c r="I1244">
        <v>24.4</v>
      </c>
      <c r="J1244">
        <v>7.6</v>
      </c>
    </row>
    <row r="1245" spans="1:10" x14ac:dyDescent="0.3">
      <c r="A1245" t="str" cm="1">
        <f t="array" ref="A1245">IF(ROW()&lt;=COUNTA(Sheet1!A:A), INDEX(Sheet1!A:A, ROW()),
INDEX(Sheet4!A:A, ROW()-COUNTA(Sheet1!A:A)))</f>
        <v>Al26.962Cr35.837Fe15.649Co10.388Ni11.164</v>
      </c>
      <c r="B1245" s="10">
        <f>_xlfn.XLOOKUP(A1245, Sheet4!A:A, Sheet4!C:C)</f>
        <v>0</v>
      </c>
      <c r="C1245" s="10">
        <v>-1</v>
      </c>
      <c r="D1245" s="10">
        <f>_xlfn.XLOOKUP(A1245, Sheet2!A:A, Sheet2!B:B)</f>
        <v>6.2622999999999998</v>
      </c>
      <c r="E1245" s="10">
        <f>_xlfn.XLOOKUP(A1245, Sheet1!A:A, Sheet1!G:G)</f>
        <v>-1</v>
      </c>
      <c r="F1245" s="10">
        <f t="shared" si="19"/>
        <v>-1</v>
      </c>
      <c r="G1245" cm="1">
        <f t="array" ref="G1245:J1245">_xlfn.XLOOKUP(A1245, Sheet1!A:A, Sheet1!C:F)</f>
        <v>20.602</v>
      </c>
      <c r="H1245">
        <v>11.446999999999999</v>
      </c>
      <c r="I1245">
        <v>15.157</v>
      </c>
      <c r="J1245">
        <v>26.256</v>
      </c>
    </row>
    <row r="1246" spans="1:10" x14ac:dyDescent="0.3">
      <c r="A1246" t="str" cm="1">
        <f t="array" ref="A1246">IF(ROW()&lt;=COUNTA(Sheet1!A:A), INDEX(Sheet1!A:A, ROW()),
INDEX(Sheet4!A:A, ROW()-COUNTA(Sheet1!A:A)))</f>
        <v>Al27Cr35.8Fe15.6Co10.4Ni11.2</v>
      </c>
      <c r="B1246" s="10">
        <f>_xlfn.XLOOKUP(A1246, Sheet4!A:A, Sheet4!C:C)</f>
        <v>0</v>
      </c>
      <c r="C1246" s="10">
        <v>-1</v>
      </c>
      <c r="D1246" s="10">
        <f>_xlfn.XLOOKUP(A1246, Sheet2!A:A, Sheet2!B:B)</f>
        <v>6.2619999999999996</v>
      </c>
      <c r="E1246" s="10">
        <f>_xlfn.XLOOKUP(A1246, Sheet1!A:A, Sheet1!G:G)</f>
        <v>-1</v>
      </c>
      <c r="F1246" s="10">
        <f t="shared" si="19"/>
        <v>-1</v>
      </c>
      <c r="G1246" cm="1">
        <f t="array" ref="G1246:J1246">_xlfn.XLOOKUP(A1246, Sheet1!A:A, Sheet1!C:F)</f>
        <v>8.5</v>
      </c>
      <c r="H1246">
        <v>35.799999999999997</v>
      </c>
      <c r="I1246">
        <v>19.7</v>
      </c>
      <c r="J1246">
        <v>9.3000000000000007</v>
      </c>
    </row>
    <row r="1247" spans="1:10" x14ac:dyDescent="0.3">
      <c r="A1247" t="str" cm="1">
        <f t="array" ref="A1247">IF(ROW()&lt;=COUNTA(Sheet1!A:A), INDEX(Sheet1!A:A, ROW()),
INDEX(Sheet4!A:A, ROW()-COUNTA(Sheet1!A:A)))</f>
        <v>Al27.1Cr12.6Fe16.6Co19.2Ni24.5</v>
      </c>
      <c r="B1247" s="10">
        <f>_xlfn.XLOOKUP(A1247, Sheet4!A:A, Sheet4!C:C)</f>
        <v>0</v>
      </c>
      <c r="C1247" s="10">
        <v>-1</v>
      </c>
      <c r="D1247" s="10">
        <f>_xlfn.XLOOKUP(A1247, Sheet2!A:A, Sheet2!B:B)</f>
        <v>7.0750000000000002</v>
      </c>
      <c r="E1247" s="10">
        <f>_xlfn.XLOOKUP(A1247, Sheet1!A:A, Sheet1!G:G)</f>
        <v>-1</v>
      </c>
      <c r="F1247" s="10">
        <f t="shared" si="19"/>
        <v>-1</v>
      </c>
      <c r="G1247" cm="1">
        <f t="array" ref="G1247:J1247">_xlfn.XLOOKUP(A1247, Sheet1!A:A, Sheet1!C:F)</f>
        <v>8.5182000000000002</v>
      </c>
      <c r="H1247">
        <v>35.834000000000003</v>
      </c>
      <c r="I1247">
        <v>19.722000000000001</v>
      </c>
      <c r="J1247">
        <v>9.2931000000000008</v>
      </c>
    </row>
    <row r="1248" spans="1:10" x14ac:dyDescent="0.3">
      <c r="A1248" t="str" cm="1">
        <f t="array" ref="A1248">IF(ROW()&lt;=COUNTA(Sheet1!A:A), INDEX(Sheet1!A:A, ROW()),
INDEX(Sheet4!A:A, ROW()-COUNTA(Sheet1!A:A)))</f>
        <v>Al27.131Cr12.581Fe16.58Co19.247Ni24.462</v>
      </c>
      <c r="B1248" s="10">
        <f>_xlfn.XLOOKUP(A1248, Sheet4!A:A, Sheet4!C:C)</f>
        <v>0</v>
      </c>
      <c r="C1248" s="10">
        <v>-1</v>
      </c>
      <c r="D1248" s="10">
        <f>_xlfn.XLOOKUP(A1248, Sheet2!A:A, Sheet2!B:B)</f>
        <v>7.0735000000000001</v>
      </c>
      <c r="E1248" s="10">
        <f>_xlfn.XLOOKUP(A1248, Sheet1!A:A, Sheet1!G:G)</f>
        <v>-1</v>
      </c>
      <c r="F1248" s="10">
        <f t="shared" si="19"/>
        <v>-1</v>
      </c>
      <c r="G1248" cm="1">
        <f t="array" ref="G1248:J1248">_xlfn.XLOOKUP(A1248, Sheet1!A:A, Sheet1!C:F)</f>
        <v>13.9</v>
      </c>
      <c r="H1248">
        <v>36</v>
      </c>
      <c r="I1248">
        <v>9</v>
      </c>
      <c r="J1248">
        <v>14.4</v>
      </c>
    </row>
    <row r="1249" spans="1:10" x14ac:dyDescent="0.3">
      <c r="A1249" t="str" cm="1">
        <f t="array" ref="A1249">IF(ROW()&lt;=COUNTA(Sheet1!A:A), INDEX(Sheet1!A:A, ROW()),
INDEX(Sheet4!A:A, ROW()-COUNTA(Sheet1!A:A)))</f>
        <v>Al27.2Co18.2Cr18.2Fe18.2Ni18.2</v>
      </c>
      <c r="B1249" s="10" t="str">
        <f>_xlfn.XLOOKUP(A1249, Sheet4!A:A, Sheet4!C:C)</f>
        <v>IM</v>
      </c>
      <c r="C1249" s="10">
        <v>-1</v>
      </c>
      <c r="D1249" s="10">
        <f>_xlfn.XLOOKUP(A1249, Sheet2!A:A, Sheet2!B:B)</f>
        <v>6.8220000000000001</v>
      </c>
      <c r="E1249" s="10">
        <f>_xlfn.XLOOKUP(A1249, Sheet1!A:A, Sheet1!G:G)</f>
        <v>-1</v>
      </c>
      <c r="F1249" s="10">
        <f t="shared" si="19"/>
        <v>-1</v>
      </c>
      <c r="G1249" cm="1">
        <f t="array" ref="G1249:J1249">_xlfn.XLOOKUP(A1249, Sheet1!A:A, Sheet1!C:F)</f>
        <v>13.872999999999999</v>
      </c>
      <c r="H1249">
        <v>36.006</v>
      </c>
      <c r="I1249">
        <v>9.0012000000000008</v>
      </c>
      <c r="J1249">
        <v>14.419</v>
      </c>
    </row>
    <row r="1250" spans="1:10" x14ac:dyDescent="0.3">
      <c r="A1250" t="str" cm="1">
        <f t="array" ref="A1250">IF(ROW()&lt;=COUNTA(Sheet1!A:A), INDEX(Sheet1!A:A, ROW()),
INDEX(Sheet4!A:A, ROW()-COUNTA(Sheet1!A:A)))</f>
        <v>Al1.5CoCrFeNi</v>
      </c>
      <c r="B1250" s="10" t="str">
        <f>_xlfn.XLOOKUP(A1250, Sheet4!A:A, Sheet4!C:C)</f>
        <v>BCC</v>
      </c>
      <c r="C1250" s="10">
        <v>0</v>
      </c>
      <c r="D1250" s="10">
        <f>_xlfn.XLOOKUP(A1250, Sheet2!A:A, Sheet2!B:B)</f>
        <v>6.8182</v>
      </c>
      <c r="E1250" s="10">
        <f>_xlfn.XLOOKUP(A1250, Sheet1!A:A, Sheet1!G:G)</f>
        <v>-1</v>
      </c>
      <c r="F1250" s="10">
        <f t="shared" si="19"/>
        <v>0</v>
      </c>
      <c r="G1250" cm="1">
        <f t="array" ref="G1250:J1250">_xlfn.XLOOKUP(A1250, Sheet1!A:A, Sheet1!C:F)</f>
        <v>13.962</v>
      </c>
      <c r="H1250">
        <v>36.715000000000003</v>
      </c>
      <c r="I1250">
        <v>7.7866999999999997</v>
      </c>
      <c r="J1250">
        <v>14.648</v>
      </c>
    </row>
    <row r="1251" spans="1:10" x14ac:dyDescent="0.3">
      <c r="A1251" t="str" cm="1">
        <f t="array" ref="A1251">IF(ROW()&lt;=COUNTA(Sheet1!A:A), INDEX(Sheet1!A:A, ROW()),
INDEX(Sheet4!A:A, ROW()-COUNTA(Sheet1!A:A)))</f>
        <v>Al27.295Cr36.349Fe21.094Co7.4846Ni7.7773</v>
      </c>
      <c r="B1251" s="10">
        <f>_xlfn.XLOOKUP(A1251, Sheet4!A:A, Sheet4!C:C)</f>
        <v>0</v>
      </c>
      <c r="C1251" s="10">
        <v>-1</v>
      </c>
      <c r="D1251" s="10">
        <f>_xlfn.XLOOKUP(A1251, Sheet2!A:A, Sheet2!B:B)</f>
        <v>6.1387</v>
      </c>
      <c r="E1251" s="10">
        <f>_xlfn.XLOOKUP(A1251, Sheet1!A:A, Sheet1!G:G)</f>
        <v>-1</v>
      </c>
      <c r="F1251" s="10">
        <f t="shared" si="19"/>
        <v>-1</v>
      </c>
      <c r="G1251" cm="1">
        <f t="array" ref="G1251:J1251">_xlfn.XLOOKUP(A1251, Sheet1!A:A, Sheet1!C:F)</f>
        <v>14</v>
      </c>
      <c r="H1251">
        <v>36.700000000000003</v>
      </c>
      <c r="I1251">
        <v>7.8</v>
      </c>
      <c r="J1251">
        <v>14.6</v>
      </c>
    </row>
    <row r="1252" spans="1:10" x14ac:dyDescent="0.3">
      <c r="A1252" t="str" cm="1">
        <f t="array" ref="A1252">IF(ROW()&lt;=COUNTA(Sheet1!A:A), INDEX(Sheet1!A:A, ROW()),
INDEX(Sheet4!A:A, ROW()-COUNTA(Sheet1!A:A)))</f>
        <v>Al27.3Cr36.3Fe21.1Co7.5Ni7.8</v>
      </c>
      <c r="B1252" s="10">
        <f>_xlfn.XLOOKUP(A1252, Sheet4!A:A, Sheet4!C:C)</f>
        <v>0</v>
      </c>
      <c r="C1252" s="10">
        <v>-1</v>
      </c>
      <c r="D1252" s="10">
        <f>_xlfn.XLOOKUP(A1252, Sheet2!A:A, Sheet2!B:B)</f>
        <v>6.14</v>
      </c>
      <c r="E1252" s="10">
        <f>_xlfn.XLOOKUP(A1252, Sheet1!A:A, Sheet1!G:G)</f>
        <v>-1</v>
      </c>
      <c r="F1252" s="10">
        <f t="shared" si="19"/>
        <v>-1</v>
      </c>
      <c r="G1252" cm="1">
        <f t="array" ref="G1252:J1252">_xlfn.XLOOKUP(A1252, Sheet1!A:A, Sheet1!C:F)</f>
        <v>14.4</v>
      </c>
      <c r="H1252">
        <v>36.9</v>
      </c>
      <c r="I1252">
        <v>6.8</v>
      </c>
      <c r="J1252">
        <v>15</v>
      </c>
    </row>
    <row r="1253" spans="1:10" x14ac:dyDescent="0.3">
      <c r="A1253" t="str" cm="1">
        <f t="array" ref="A1253">IF(ROW()&lt;=COUNTA(Sheet1!A:A), INDEX(Sheet1!A:A, ROW()),
INDEX(Sheet4!A:A, ROW()-COUNTA(Sheet1!A:A)))</f>
        <v>Al27.469Cr37.183Fe13.087Co10.858Ni11.402</v>
      </c>
      <c r="B1253" s="10">
        <f>_xlfn.XLOOKUP(A1253, Sheet4!A:A, Sheet4!C:C)</f>
        <v>0</v>
      </c>
      <c r="C1253" s="10">
        <v>-1</v>
      </c>
      <c r="D1253" s="10">
        <f>_xlfn.XLOOKUP(A1253, Sheet2!A:A, Sheet2!B:B)</f>
        <v>6.2195</v>
      </c>
      <c r="E1253" s="10">
        <f>_xlfn.XLOOKUP(A1253, Sheet1!A:A, Sheet1!G:G)</f>
        <v>-1</v>
      </c>
      <c r="F1253" s="10">
        <f t="shared" si="19"/>
        <v>-1</v>
      </c>
      <c r="G1253" cm="1">
        <f t="array" ref="G1253:J1253">_xlfn.XLOOKUP(A1253, Sheet1!A:A, Sheet1!C:F)</f>
        <v>14.422000000000001</v>
      </c>
      <c r="H1253">
        <v>36.872</v>
      </c>
      <c r="I1253">
        <v>6.8079000000000001</v>
      </c>
      <c r="J1253">
        <v>14.988</v>
      </c>
    </row>
    <row r="1254" spans="1:10" x14ac:dyDescent="0.3">
      <c r="A1254" t="str" cm="1">
        <f t="array" ref="A1254">IF(ROW()&lt;=COUNTA(Sheet1!A:A), INDEX(Sheet1!A:A, ROW()),
INDEX(Sheet4!A:A, ROW()-COUNTA(Sheet1!A:A)))</f>
        <v>Al27.5Cr37.2Fe13.1Co10.9Ni11.4</v>
      </c>
      <c r="B1254" s="10">
        <f>_xlfn.XLOOKUP(A1254, Sheet4!A:A, Sheet4!C:C)</f>
        <v>0</v>
      </c>
      <c r="C1254" s="10">
        <v>-1</v>
      </c>
      <c r="D1254" s="10">
        <f>_xlfn.XLOOKUP(A1254, Sheet2!A:A, Sheet2!B:B)</f>
        <v>6.2198000000000002</v>
      </c>
      <c r="E1254" s="10">
        <f>_xlfn.XLOOKUP(A1254, Sheet1!A:A, Sheet1!G:G)</f>
        <v>-1</v>
      </c>
      <c r="F1254" s="10">
        <f t="shared" si="19"/>
        <v>-1</v>
      </c>
      <c r="G1254" cm="1">
        <f t="array" ref="G1254:J1254">_xlfn.XLOOKUP(A1254, Sheet1!A:A, Sheet1!C:F)</f>
        <v>10.388</v>
      </c>
      <c r="H1254">
        <v>35.837000000000003</v>
      </c>
      <c r="I1254">
        <v>15.648999999999999</v>
      </c>
      <c r="J1254">
        <v>11.164</v>
      </c>
    </row>
    <row r="1255" spans="1:10" x14ac:dyDescent="0.3">
      <c r="A1255" t="str" cm="1">
        <f t="array" ref="A1255">IF(ROW()&lt;=COUNTA(Sheet1!A:A), INDEX(Sheet1!A:A, ROW()),
INDEX(Sheet4!A:A, ROW()-COUNTA(Sheet1!A:A)))</f>
        <v>Al27.6Cr19Fe25.5Co12.2Ni15.7</v>
      </c>
      <c r="B1255" s="10">
        <f>_xlfn.XLOOKUP(A1255, Sheet4!A:A, Sheet4!C:C)</f>
        <v>0</v>
      </c>
      <c r="C1255" s="10">
        <v>-1</v>
      </c>
      <c r="D1255" s="10">
        <f>_xlfn.XLOOKUP(A1255, Sheet2!A:A, Sheet2!B:B)</f>
        <v>6.6760000000000002</v>
      </c>
      <c r="E1255" s="10">
        <f>_xlfn.XLOOKUP(A1255, Sheet1!A:A, Sheet1!G:G)</f>
        <v>-1</v>
      </c>
      <c r="F1255" s="10">
        <f t="shared" si="19"/>
        <v>-1</v>
      </c>
      <c r="G1255" cm="1">
        <f t="array" ref="G1255:J1255">_xlfn.XLOOKUP(A1255, Sheet1!A:A, Sheet1!C:F)</f>
        <v>10.4</v>
      </c>
      <c r="H1255">
        <v>35.799999999999997</v>
      </c>
      <c r="I1255">
        <v>15.6</v>
      </c>
      <c r="J1255">
        <v>11.2</v>
      </c>
    </row>
    <row r="1256" spans="1:10" x14ac:dyDescent="0.3">
      <c r="A1256" t="str" cm="1">
        <f t="array" ref="A1256">IF(ROW()&lt;=COUNTA(Sheet1!A:A), INDEX(Sheet1!A:A, ROW()),
INDEX(Sheet4!A:A, ROW()-COUNTA(Sheet1!A:A)))</f>
        <v>Al27.627Cr18.993Fe25.477Co12.218Ni15.684</v>
      </c>
      <c r="B1256" s="10">
        <f>_xlfn.XLOOKUP(A1256, Sheet4!A:A, Sheet4!C:C)</f>
        <v>0</v>
      </c>
      <c r="C1256" s="10">
        <v>-1</v>
      </c>
      <c r="D1256" s="10">
        <f>_xlfn.XLOOKUP(A1256, Sheet2!A:A, Sheet2!B:B)</f>
        <v>6.6745999999999999</v>
      </c>
      <c r="E1256" s="10">
        <f>_xlfn.XLOOKUP(A1256, Sheet1!A:A, Sheet1!G:G)</f>
        <v>-1</v>
      </c>
      <c r="F1256" s="10">
        <f t="shared" si="19"/>
        <v>-1</v>
      </c>
      <c r="G1256" cm="1">
        <f t="array" ref="G1256:J1256">_xlfn.XLOOKUP(A1256, Sheet1!A:A, Sheet1!C:F)</f>
        <v>19.2</v>
      </c>
      <c r="H1256">
        <v>12.6</v>
      </c>
      <c r="I1256">
        <v>16.600000000000001</v>
      </c>
      <c r="J1256">
        <v>24.5</v>
      </c>
    </row>
    <row r="1257" spans="1:10" x14ac:dyDescent="0.3">
      <c r="A1257" t="str" cm="1">
        <f t="array" ref="A1257">IF(ROW()&lt;=COUNTA(Sheet1!A:A), INDEX(Sheet1!A:A, ROW()),
INDEX(Sheet4!A:A, ROW()-COUNTA(Sheet1!A:A)))</f>
        <v>Al27.8Cr37.2Fe16.8Co8.9Ni9.3</v>
      </c>
      <c r="B1257" s="10">
        <f>_xlfn.XLOOKUP(A1257, Sheet4!A:A, Sheet4!C:C)</f>
        <v>0</v>
      </c>
      <c r="C1257" s="10">
        <v>-1</v>
      </c>
      <c r="D1257" s="10">
        <f>_xlfn.XLOOKUP(A1257, Sheet2!A:A, Sheet2!B:B)</f>
        <v>6.141</v>
      </c>
      <c r="E1257" s="10">
        <f>_xlfn.XLOOKUP(A1257, Sheet1!A:A, Sheet1!G:G)</f>
        <v>-1</v>
      </c>
      <c r="F1257" s="10">
        <f t="shared" si="19"/>
        <v>-1</v>
      </c>
      <c r="G1257" cm="1">
        <f t="array" ref="G1257:J1257">_xlfn.XLOOKUP(A1257, Sheet1!A:A, Sheet1!C:F)</f>
        <v>19.247</v>
      </c>
      <c r="H1257">
        <v>12.581</v>
      </c>
      <c r="I1257">
        <v>16.579999999999998</v>
      </c>
      <c r="J1257">
        <v>24.462</v>
      </c>
    </row>
    <row r="1258" spans="1:10" x14ac:dyDescent="0.3">
      <c r="A1258" t="str" cm="1">
        <f t="array" ref="A1258">IF(ROW()&lt;=COUNTA(Sheet1!A:A), INDEX(Sheet1!A:A, ROW()),
INDEX(Sheet4!A:A, ROW()-COUNTA(Sheet1!A:A)))</f>
        <v>Al27.834Cr37.182Fe16.772Co8.9296Ni9.2823</v>
      </c>
      <c r="B1258" s="10">
        <f>_xlfn.XLOOKUP(A1258, Sheet4!A:A, Sheet4!C:C)</f>
        <v>0</v>
      </c>
      <c r="C1258" s="10">
        <v>-1</v>
      </c>
      <c r="D1258" s="10">
        <f>_xlfn.XLOOKUP(A1258, Sheet2!A:A, Sheet2!B:B)</f>
        <v>6.1395999999999997</v>
      </c>
      <c r="E1258" s="10">
        <f>_xlfn.XLOOKUP(A1258, Sheet1!A:A, Sheet1!G:G)</f>
        <v>-1</v>
      </c>
      <c r="F1258" s="10">
        <f t="shared" si="19"/>
        <v>-1</v>
      </c>
      <c r="G1258" cm="1">
        <f t="array" ref="G1258:J1258">_xlfn.XLOOKUP(A1258, Sheet1!A:A, Sheet1!C:F)</f>
        <v>18.2</v>
      </c>
      <c r="H1258">
        <v>18.2</v>
      </c>
      <c r="I1258">
        <v>18.2</v>
      </c>
      <c r="J1258">
        <v>18.2</v>
      </c>
    </row>
    <row r="1259" spans="1:10" x14ac:dyDescent="0.3">
      <c r="A1259" t="str" cm="1">
        <f t="array" ref="A1259">IF(ROW()&lt;=COUNTA(Sheet1!A:A), INDEX(Sheet1!A:A, ROW()),
INDEX(Sheet4!A:A, ROW()-COUNTA(Sheet1!A:A)))</f>
        <v>Al28.1Cr21.4Fe29Co9.4Ni12.1</v>
      </c>
      <c r="B1259" s="10">
        <f>_xlfn.XLOOKUP(A1259, Sheet4!A:A, Sheet4!C:C)</f>
        <v>0</v>
      </c>
      <c r="C1259" s="10">
        <v>-1</v>
      </c>
      <c r="D1259" s="10">
        <f>_xlfn.XLOOKUP(A1259, Sheet2!A:A, Sheet2!B:B)</f>
        <v>6.5030000000000001</v>
      </c>
      <c r="E1259" s="10">
        <f>_xlfn.XLOOKUP(A1259, Sheet1!A:A, Sheet1!G:G)</f>
        <v>-1</v>
      </c>
      <c r="F1259" s="10">
        <f t="shared" si="19"/>
        <v>-1</v>
      </c>
      <c r="G1259" cm="1">
        <f t="array" ref="G1259:J1259">_xlfn.XLOOKUP(A1259, Sheet1!A:A, Sheet1!C:F)</f>
        <v>18.18181818</v>
      </c>
      <c r="H1259">
        <v>18.18181818</v>
      </c>
      <c r="I1259">
        <v>18.18181818</v>
      </c>
      <c r="J1259">
        <v>18.18181818</v>
      </c>
    </row>
    <row r="1260" spans="1:10" x14ac:dyDescent="0.3">
      <c r="A1260" t="str" cm="1">
        <f t="array" ref="A1260">IF(ROW()&lt;=COUNTA(Sheet1!A:A), INDEX(Sheet1!A:A, ROW()),
INDEX(Sheet4!A:A, ROW()-COUNTA(Sheet1!A:A)))</f>
        <v>Al28.114Cr21.439Fe28.985Co9.3671Ni12.095</v>
      </c>
      <c r="B1260" s="10">
        <f>_xlfn.XLOOKUP(A1260, Sheet4!A:A, Sheet4!C:C)</f>
        <v>0</v>
      </c>
      <c r="C1260" s="10">
        <v>-1</v>
      </c>
      <c r="D1260" s="10">
        <f>_xlfn.XLOOKUP(A1260, Sheet2!A:A, Sheet2!B:B)</f>
        <v>6.5011000000000001</v>
      </c>
      <c r="E1260" s="10">
        <f>_xlfn.XLOOKUP(A1260, Sheet1!A:A, Sheet1!G:G)</f>
        <v>-1</v>
      </c>
      <c r="F1260" s="10">
        <f t="shared" si="19"/>
        <v>-1</v>
      </c>
      <c r="G1260" cm="1">
        <f t="array" ref="G1260:J1260">_xlfn.XLOOKUP(A1260, Sheet1!A:A, Sheet1!C:F)</f>
        <v>7.4846000000000004</v>
      </c>
      <c r="H1260">
        <v>36.348999999999997</v>
      </c>
      <c r="I1260">
        <v>21.094000000000001</v>
      </c>
      <c r="J1260">
        <v>7.7773000000000003</v>
      </c>
    </row>
    <row r="1261" spans="1:10" x14ac:dyDescent="0.3">
      <c r="A1261" t="str" cm="1">
        <f t="array" ref="A1261">IF(ROW()&lt;=COUNTA(Sheet1!A:A), INDEX(Sheet1!A:A, ROW()),
INDEX(Sheet4!A:A, ROW()-COUNTA(Sheet1!A:A)))</f>
        <v>Al28.212Cr25.006Fe33.438Co5.8137Ni7.5305</v>
      </c>
      <c r="B1261" s="10">
        <f>_xlfn.XLOOKUP(A1261, Sheet4!A:A, Sheet4!C:C)</f>
        <v>0</v>
      </c>
      <c r="C1261" s="10">
        <v>-1</v>
      </c>
      <c r="D1261" s="10">
        <f>_xlfn.XLOOKUP(A1261, Sheet2!A:A, Sheet2!B:B)</f>
        <v>6.298</v>
      </c>
      <c r="E1261" s="10">
        <f>_xlfn.XLOOKUP(A1261, Sheet1!A:A, Sheet1!G:G)</f>
        <v>-1</v>
      </c>
      <c r="F1261" s="10">
        <f t="shared" si="19"/>
        <v>-1</v>
      </c>
      <c r="G1261" cm="1">
        <f t="array" ref="G1261:J1261">_xlfn.XLOOKUP(A1261, Sheet1!A:A, Sheet1!C:F)</f>
        <v>7.5</v>
      </c>
      <c r="H1261">
        <v>36.299999999999997</v>
      </c>
      <c r="I1261">
        <v>21.1</v>
      </c>
      <c r="J1261">
        <v>7.8</v>
      </c>
    </row>
    <row r="1262" spans="1:10" x14ac:dyDescent="0.3">
      <c r="A1262" t="str" cm="1">
        <f t="array" ref="A1262">IF(ROW()&lt;=COUNTA(Sheet1!A:A), INDEX(Sheet1!A:A, ROW()),
INDEX(Sheet4!A:A, ROW()-COUNTA(Sheet1!A:A)))</f>
        <v>Al28.2Cr25Fe33.4Co5.8Ni7.5</v>
      </c>
      <c r="B1262" s="10">
        <f>_xlfn.XLOOKUP(A1262, Sheet4!A:A, Sheet4!C:C)</f>
        <v>0</v>
      </c>
      <c r="C1262" s="10">
        <v>-1</v>
      </c>
      <c r="D1262" s="10">
        <f>_xlfn.XLOOKUP(A1262, Sheet2!A:A, Sheet2!B:B)</f>
        <v>6.2962999999999996</v>
      </c>
      <c r="E1262" s="10">
        <f>_xlfn.XLOOKUP(A1262, Sheet1!A:A, Sheet1!G:G)</f>
        <v>-1</v>
      </c>
      <c r="F1262" s="10">
        <f t="shared" si="19"/>
        <v>-1</v>
      </c>
      <c r="G1262" cm="1">
        <f t="array" ref="G1262:J1262">_xlfn.XLOOKUP(A1262, Sheet1!A:A, Sheet1!C:F)</f>
        <v>10.858000000000001</v>
      </c>
      <c r="H1262">
        <v>37.183</v>
      </c>
      <c r="I1262">
        <v>13.087</v>
      </c>
      <c r="J1262">
        <v>11.401999999999999</v>
      </c>
    </row>
    <row r="1263" spans="1:10" x14ac:dyDescent="0.3">
      <c r="A1263" t="str" cm="1">
        <f t="array" ref="A1263">IF(ROW()&lt;=COUNTA(Sheet1!A:A), INDEX(Sheet1!A:A, ROW()),
INDEX(Sheet4!A:A, ROW()-COUNTA(Sheet1!A:A)))</f>
        <v>Al28.3Cr37.9Fe11.2Co11Ni11.6</v>
      </c>
      <c r="B1263" s="10">
        <f>_xlfn.XLOOKUP(A1263, Sheet4!A:A, Sheet4!C:C)</f>
        <v>0</v>
      </c>
      <c r="C1263" s="10">
        <v>-1</v>
      </c>
      <c r="D1263" s="10">
        <f>_xlfn.XLOOKUP(A1263, Sheet2!A:A, Sheet2!B:B)</f>
        <v>6.1689999999999996</v>
      </c>
      <c r="E1263" s="10">
        <f>_xlfn.XLOOKUP(A1263, Sheet1!A:A, Sheet1!G:G)</f>
        <v>-1</v>
      </c>
      <c r="F1263" s="10">
        <f t="shared" si="19"/>
        <v>-1</v>
      </c>
      <c r="G1263" cm="1">
        <f t="array" ref="G1263:J1263">_xlfn.XLOOKUP(A1263, Sheet1!A:A, Sheet1!C:F)</f>
        <v>10.9</v>
      </c>
      <c r="H1263">
        <v>37.200000000000003</v>
      </c>
      <c r="I1263">
        <v>13.1</v>
      </c>
      <c r="J1263">
        <v>11.4</v>
      </c>
    </row>
    <row r="1264" spans="1:10" x14ac:dyDescent="0.3">
      <c r="A1264" t="str" cm="1">
        <f t="array" ref="A1264">IF(ROW()&lt;=COUNTA(Sheet1!A:A), INDEX(Sheet1!A:A, ROW()),
INDEX(Sheet4!A:A, ROW()-COUNTA(Sheet1!A:A)))</f>
        <v>Al28.338Cr37.884Fe11.159Co10.978Ni11.64</v>
      </c>
      <c r="B1264" s="10">
        <f>_xlfn.XLOOKUP(A1264, Sheet4!A:A, Sheet4!C:C)</f>
        <v>0</v>
      </c>
      <c r="C1264" s="10">
        <v>-1</v>
      </c>
      <c r="D1264" s="10">
        <f>_xlfn.XLOOKUP(A1264, Sheet2!A:A, Sheet2!B:B)</f>
        <v>6.1680000000000001</v>
      </c>
      <c r="E1264" s="10">
        <f>_xlfn.XLOOKUP(A1264, Sheet1!A:A, Sheet1!G:G)</f>
        <v>-1</v>
      </c>
      <c r="F1264" s="10">
        <f t="shared" si="19"/>
        <v>-1</v>
      </c>
      <c r="G1264" cm="1">
        <f t="array" ref="G1264:J1264">_xlfn.XLOOKUP(A1264, Sheet1!A:A, Sheet1!C:F)</f>
        <v>12.2</v>
      </c>
      <c r="H1264">
        <v>19</v>
      </c>
      <c r="I1264">
        <v>25.5</v>
      </c>
      <c r="J1264">
        <v>15.7</v>
      </c>
    </row>
    <row r="1265" spans="1:10" x14ac:dyDescent="0.3">
      <c r="A1265" t="str" cm="1">
        <f t="array" ref="A1265">IF(ROW()&lt;=COUNTA(Sheet1!A:A), INDEX(Sheet1!A:A, ROW()),
INDEX(Sheet4!A:A, ROW()-COUNTA(Sheet1!A:A)))</f>
        <v>Al28.4Cr38Fe18Co7.6Ni8</v>
      </c>
      <c r="B1265" s="10">
        <f>_xlfn.XLOOKUP(A1265, Sheet4!A:A, Sheet4!C:C)</f>
        <v>0</v>
      </c>
      <c r="C1265" s="10">
        <v>-1</v>
      </c>
      <c r="D1265" s="10">
        <f>_xlfn.XLOOKUP(A1265, Sheet2!A:A, Sheet2!B:B)</f>
        <v>6.056</v>
      </c>
      <c r="E1265" s="10">
        <f>_xlfn.XLOOKUP(A1265, Sheet1!A:A, Sheet1!G:G)</f>
        <v>-1</v>
      </c>
      <c r="F1265" s="10">
        <f t="shared" si="19"/>
        <v>-1</v>
      </c>
      <c r="G1265" cm="1">
        <f t="array" ref="G1265:J1265">_xlfn.XLOOKUP(A1265, Sheet1!A:A, Sheet1!C:F)</f>
        <v>12.218</v>
      </c>
      <c r="H1265">
        <v>18.992999999999999</v>
      </c>
      <c r="I1265">
        <v>25.477</v>
      </c>
      <c r="J1265">
        <v>15.683999999999999</v>
      </c>
    </row>
    <row r="1266" spans="1:10" x14ac:dyDescent="0.3">
      <c r="A1266" t="str" cm="1">
        <f t="array" ref="A1266">IF(ROW()&lt;=COUNTA(Sheet1!A:A), INDEX(Sheet1!A:A, ROW()),
INDEX(Sheet4!A:A, ROW()-COUNTA(Sheet1!A:A)))</f>
        <v>Al28.448Cr37.969Fe18.017Co7.5603Ni8.0057</v>
      </c>
      <c r="B1266" s="10">
        <f>_xlfn.XLOOKUP(A1266, Sheet4!A:A, Sheet4!C:C)</f>
        <v>0</v>
      </c>
      <c r="C1266" s="10">
        <v>-1</v>
      </c>
      <c r="D1266" s="10">
        <f>_xlfn.XLOOKUP(A1266, Sheet2!A:A, Sheet2!B:B)</f>
        <v>6.0538999999999996</v>
      </c>
      <c r="E1266" s="10">
        <f>_xlfn.XLOOKUP(A1266, Sheet1!A:A, Sheet1!G:G)</f>
        <v>-1</v>
      </c>
      <c r="F1266" s="10">
        <f t="shared" si="19"/>
        <v>-1</v>
      </c>
      <c r="G1266" cm="1">
        <f t="array" ref="G1266:J1266">_xlfn.XLOOKUP(A1266, Sheet1!A:A, Sheet1!C:F)</f>
        <v>8.9</v>
      </c>
      <c r="H1266">
        <v>37.200000000000003</v>
      </c>
      <c r="I1266">
        <v>16.8</v>
      </c>
      <c r="J1266">
        <v>9.3000000000000007</v>
      </c>
    </row>
    <row r="1267" spans="1:10" x14ac:dyDescent="0.3">
      <c r="A1267" t="str" cm="1">
        <f t="array" ref="A1267">IF(ROW()&lt;=COUNTA(Sheet1!A:A), INDEX(Sheet1!A:A, ROW()),
INDEX(Sheet4!A:A, ROW()-COUNTA(Sheet1!A:A)))</f>
        <v>Al28.467Cr17.603Fe23.497Co13.352Ni17.081</v>
      </c>
      <c r="B1267" s="10">
        <f>_xlfn.XLOOKUP(A1267, Sheet4!A:A, Sheet4!C:C)</f>
        <v>0</v>
      </c>
      <c r="C1267" s="10">
        <v>-1</v>
      </c>
      <c r="D1267" s="10">
        <f>_xlfn.XLOOKUP(A1267, Sheet2!A:A, Sheet2!B:B)</f>
        <v>6.6997</v>
      </c>
      <c r="E1267" s="10">
        <f>_xlfn.XLOOKUP(A1267, Sheet1!A:A, Sheet1!G:G)</f>
        <v>-1</v>
      </c>
      <c r="F1267" s="10">
        <f t="shared" si="19"/>
        <v>-1</v>
      </c>
      <c r="G1267" cm="1">
        <f t="array" ref="G1267:J1267">_xlfn.XLOOKUP(A1267, Sheet1!A:A, Sheet1!C:F)</f>
        <v>8.9296000000000006</v>
      </c>
      <c r="H1267">
        <v>37.182000000000002</v>
      </c>
      <c r="I1267">
        <v>16.771999999999998</v>
      </c>
      <c r="J1267">
        <v>9.2822999999999993</v>
      </c>
    </row>
    <row r="1268" spans="1:10" x14ac:dyDescent="0.3">
      <c r="A1268" t="str" cm="1">
        <f t="array" ref="A1268">IF(ROW()&lt;=COUNTA(Sheet1!A:A), INDEX(Sheet1!A:A, ROW()),
INDEX(Sheet4!A:A, ROW()-COUNTA(Sheet1!A:A)))</f>
        <v>Al28.5Cr17.6Fe23.5Co13.4Ni17.1</v>
      </c>
      <c r="B1268" s="10">
        <f>_xlfn.XLOOKUP(A1268, Sheet4!A:A, Sheet4!C:C)</f>
        <v>0</v>
      </c>
      <c r="C1268" s="10">
        <v>-1</v>
      </c>
      <c r="D1268" s="10">
        <f>_xlfn.XLOOKUP(A1268, Sheet2!A:A, Sheet2!B:B)</f>
        <v>6.7003000000000004</v>
      </c>
      <c r="E1268" s="10">
        <f>_xlfn.XLOOKUP(A1268, Sheet1!A:A, Sheet1!G:G)</f>
        <v>-1</v>
      </c>
      <c r="F1268" s="10">
        <f t="shared" si="19"/>
        <v>-1</v>
      </c>
      <c r="G1268" cm="1">
        <f t="array" ref="G1268:J1268">_xlfn.XLOOKUP(A1268, Sheet1!A:A, Sheet1!C:F)</f>
        <v>9.4</v>
      </c>
      <c r="H1268">
        <v>21.4</v>
      </c>
      <c r="I1268">
        <v>29</v>
      </c>
      <c r="J1268">
        <v>12.1</v>
      </c>
    </row>
    <row r="1269" spans="1:10" x14ac:dyDescent="0.3">
      <c r="A1269" t="str" cm="1">
        <f t="array" ref="A1269">IF(ROW()&lt;=COUNTA(Sheet1!A:A), INDEX(Sheet1!A:A, ROW()),
INDEX(Sheet4!A:A, ROW()-COUNTA(Sheet1!A:A)))</f>
        <v>Al28.491Cr23.313Fe31.087Co7.4228Ni9.6867</v>
      </c>
      <c r="B1269" s="10">
        <f>_xlfn.XLOOKUP(A1269, Sheet4!A:A, Sheet4!C:C)</f>
        <v>0</v>
      </c>
      <c r="C1269" s="10">
        <v>-1</v>
      </c>
      <c r="D1269" s="10">
        <f>_xlfn.XLOOKUP(A1269, Sheet2!A:A, Sheet2!B:B)</f>
        <v>6.3772000000000002</v>
      </c>
      <c r="E1269" s="10">
        <f>_xlfn.XLOOKUP(A1269, Sheet1!A:A, Sheet1!G:G)</f>
        <v>-1</v>
      </c>
      <c r="F1269" s="10">
        <f t="shared" si="19"/>
        <v>-1</v>
      </c>
      <c r="G1269" cm="1">
        <f t="array" ref="G1269:J1269">_xlfn.XLOOKUP(A1269, Sheet1!A:A, Sheet1!C:F)</f>
        <v>9.3671000000000006</v>
      </c>
      <c r="H1269">
        <v>21.439</v>
      </c>
      <c r="I1269">
        <v>28.984999999999999</v>
      </c>
      <c r="J1269">
        <v>12.095000000000001</v>
      </c>
    </row>
    <row r="1270" spans="1:10" x14ac:dyDescent="0.3">
      <c r="A1270" t="str" cm="1">
        <f t="array" ref="A1270">IF(ROW()&lt;=COUNTA(Sheet1!A:A), INDEX(Sheet1!A:A, ROW()),
INDEX(Sheet4!A:A, ROW()-COUNTA(Sheet1!A:A)))</f>
        <v>Al28.5Cr23.3Fe31.1Co7.4Ni9.7</v>
      </c>
      <c r="B1270" s="10">
        <f>_xlfn.XLOOKUP(A1270, Sheet4!A:A, Sheet4!C:C)</f>
        <v>0</v>
      </c>
      <c r="C1270" s="10">
        <v>-1</v>
      </c>
      <c r="D1270" s="10">
        <f>_xlfn.XLOOKUP(A1270, Sheet2!A:A, Sheet2!B:B)</f>
        <v>6.3769999999999998</v>
      </c>
      <c r="E1270" s="10">
        <f>_xlfn.XLOOKUP(A1270, Sheet1!A:A, Sheet1!G:G)</f>
        <v>-1</v>
      </c>
      <c r="F1270" s="10">
        <f t="shared" si="19"/>
        <v>-1</v>
      </c>
      <c r="G1270" cm="1">
        <f t="array" ref="G1270:J1270">_xlfn.XLOOKUP(A1270, Sheet1!A:A, Sheet1!C:F)</f>
        <v>5.8136999999999999</v>
      </c>
      <c r="H1270">
        <v>25.006</v>
      </c>
      <c r="I1270">
        <v>33.438000000000002</v>
      </c>
      <c r="J1270">
        <v>7.5305</v>
      </c>
    </row>
    <row r="1271" spans="1:10" x14ac:dyDescent="0.3">
      <c r="A1271" t="str" cm="1">
        <f t="array" ref="A1271">IF(ROW()&lt;=COUNTA(Sheet1!A:A), INDEX(Sheet1!A:A, ROW()),
INDEX(Sheet4!A:A, ROW()-COUNTA(Sheet1!A:A)))</f>
        <v>Al1.6CoCrFeNi</v>
      </c>
      <c r="B1271" s="10">
        <f>_xlfn.XLOOKUP(A1271, Sheet4!A:A, Sheet4!C:C)</f>
        <v>0</v>
      </c>
      <c r="C1271" s="10">
        <v>-1</v>
      </c>
      <c r="D1271" s="10">
        <f>_xlfn.XLOOKUP(A1271, Sheet2!A:A, Sheet2!B:B)</f>
        <v>6.75</v>
      </c>
      <c r="E1271" s="10">
        <f>_xlfn.XLOOKUP(A1271, Sheet1!A:A, Sheet1!G:G)</f>
        <v>-1</v>
      </c>
      <c r="F1271" s="10">
        <f t="shared" si="19"/>
        <v>-1</v>
      </c>
      <c r="G1271" cm="1">
        <f t="array" ref="G1271:J1271">_xlfn.XLOOKUP(A1271, Sheet1!A:A, Sheet1!C:F)</f>
        <v>5.8</v>
      </c>
      <c r="H1271">
        <v>25</v>
      </c>
      <c r="I1271">
        <v>33.4</v>
      </c>
      <c r="J1271">
        <v>7.5</v>
      </c>
    </row>
    <row r="1272" spans="1:10" x14ac:dyDescent="0.3">
      <c r="A1272" t="str" cm="1">
        <f t="array" ref="A1272">IF(ROW()&lt;=COUNTA(Sheet1!A:A), INDEX(Sheet1!A:A, ROW()),
INDEX(Sheet4!A:A, ROW()-COUNTA(Sheet1!A:A)))</f>
        <v>Al28.774Cr38.574Fe9.4211Co11.432Ni11.799</v>
      </c>
      <c r="B1272" s="10">
        <f>_xlfn.XLOOKUP(A1272, Sheet4!A:A, Sheet4!C:C)</f>
        <v>0</v>
      </c>
      <c r="C1272" s="10">
        <v>-1</v>
      </c>
      <c r="D1272" s="10">
        <f>_xlfn.XLOOKUP(A1272, Sheet2!A:A, Sheet2!B:B)</f>
        <v>6.1401000000000003</v>
      </c>
      <c r="E1272" s="10">
        <f>_xlfn.XLOOKUP(A1272, Sheet1!A:A, Sheet1!G:G)</f>
        <v>-1</v>
      </c>
      <c r="F1272" s="10">
        <f t="shared" si="19"/>
        <v>-1</v>
      </c>
      <c r="G1272" cm="1">
        <f t="array" ref="G1272:J1272">_xlfn.XLOOKUP(A1272, Sheet1!A:A, Sheet1!C:F)</f>
        <v>11</v>
      </c>
      <c r="H1272">
        <v>37.9</v>
      </c>
      <c r="I1272">
        <v>11.2</v>
      </c>
      <c r="J1272">
        <v>11.6</v>
      </c>
    </row>
    <row r="1273" spans="1:10" x14ac:dyDescent="0.3">
      <c r="A1273" t="str" cm="1">
        <f t="array" ref="A1273">IF(ROW()&lt;=COUNTA(Sheet1!A:A), INDEX(Sheet1!A:A, ROW()),
INDEX(Sheet4!A:A, ROW()-COUNTA(Sheet1!A:A)))</f>
        <v>Al28.796Cr16.214Fe21.66Co14.848Ni18.482</v>
      </c>
      <c r="B1273" s="10">
        <f>_xlfn.XLOOKUP(A1273, Sheet4!A:A, Sheet4!C:C)</f>
        <v>0</v>
      </c>
      <c r="C1273" s="10">
        <v>-1</v>
      </c>
      <c r="D1273" s="10">
        <f>_xlfn.XLOOKUP(A1273, Sheet2!A:A, Sheet2!B:B)</f>
        <v>6.7539999999999996</v>
      </c>
      <c r="E1273" s="10">
        <f>_xlfn.XLOOKUP(A1273, Sheet1!A:A, Sheet1!G:G)</f>
        <v>-1</v>
      </c>
      <c r="F1273" s="10">
        <f t="shared" si="19"/>
        <v>-1</v>
      </c>
      <c r="G1273" cm="1">
        <f t="array" ref="G1273:J1273">_xlfn.XLOOKUP(A1273, Sheet1!A:A, Sheet1!C:F)</f>
        <v>10.978</v>
      </c>
      <c r="H1273">
        <v>37.884</v>
      </c>
      <c r="I1273">
        <v>11.159000000000001</v>
      </c>
      <c r="J1273">
        <v>11.64</v>
      </c>
    </row>
    <row r="1274" spans="1:10" x14ac:dyDescent="0.3">
      <c r="A1274" t="str" cm="1">
        <f t="array" ref="A1274">IF(ROW()&lt;=COUNTA(Sheet1!A:A), INDEX(Sheet1!A:A, ROW()),
INDEX(Sheet4!A:A, ROW()-COUNTA(Sheet1!A:A)))</f>
        <v>Al28.8Cr38.6Fe9.4Co11.4Ni11.8</v>
      </c>
      <c r="B1274" s="10">
        <f>_xlfn.XLOOKUP(A1274, Sheet4!A:A, Sheet4!C:C)</f>
        <v>0</v>
      </c>
      <c r="C1274" s="10">
        <v>-1</v>
      </c>
      <c r="D1274" s="10">
        <f>_xlfn.XLOOKUP(A1274, Sheet2!A:A, Sheet2!B:B)</f>
        <v>6.1379999999999999</v>
      </c>
      <c r="E1274" s="10">
        <f>_xlfn.XLOOKUP(A1274, Sheet1!A:A, Sheet1!G:G)</f>
        <v>-1</v>
      </c>
      <c r="F1274" s="10">
        <f t="shared" si="19"/>
        <v>-1</v>
      </c>
      <c r="G1274" cm="1">
        <f t="array" ref="G1274:J1274">_xlfn.XLOOKUP(A1274, Sheet1!A:A, Sheet1!C:F)</f>
        <v>7.6</v>
      </c>
      <c r="H1274">
        <v>38</v>
      </c>
      <c r="I1274">
        <v>18</v>
      </c>
      <c r="J1274">
        <v>8</v>
      </c>
    </row>
    <row r="1275" spans="1:10" x14ac:dyDescent="0.3">
      <c r="A1275" t="str" cm="1">
        <f t="array" ref="A1275">IF(ROW()&lt;=COUNTA(Sheet1!A:A), INDEX(Sheet1!A:A, ROW()),
INDEX(Sheet4!A:A, ROW()-COUNTA(Sheet1!A:A)))</f>
        <v>Al28.8Cr16.2Fe21.7Co14.8Ni18.5</v>
      </c>
      <c r="B1275" s="10">
        <f>_xlfn.XLOOKUP(A1275, Sheet4!A:A, Sheet4!C:C)</f>
        <v>0</v>
      </c>
      <c r="C1275" s="10">
        <v>-1</v>
      </c>
      <c r="D1275" s="10">
        <f>_xlfn.XLOOKUP(A1275, Sheet2!A:A, Sheet2!B:B)</f>
        <v>6.7539999999999996</v>
      </c>
      <c r="E1275" s="10">
        <f>_xlfn.XLOOKUP(A1275, Sheet1!A:A, Sheet1!G:G)</f>
        <v>-1</v>
      </c>
      <c r="F1275" s="10">
        <f t="shared" si="19"/>
        <v>-1</v>
      </c>
      <c r="G1275" cm="1">
        <f t="array" ref="G1275:J1275">_xlfn.XLOOKUP(A1275, Sheet1!A:A, Sheet1!C:F)</f>
        <v>7.5602999999999998</v>
      </c>
      <c r="H1275">
        <v>37.969000000000001</v>
      </c>
      <c r="I1275">
        <v>18.016999999999999</v>
      </c>
      <c r="J1275">
        <v>8.0056999999999992</v>
      </c>
    </row>
    <row r="1276" spans="1:10" x14ac:dyDescent="0.3">
      <c r="A1276" t="str" cm="1">
        <f t="array" ref="A1276">IF(ROW()&lt;=COUNTA(Sheet1!A:A), INDEX(Sheet1!A:A, ROW()),
INDEX(Sheet4!A:A, ROW()-COUNTA(Sheet1!A:A)))</f>
        <v>Al28.9Cr39.6Fe7.1Co12Ni12.4</v>
      </c>
      <c r="B1276" s="10">
        <f>_xlfn.XLOOKUP(A1276, Sheet4!A:A, Sheet4!C:C)</f>
        <v>0</v>
      </c>
      <c r="C1276" s="10">
        <v>-1</v>
      </c>
      <c r="D1276" s="10">
        <f>_xlfn.XLOOKUP(A1276, Sheet2!A:A, Sheet2!B:B)</f>
        <v>6.1310000000000002</v>
      </c>
      <c r="E1276" s="10">
        <f>_xlfn.XLOOKUP(A1276, Sheet1!A:A, Sheet1!G:G)</f>
        <v>-1</v>
      </c>
      <c r="F1276" s="10">
        <f t="shared" si="19"/>
        <v>-1</v>
      </c>
      <c r="G1276" cm="1">
        <f t="array" ref="G1276:J1276">_xlfn.XLOOKUP(A1276, Sheet1!A:A, Sheet1!C:F)</f>
        <v>13.352</v>
      </c>
      <c r="H1276">
        <v>17.603000000000002</v>
      </c>
      <c r="I1276">
        <v>23.497</v>
      </c>
      <c r="J1276">
        <v>17.081</v>
      </c>
    </row>
    <row r="1277" spans="1:10" x14ac:dyDescent="0.3">
      <c r="A1277" t="str" cm="1">
        <f t="array" ref="A1277">IF(ROW()&lt;=COUNTA(Sheet1!A:A), INDEX(Sheet1!A:A, ROW()),
INDEX(Sheet4!A:A, ROW()-COUNTA(Sheet1!A:A)))</f>
        <v>Al28.9Cr38.7Fe13.9Co9Ni9.4</v>
      </c>
      <c r="B1277" s="10">
        <f>_xlfn.XLOOKUP(A1277, Sheet4!A:A, Sheet4!C:C)</f>
        <v>0</v>
      </c>
      <c r="C1277" s="10">
        <v>-1</v>
      </c>
      <c r="D1277" s="10">
        <f>_xlfn.XLOOKUP(A1277, Sheet2!A:A, Sheet2!B:B)</f>
        <v>6.0571000000000002</v>
      </c>
      <c r="E1277" s="10">
        <f>_xlfn.XLOOKUP(A1277, Sheet1!A:A, Sheet1!G:G)</f>
        <v>-1</v>
      </c>
      <c r="F1277" s="10">
        <f t="shared" si="19"/>
        <v>-1</v>
      </c>
      <c r="G1277" cm="1">
        <f t="array" ref="G1277:J1277">_xlfn.XLOOKUP(A1277, Sheet1!A:A, Sheet1!C:F)</f>
        <v>13.4</v>
      </c>
      <c r="H1277">
        <v>17.600000000000001</v>
      </c>
      <c r="I1277">
        <v>23.5</v>
      </c>
      <c r="J1277">
        <v>17.100000000000001</v>
      </c>
    </row>
    <row r="1278" spans="1:10" x14ac:dyDescent="0.3">
      <c r="A1278" t="str" cm="1">
        <f t="array" ref="A1278">IF(ROW()&lt;=COUNTA(Sheet1!A:A), INDEX(Sheet1!A:A, ROW()),
INDEX(Sheet4!A:A, ROW()-COUNTA(Sheet1!A:A)))</f>
        <v>Al28.94Cr38.743Fe13.924Co8.9942Ni9.3989</v>
      </c>
      <c r="B1278" s="10">
        <f>_xlfn.XLOOKUP(A1278, Sheet4!A:A, Sheet4!C:C)</f>
        <v>0</v>
      </c>
      <c r="C1278" s="10">
        <v>-1</v>
      </c>
      <c r="D1278" s="10">
        <f>_xlfn.XLOOKUP(A1278, Sheet2!A:A, Sheet2!B:B)</f>
        <v>6.0560999999999998</v>
      </c>
      <c r="E1278" s="10">
        <f>_xlfn.XLOOKUP(A1278, Sheet1!A:A, Sheet1!G:G)</f>
        <v>-1</v>
      </c>
      <c r="F1278" s="10">
        <f t="shared" si="19"/>
        <v>-1</v>
      </c>
      <c r="G1278" cm="1">
        <f t="array" ref="G1278:J1278">_xlfn.XLOOKUP(A1278, Sheet1!A:A, Sheet1!C:F)</f>
        <v>7.4227999999999996</v>
      </c>
      <c r="H1278">
        <v>23.312999999999999</v>
      </c>
      <c r="I1278">
        <v>31.087</v>
      </c>
      <c r="J1278">
        <v>9.6867000000000001</v>
      </c>
    </row>
    <row r="1279" spans="1:10" x14ac:dyDescent="0.3">
      <c r="A1279" t="str" cm="1">
        <f t="array" ref="A1279">IF(ROW()&lt;=COUNTA(Sheet1!A:A), INDEX(Sheet1!A:A, ROW()),
INDEX(Sheet4!A:A, ROW()-COUNTA(Sheet1!A:A)))</f>
        <v>Al28.948Cr39.558Fe7.1113Co11.95Ni12.433</v>
      </c>
      <c r="B1279" s="10">
        <f>_xlfn.XLOOKUP(A1279, Sheet4!A:A, Sheet4!C:C)</f>
        <v>0</v>
      </c>
      <c r="C1279" s="10">
        <v>-1</v>
      </c>
      <c r="D1279" s="10">
        <f>_xlfn.XLOOKUP(A1279, Sheet2!A:A, Sheet2!B:B)</f>
        <v>6.1295999999999999</v>
      </c>
      <c r="E1279" s="10">
        <f>_xlfn.XLOOKUP(A1279, Sheet1!A:A, Sheet1!G:G)</f>
        <v>-1</v>
      </c>
      <c r="F1279" s="10">
        <f t="shared" si="19"/>
        <v>-1</v>
      </c>
      <c r="G1279" cm="1">
        <f t="array" ref="G1279:J1279">_xlfn.XLOOKUP(A1279, Sheet1!A:A, Sheet1!C:F)</f>
        <v>7.4</v>
      </c>
      <c r="H1279">
        <v>23.3</v>
      </c>
      <c r="I1279">
        <v>31.1</v>
      </c>
      <c r="J1279">
        <v>9.6999999999999993</v>
      </c>
    </row>
    <row r="1280" spans="1:10" x14ac:dyDescent="0.3">
      <c r="A1280" t="str" cm="1">
        <f t="array" ref="A1280">IF(ROW()&lt;=COUNTA(Sheet1!A:A), INDEX(Sheet1!A:A, ROW()),
INDEX(Sheet4!A:A, ROW()-COUNTA(Sheet1!A:A)))</f>
        <v>Al28.981Cr39.123Fe8.2221Co11.594Ni12.08</v>
      </c>
      <c r="B1280" s="10">
        <f>_xlfn.XLOOKUP(A1280, Sheet4!A:A, Sheet4!C:C)</f>
        <v>0</v>
      </c>
      <c r="C1280" s="10">
        <v>-1</v>
      </c>
      <c r="D1280" s="10">
        <f>_xlfn.XLOOKUP(A1280, Sheet2!A:A, Sheet2!B:B)</f>
        <v>6.1260000000000003</v>
      </c>
      <c r="E1280" s="10">
        <f>_xlfn.XLOOKUP(A1280, Sheet1!A:A, Sheet1!G:G)</f>
        <v>-1</v>
      </c>
      <c r="F1280" s="10">
        <f t="shared" si="19"/>
        <v>-1</v>
      </c>
      <c r="G1280" cm="1">
        <f t="array" ref="G1280:J1280">_xlfn.XLOOKUP(A1280, Sheet1!A:A, Sheet1!C:F)</f>
        <v>17.85714286</v>
      </c>
      <c r="H1280">
        <v>17.85714286</v>
      </c>
      <c r="I1280">
        <v>17.85714286</v>
      </c>
      <c r="J1280">
        <v>17.85714286</v>
      </c>
    </row>
    <row r="1281" spans="1:10" x14ac:dyDescent="0.3">
      <c r="A1281" t="str" cm="1">
        <f t="array" ref="A1281">IF(ROW()&lt;=COUNTA(Sheet1!A:A), INDEX(Sheet1!A:A, ROW()),
INDEX(Sheet4!A:A, ROW()-COUNTA(Sheet1!A:A)))</f>
        <v>Al29Cr39.1Fe8.2Co11.6Ni12.1</v>
      </c>
      <c r="B1281" s="10">
        <f>_xlfn.XLOOKUP(A1281, Sheet4!A:A, Sheet4!C:C)</f>
        <v>0</v>
      </c>
      <c r="C1281" s="10">
        <v>-1</v>
      </c>
      <c r="D1281" s="10">
        <f>_xlfn.XLOOKUP(A1281, Sheet2!A:A, Sheet2!B:B)</f>
        <v>6.1260000000000003</v>
      </c>
      <c r="E1281" s="10">
        <f>_xlfn.XLOOKUP(A1281, Sheet1!A:A, Sheet1!G:G)</f>
        <v>-1</v>
      </c>
      <c r="F1281" s="10">
        <f t="shared" si="19"/>
        <v>-1</v>
      </c>
      <c r="G1281" cm="1">
        <f t="array" ref="G1281:J1281">_xlfn.XLOOKUP(A1281, Sheet1!A:A, Sheet1!C:F)</f>
        <v>11.432</v>
      </c>
      <c r="H1281">
        <v>38.573999999999998</v>
      </c>
      <c r="I1281">
        <v>9.4210999999999991</v>
      </c>
      <c r="J1281">
        <v>11.798999999999999</v>
      </c>
    </row>
    <row r="1282" spans="1:10" x14ac:dyDescent="0.3">
      <c r="A1282" t="str" cm="1">
        <f t="array" ref="A1282">IF(ROW()&lt;=COUNTA(Sheet1!A:A), INDEX(Sheet1!A:A, ROW()),
INDEX(Sheet4!A:A, ROW()-COUNTA(Sheet1!A:A)))</f>
        <v>Al29.18Cr19.993Fe26.929Co10.345Ni13.553</v>
      </c>
      <c r="B1282" s="10">
        <f>_xlfn.XLOOKUP(A1282, Sheet4!A:A, Sheet4!C:C)</f>
        <v>0</v>
      </c>
      <c r="C1282" s="10">
        <v>-1</v>
      </c>
      <c r="D1282" s="10">
        <f>_xlfn.XLOOKUP(A1282, Sheet2!A:A, Sheet2!B:B)</f>
        <v>6.5156000000000001</v>
      </c>
      <c r="E1282" s="10">
        <f>_xlfn.XLOOKUP(A1282, Sheet1!A:A, Sheet1!G:G)</f>
        <v>-1</v>
      </c>
      <c r="F1282" s="10">
        <f t="shared" si="19"/>
        <v>-1</v>
      </c>
      <c r="G1282" cm="1">
        <f t="array" ref="G1282:J1282">_xlfn.XLOOKUP(A1282, Sheet1!A:A, Sheet1!C:F)</f>
        <v>14.848000000000001</v>
      </c>
      <c r="H1282">
        <v>16.213999999999999</v>
      </c>
      <c r="I1282">
        <v>21.66</v>
      </c>
      <c r="J1282">
        <v>18.481999999999999</v>
      </c>
    </row>
    <row r="1283" spans="1:10" x14ac:dyDescent="0.3">
      <c r="A1283" t="str" cm="1">
        <f t="array" ref="A1283">IF(ROW()&lt;=COUNTA(Sheet1!A:A), INDEX(Sheet1!A:A, ROW()),
INDEX(Sheet4!A:A, ROW()-COUNTA(Sheet1!A:A)))</f>
        <v>Al29.187Cr39.75Fe6.1695Co12.245Ni12.649</v>
      </c>
      <c r="B1283" s="10">
        <f>_xlfn.XLOOKUP(A1283, Sheet4!A:A, Sheet4!C:C)</f>
        <v>0</v>
      </c>
      <c r="C1283" s="10">
        <v>-1</v>
      </c>
      <c r="D1283" s="10">
        <f>_xlfn.XLOOKUP(A1283, Sheet2!A:A, Sheet2!B:B)</f>
        <v>6.1211000000000002</v>
      </c>
      <c r="E1283" s="10">
        <f>_xlfn.XLOOKUP(A1283, Sheet1!A:A, Sheet1!G:G)</f>
        <v>-1</v>
      </c>
      <c r="F1283" s="10">
        <f t="shared" ref="F1283:F1346" si="20">IF(OR(C1283=1, E1283=1), 1,
   IF(OR(C1283=0, E1283=0), 0,
      -1))</f>
        <v>-1</v>
      </c>
      <c r="G1283" cm="1">
        <f t="array" ref="G1283:J1283">_xlfn.XLOOKUP(A1283, Sheet1!A:A, Sheet1!C:F)</f>
        <v>11.4</v>
      </c>
      <c r="H1283">
        <v>38.6</v>
      </c>
      <c r="I1283">
        <v>9.4</v>
      </c>
      <c r="J1283">
        <v>11.8</v>
      </c>
    </row>
    <row r="1284" spans="1:10" x14ac:dyDescent="0.3">
      <c r="A1284" t="str" cm="1">
        <f t="array" ref="A1284">IF(ROW()&lt;=COUNTA(Sheet1!A:A), INDEX(Sheet1!A:A, ROW()),
INDEX(Sheet4!A:A, ROW()-COUNTA(Sheet1!A:A)))</f>
        <v>Al29.2Cr20Fe26.9Co10.3Ni13.6</v>
      </c>
      <c r="B1284" s="10">
        <f>_xlfn.XLOOKUP(A1284, Sheet4!A:A, Sheet4!C:C)</f>
        <v>0</v>
      </c>
      <c r="C1284" s="10">
        <v>-1</v>
      </c>
      <c r="D1284" s="10">
        <f>_xlfn.XLOOKUP(A1284, Sheet2!A:A, Sheet2!B:B)</f>
        <v>6.5149999999999997</v>
      </c>
      <c r="E1284" s="10">
        <f>_xlfn.XLOOKUP(A1284, Sheet1!A:A, Sheet1!G:G)</f>
        <v>-1</v>
      </c>
      <c r="F1284" s="10">
        <f t="shared" si="20"/>
        <v>-1</v>
      </c>
      <c r="G1284" cm="1">
        <f t="array" ref="G1284:J1284">_xlfn.XLOOKUP(A1284, Sheet1!A:A, Sheet1!C:F)</f>
        <v>14.8</v>
      </c>
      <c r="H1284">
        <v>16.2</v>
      </c>
      <c r="I1284">
        <v>21.7</v>
      </c>
      <c r="J1284">
        <v>18.5</v>
      </c>
    </row>
    <row r="1285" spans="1:10" x14ac:dyDescent="0.3">
      <c r="A1285" t="str" cm="1">
        <f t="array" ref="A1285">IF(ROW()&lt;=COUNTA(Sheet1!A:A), INDEX(Sheet1!A:A, ROW()),
INDEX(Sheet4!A:A, ROW()-COUNTA(Sheet1!A:A)))</f>
        <v>Al29.2Cr39.8Fe6.2Co12.2Ni12.6</v>
      </c>
      <c r="B1285" s="10">
        <f>_xlfn.XLOOKUP(A1285, Sheet4!A:A, Sheet4!C:C)</f>
        <v>0</v>
      </c>
      <c r="C1285" s="10">
        <v>-1</v>
      </c>
      <c r="D1285" s="10">
        <f>_xlfn.XLOOKUP(A1285, Sheet2!A:A, Sheet2!B:B)</f>
        <v>6.1180000000000003</v>
      </c>
      <c r="E1285" s="10">
        <f>_xlfn.XLOOKUP(A1285, Sheet1!A:A, Sheet1!G:G)</f>
        <v>-1</v>
      </c>
      <c r="F1285" s="10">
        <f t="shared" si="20"/>
        <v>-1</v>
      </c>
      <c r="G1285" cm="1">
        <f t="array" ref="G1285:J1285">_xlfn.XLOOKUP(A1285, Sheet1!A:A, Sheet1!C:F)</f>
        <v>12</v>
      </c>
      <c r="H1285">
        <v>39.6</v>
      </c>
      <c r="I1285">
        <v>7.1</v>
      </c>
      <c r="J1285">
        <v>12.4</v>
      </c>
    </row>
    <row r="1286" spans="1:10" x14ac:dyDescent="0.3">
      <c r="A1286" t="str" cm="1">
        <f t="array" ref="A1286">IF(ROW()&lt;=COUNTA(Sheet1!A:A), INDEX(Sheet1!A:A, ROW()),
INDEX(Sheet4!A:A, ROW()-COUNTA(Sheet1!A:A)))</f>
        <v>Al29.2Cr14.9Fe19.4Co15.8Ni20.6</v>
      </c>
      <c r="B1286" s="10">
        <f>_xlfn.XLOOKUP(A1286, Sheet4!A:A, Sheet4!C:C)</f>
        <v>0</v>
      </c>
      <c r="C1286" s="10">
        <v>-1</v>
      </c>
      <c r="D1286" s="10">
        <f>_xlfn.XLOOKUP(A1286, Sheet2!A:A, Sheet2!B:B)</f>
        <v>6.8108000000000004</v>
      </c>
      <c r="E1286" s="10">
        <f>_xlfn.XLOOKUP(A1286, Sheet1!A:A, Sheet1!G:G)</f>
        <v>-1</v>
      </c>
      <c r="F1286" s="10">
        <f t="shared" si="20"/>
        <v>-1</v>
      </c>
      <c r="G1286" cm="1">
        <f t="array" ref="G1286:J1286">_xlfn.XLOOKUP(A1286, Sheet1!A:A, Sheet1!C:F)</f>
        <v>9</v>
      </c>
      <c r="H1286">
        <v>38.700000000000003</v>
      </c>
      <c r="I1286">
        <v>13.9</v>
      </c>
      <c r="J1286">
        <v>9.4</v>
      </c>
    </row>
    <row r="1287" spans="1:10" x14ac:dyDescent="0.3">
      <c r="A1287" t="str" cm="1">
        <f t="array" ref="A1287">IF(ROW()&lt;=COUNTA(Sheet1!A:A), INDEX(Sheet1!A:A, ROW()),
INDEX(Sheet4!A:A, ROW()-COUNTA(Sheet1!A:A)))</f>
        <v>Al29.231Cr14.933Fe19.408Co15.79Ni20.638</v>
      </c>
      <c r="B1287" s="10">
        <f>_xlfn.XLOOKUP(A1287, Sheet4!A:A, Sheet4!C:C)</f>
        <v>0</v>
      </c>
      <c r="C1287" s="10">
        <v>-1</v>
      </c>
      <c r="D1287" s="10">
        <f>_xlfn.XLOOKUP(A1287, Sheet2!A:A, Sheet2!B:B)</f>
        <v>6.8105000000000002</v>
      </c>
      <c r="E1287" s="10">
        <f>_xlfn.XLOOKUP(A1287, Sheet1!A:A, Sheet1!G:G)</f>
        <v>-1</v>
      </c>
      <c r="F1287" s="10">
        <f t="shared" si="20"/>
        <v>-1</v>
      </c>
      <c r="G1287" cm="1">
        <f t="array" ref="G1287:J1287">_xlfn.XLOOKUP(A1287, Sheet1!A:A, Sheet1!C:F)</f>
        <v>8.9941999999999993</v>
      </c>
      <c r="H1287">
        <v>38.743000000000002</v>
      </c>
      <c r="I1287">
        <v>13.923999999999999</v>
      </c>
      <c r="J1287">
        <v>9.3988999999999994</v>
      </c>
    </row>
    <row r="1288" spans="1:10" x14ac:dyDescent="0.3">
      <c r="A1288" t="str" cm="1">
        <f t="array" ref="A1288">IF(ROW()&lt;=COUNTA(Sheet1!A:A), INDEX(Sheet1!A:A, ROW()),
INDEX(Sheet4!A:A, ROW()-COUNTA(Sheet1!A:A)))</f>
        <v>Al29.4Cr39.8Fe11.8Co9.3Ni9.8</v>
      </c>
      <c r="B1288" s="10">
        <f>_xlfn.XLOOKUP(A1288, Sheet4!A:A, Sheet4!C:C)</f>
        <v>0</v>
      </c>
      <c r="C1288" s="10">
        <v>-1</v>
      </c>
      <c r="D1288" s="10">
        <f>_xlfn.XLOOKUP(A1288, Sheet2!A:A, Sheet2!B:B)</f>
        <v>6.0250000000000004</v>
      </c>
      <c r="E1288" s="10">
        <f>_xlfn.XLOOKUP(A1288, Sheet1!A:A, Sheet1!G:G)</f>
        <v>-1</v>
      </c>
      <c r="F1288" s="10">
        <f t="shared" si="20"/>
        <v>-1</v>
      </c>
      <c r="G1288" cm="1">
        <f t="array" ref="G1288:J1288">_xlfn.XLOOKUP(A1288, Sheet1!A:A, Sheet1!C:F)</f>
        <v>11.95</v>
      </c>
      <c r="H1288">
        <v>39.558</v>
      </c>
      <c r="I1288">
        <v>7.1113</v>
      </c>
      <c r="J1288">
        <v>12.433</v>
      </c>
    </row>
    <row r="1289" spans="1:10" x14ac:dyDescent="0.3">
      <c r="A1289" t="str" cm="1">
        <f t="array" ref="A1289">IF(ROW()&lt;=COUNTA(Sheet1!A:A), INDEX(Sheet1!A:A, ROW()),
INDEX(Sheet4!A:A, ROW()-COUNTA(Sheet1!A:A)))</f>
        <v>Al29.388Cr39.769Fe11.795Co9.2594Ni9.7894</v>
      </c>
      <c r="B1289" s="10">
        <f>_xlfn.XLOOKUP(A1289, Sheet4!A:A, Sheet4!C:C)</f>
        <v>0</v>
      </c>
      <c r="C1289" s="10">
        <v>-1</v>
      </c>
      <c r="D1289" s="10">
        <f>_xlfn.XLOOKUP(A1289, Sheet2!A:A, Sheet2!B:B)</f>
        <v>6.0236000000000001</v>
      </c>
      <c r="E1289" s="10">
        <f>_xlfn.XLOOKUP(A1289, Sheet1!A:A, Sheet1!G:G)</f>
        <v>-1</v>
      </c>
      <c r="F1289" s="10">
        <f t="shared" si="20"/>
        <v>-1</v>
      </c>
      <c r="G1289" cm="1">
        <f t="array" ref="G1289:J1289">_xlfn.XLOOKUP(A1289, Sheet1!A:A, Sheet1!C:F)</f>
        <v>11.593999999999999</v>
      </c>
      <c r="H1289">
        <v>39.122999999999998</v>
      </c>
      <c r="I1289">
        <v>8.2220999999999993</v>
      </c>
      <c r="J1289">
        <v>12.08</v>
      </c>
    </row>
    <row r="1290" spans="1:10" x14ac:dyDescent="0.3">
      <c r="A1290" t="str" cm="1">
        <f t="array" ref="A1290">IF(ROW()&lt;=COUNTA(Sheet1!A:A), INDEX(Sheet1!A:A, ROW()),
INDEX(Sheet4!A:A, ROW()-COUNTA(Sheet1!A:A)))</f>
        <v>Al29.698Cr11.204Fe14.767Co19.435Ni24.896</v>
      </c>
      <c r="B1290" s="10">
        <f>_xlfn.XLOOKUP(A1290, Sheet4!A:A, Sheet4!C:C)</f>
        <v>0</v>
      </c>
      <c r="C1290" s="10">
        <v>-1</v>
      </c>
      <c r="D1290" s="10">
        <f>_xlfn.XLOOKUP(A1290, Sheet2!A:A, Sheet2!B:B)</f>
        <v>6.9832999999999998</v>
      </c>
      <c r="E1290" s="10">
        <f>_xlfn.XLOOKUP(A1290, Sheet1!A:A, Sheet1!G:G)</f>
        <v>-1</v>
      </c>
      <c r="F1290" s="10">
        <f t="shared" si="20"/>
        <v>-1</v>
      </c>
      <c r="G1290" cm="1">
        <f t="array" ref="G1290:J1290">_xlfn.XLOOKUP(A1290, Sheet1!A:A, Sheet1!C:F)</f>
        <v>11.6</v>
      </c>
      <c r="H1290">
        <v>39.1</v>
      </c>
      <c r="I1290">
        <v>8.1999999999999993</v>
      </c>
      <c r="J1290">
        <v>12.1</v>
      </c>
    </row>
    <row r="1291" spans="1:10" x14ac:dyDescent="0.3">
      <c r="A1291" t="str" cm="1">
        <f t="array" ref="A1291">IF(ROW()&lt;=COUNTA(Sheet1!A:A), INDEX(Sheet1!A:A, ROW()),
INDEX(Sheet4!A:A, ROW()-COUNTA(Sheet1!A:A)))</f>
        <v>Al29.7Cr39.7Fe15Co7.6Ni8</v>
      </c>
      <c r="B1291" s="10">
        <f>_xlfn.XLOOKUP(A1291, Sheet4!A:A, Sheet4!C:C)</f>
        <v>0</v>
      </c>
      <c r="C1291" s="10">
        <v>-1</v>
      </c>
      <c r="D1291" s="10">
        <f>_xlfn.XLOOKUP(A1291, Sheet2!A:A, Sheet2!B:B)</f>
        <v>5.9569999999999999</v>
      </c>
      <c r="E1291" s="10">
        <f>_xlfn.XLOOKUP(A1291, Sheet1!A:A, Sheet1!G:G)</f>
        <v>-1</v>
      </c>
      <c r="F1291" s="10">
        <f t="shared" si="20"/>
        <v>-1</v>
      </c>
      <c r="G1291" cm="1">
        <f t="array" ref="G1291:J1291">_xlfn.XLOOKUP(A1291, Sheet1!A:A, Sheet1!C:F)</f>
        <v>10.345000000000001</v>
      </c>
      <c r="H1291">
        <v>19.992999999999999</v>
      </c>
      <c r="I1291">
        <v>26.928999999999998</v>
      </c>
      <c r="J1291">
        <v>13.553000000000001</v>
      </c>
    </row>
    <row r="1292" spans="1:10" x14ac:dyDescent="0.3">
      <c r="A1292" t="str" cm="1">
        <f t="array" ref="A1292">IF(ROW()&lt;=COUNTA(Sheet1!A:A), INDEX(Sheet1!A:A, ROW()),
INDEX(Sheet4!A:A, ROW()-COUNTA(Sheet1!A:A)))</f>
        <v>Al29.7Cr11.2Fe14.8Co19.4Ni24.9</v>
      </c>
      <c r="B1292" s="10">
        <f>_xlfn.XLOOKUP(A1292, Sheet4!A:A, Sheet4!C:C)</f>
        <v>0</v>
      </c>
      <c r="C1292" s="10">
        <v>-1</v>
      </c>
      <c r="D1292" s="10">
        <f>_xlfn.XLOOKUP(A1292, Sheet2!A:A, Sheet2!B:B)</f>
        <v>6.9829999999999997</v>
      </c>
      <c r="E1292" s="10">
        <f>_xlfn.XLOOKUP(A1292, Sheet1!A:A, Sheet1!G:G)</f>
        <v>-1</v>
      </c>
      <c r="F1292" s="10">
        <f t="shared" si="20"/>
        <v>-1</v>
      </c>
      <c r="G1292" cm="1">
        <f t="array" ref="G1292:J1292">_xlfn.XLOOKUP(A1292, Sheet1!A:A, Sheet1!C:F)</f>
        <v>12.244999999999999</v>
      </c>
      <c r="H1292">
        <v>39.75</v>
      </c>
      <c r="I1292">
        <v>6.1695000000000002</v>
      </c>
      <c r="J1292">
        <v>12.648999999999999</v>
      </c>
    </row>
    <row r="1293" spans="1:10" x14ac:dyDescent="0.3">
      <c r="A1293" t="str" cm="1">
        <f t="array" ref="A1293">IF(ROW()&lt;=COUNTA(Sheet1!A:A), INDEX(Sheet1!A:A, ROW()),
INDEX(Sheet4!A:A, ROW()-COUNTA(Sheet1!A:A)))</f>
        <v>Al29.727Cr39.666Fe15.038Co7.6084Ni7.9609</v>
      </c>
      <c r="B1293" s="10">
        <f>_xlfn.XLOOKUP(A1293, Sheet4!A:A, Sheet4!C:C)</f>
        <v>0</v>
      </c>
      <c r="C1293" s="10">
        <v>-1</v>
      </c>
      <c r="D1293" s="10">
        <f>_xlfn.XLOOKUP(A1293, Sheet2!A:A, Sheet2!B:B)</f>
        <v>5.9555999999999996</v>
      </c>
      <c r="E1293" s="10">
        <f>_xlfn.XLOOKUP(A1293, Sheet1!A:A, Sheet1!G:G)</f>
        <v>-1</v>
      </c>
      <c r="F1293" s="10">
        <f t="shared" si="20"/>
        <v>-1</v>
      </c>
      <c r="G1293" cm="1">
        <f t="array" ref="G1293:J1293">_xlfn.XLOOKUP(A1293, Sheet1!A:A, Sheet1!C:F)</f>
        <v>10.3</v>
      </c>
      <c r="H1293">
        <v>20</v>
      </c>
      <c r="I1293">
        <v>26.9</v>
      </c>
      <c r="J1293">
        <v>13.6</v>
      </c>
    </row>
    <row r="1294" spans="1:10" x14ac:dyDescent="0.3">
      <c r="A1294" t="str" cm="1">
        <f t="array" ref="A1294">IF(ROW()&lt;=COUNTA(Sheet1!A:A), INDEX(Sheet1!A:A, ROW()),
INDEX(Sheet4!A:A, ROW()-COUNTA(Sheet1!A:A)))</f>
        <v>Al29.8Cr40.7Fe10.3Co9.4Ni9.9</v>
      </c>
      <c r="B1294" s="10">
        <f>_xlfn.XLOOKUP(A1294, Sheet4!A:A, Sheet4!C:C)</f>
        <v>0</v>
      </c>
      <c r="C1294" s="10">
        <v>-1</v>
      </c>
      <c r="D1294" s="10">
        <f>_xlfn.XLOOKUP(A1294, Sheet2!A:A, Sheet2!B:B)</f>
        <v>5.99</v>
      </c>
      <c r="E1294" s="10">
        <f>_xlfn.XLOOKUP(A1294, Sheet1!A:A, Sheet1!G:G)</f>
        <v>-1</v>
      </c>
      <c r="F1294" s="10">
        <f t="shared" si="20"/>
        <v>-1</v>
      </c>
      <c r="G1294" cm="1">
        <f t="array" ref="G1294:J1294">_xlfn.XLOOKUP(A1294, Sheet1!A:A, Sheet1!C:F)</f>
        <v>12.2</v>
      </c>
      <c r="H1294">
        <v>39.799999999999997</v>
      </c>
      <c r="I1294">
        <v>6.2</v>
      </c>
      <c r="J1294">
        <v>12.6</v>
      </c>
    </row>
    <row r="1295" spans="1:10" x14ac:dyDescent="0.3">
      <c r="A1295" t="str" cm="1">
        <f t="array" ref="A1295">IF(ROW()&lt;=COUNTA(Sheet1!A:A), INDEX(Sheet1!A:A, ROW()),
INDEX(Sheet4!A:A, ROW()-COUNTA(Sheet1!A:A)))</f>
        <v>Al29.793Cr40.691Fe10.252Co9.3998Ni9.8642</v>
      </c>
      <c r="B1295" s="10">
        <f>_xlfn.XLOOKUP(A1295, Sheet4!A:A, Sheet4!C:C)</f>
        <v>0</v>
      </c>
      <c r="C1295" s="10">
        <v>-1</v>
      </c>
      <c r="D1295" s="10">
        <f>_xlfn.XLOOKUP(A1295, Sheet2!A:A, Sheet2!B:B)</f>
        <v>5.9878</v>
      </c>
      <c r="E1295" s="10">
        <f>_xlfn.XLOOKUP(A1295, Sheet1!A:A, Sheet1!G:G)</f>
        <v>-1</v>
      </c>
      <c r="F1295" s="10">
        <f t="shared" si="20"/>
        <v>-1</v>
      </c>
      <c r="G1295" cm="1">
        <f t="array" ref="G1295:J1295">_xlfn.XLOOKUP(A1295, Sheet1!A:A, Sheet1!C:F)</f>
        <v>15.8</v>
      </c>
      <c r="H1295">
        <v>14.9</v>
      </c>
      <c r="I1295">
        <v>19.399999999999999</v>
      </c>
      <c r="J1295">
        <v>20.6</v>
      </c>
    </row>
    <row r="1296" spans="1:10" x14ac:dyDescent="0.3">
      <c r="A1296" t="str" cm="1">
        <f t="array" ref="A1296">IF(ROW()&lt;=COUNTA(Sheet1!A:A), INDEX(Sheet1!A:A, ROW()),
INDEX(Sheet4!A:A, ROW()-COUNTA(Sheet1!A:A)))</f>
        <v>Al29.8Cr13.7Fe17.7Co17.2Ni21.6</v>
      </c>
      <c r="B1296" s="10">
        <f>_xlfn.XLOOKUP(A1296, Sheet4!A:A, Sheet4!C:C)</f>
        <v>0</v>
      </c>
      <c r="C1296" s="10">
        <v>-1</v>
      </c>
      <c r="D1296" s="10">
        <f>_xlfn.XLOOKUP(A1296, Sheet2!A:A, Sheet2!B:B)</f>
        <v>6.84</v>
      </c>
      <c r="E1296" s="10">
        <f>_xlfn.XLOOKUP(A1296, Sheet1!A:A, Sheet1!G:G)</f>
        <v>-1</v>
      </c>
      <c r="F1296" s="10">
        <f t="shared" si="20"/>
        <v>-1</v>
      </c>
      <c r="G1296" cm="1">
        <f t="array" ref="G1296:J1296">_xlfn.XLOOKUP(A1296, Sheet1!A:A, Sheet1!C:F)</f>
        <v>15.79</v>
      </c>
      <c r="H1296">
        <v>14.933</v>
      </c>
      <c r="I1296">
        <v>19.408000000000001</v>
      </c>
      <c r="J1296">
        <v>20.638000000000002</v>
      </c>
    </row>
    <row r="1297" spans="1:10" x14ac:dyDescent="0.3">
      <c r="A1297" t="str" cm="1">
        <f t="array" ref="A1297">IF(ROW()&lt;=COUNTA(Sheet1!A:A), INDEX(Sheet1!A:A, ROW()),
INDEX(Sheet4!A:A, ROW()-COUNTA(Sheet1!A:A)))</f>
        <v>Al29.805Cr13.688Fe17.735Co17.191Ni21.581</v>
      </c>
      <c r="B1297" s="10">
        <f>_xlfn.XLOOKUP(A1297, Sheet4!A:A, Sheet4!C:C)</f>
        <v>0</v>
      </c>
      <c r="C1297" s="10">
        <v>-1</v>
      </c>
      <c r="D1297" s="10">
        <f>_xlfn.XLOOKUP(A1297, Sheet2!A:A, Sheet2!B:B)</f>
        <v>6.8395000000000001</v>
      </c>
      <c r="E1297" s="10">
        <f>_xlfn.XLOOKUP(A1297, Sheet1!A:A, Sheet1!G:G)</f>
        <v>-1</v>
      </c>
      <c r="F1297" s="10">
        <f t="shared" si="20"/>
        <v>-1</v>
      </c>
      <c r="G1297" cm="1">
        <f t="array" ref="G1297:J1297">_xlfn.XLOOKUP(A1297, Sheet1!A:A, Sheet1!C:F)</f>
        <v>9.3000000000000007</v>
      </c>
      <c r="H1297">
        <v>39.799999999999997</v>
      </c>
      <c r="I1297">
        <v>11.8</v>
      </c>
      <c r="J1297">
        <v>9.8000000000000007</v>
      </c>
    </row>
    <row r="1298" spans="1:10" x14ac:dyDescent="0.3">
      <c r="A1298" t="str" cm="1">
        <f t="array" ref="A1298">IF(ROW()&lt;=COUNTA(Sheet1!A:A), INDEX(Sheet1!A:A, ROW()),
INDEX(Sheet4!A:A, ROW()-COUNTA(Sheet1!A:A)))</f>
        <v>Al1.7CoCrFeNi</v>
      </c>
      <c r="B1298" s="10">
        <f>_xlfn.XLOOKUP(A1298, Sheet4!A:A, Sheet4!C:C)</f>
        <v>0</v>
      </c>
      <c r="C1298" s="10">
        <v>-1</v>
      </c>
      <c r="D1298" s="10">
        <f>_xlfn.XLOOKUP(A1298, Sheet2!A:A, Sheet2!B:B)</f>
        <v>6.6841999999999997</v>
      </c>
      <c r="E1298" s="10">
        <f>_xlfn.XLOOKUP(A1298, Sheet1!A:A, Sheet1!G:G)</f>
        <v>-1</v>
      </c>
      <c r="F1298" s="10">
        <f t="shared" si="20"/>
        <v>-1</v>
      </c>
      <c r="G1298" cm="1">
        <f t="array" ref="G1298:J1298">_xlfn.XLOOKUP(A1298, Sheet1!A:A, Sheet1!C:F)</f>
        <v>9.2593999999999994</v>
      </c>
      <c r="H1298">
        <v>39.768999999999998</v>
      </c>
      <c r="I1298">
        <v>11.795</v>
      </c>
      <c r="J1298">
        <v>9.7894000000000005</v>
      </c>
    </row>
    <row r="1299" spans="1:10" x14ac:dyDescent="0.3">
      <c r="A1299" t="str" cm="1">
        <f t="array" ref="A1299">IF(ROW()&lt;=COUNTA(Sheet1!A:A), INDEX(Sheet1!A:A, ROW()),
INDEX(Sheet4!A:A, ROW()-COUNTA(Sheet1!A:A)))</f>
        <v>Al30Cr12.5Fe16.2Co18.2Ni23.2</v>
      </c>
      <c r="B1299" s="10">
        <f>_xlfn.XLOOKUP(A1299, Sheet4!A:A, Sheet4!C:C)</f>
        <v>0</v>
      </c>
      <c r="C1299" s="10">
        <v>-1</v>
      </c>
      <c r="D1299" s="10">
        <f>_xlfn.XLOOKUP(A1299, Sheet2!A:A, Sheet2!B:B)</f>
        <v>6.8971</v>
      </c>
      <c r="E1299" s="10">
        <f>_xlfn.XLOOKUP(A1299, Sheet1!A:A, Sheet1!G:G)</f>
        <v>-1</v>
      </c>
      <c r="F1299" s="10">
        <f t="shared" si="20"/>
        <v>-1</v>
      </c>
      <c r="G1299" cm="1">
        <f t="array" ref="G1299:J1299">_xlfn.XLOOKUP(A1299, Sheet1!A:A, Sheet1!C:F)</f>
        <v>19.434999999999999</v>
      </c>
      <c r="H1299">
        <v>11.204000000000001</v>
      </c>
      <c r="I1299">
        <v>14.766999999999999</v>
      </c>
      <c r="J1299">
        <v>24.896000000000001</v>
      </c>
    </row>
    <row r="1300" spans="1:10" x14ac:dyDescent="0.3">
      <c r="A1300" t="str" cm="1">
        <f t="array" ref="A1300">IF(ROW()&lt;=COUNTA(Sheet1!A:A), INDEX(Sheet1!A:A, ROW()),
INDEX(Sheet4!A:A, ROW()-COUNTA(Sheet1!A:A)))</f>
        <v>Al30Cr40.3Fe16.2Co6.6Ni6.9</v>
      </c>
      <c r="B1300" s="10">
        <f>_xlfn.XLOOKUP(A1300, Sheet4!A:A, Sheet4!C:C)</f>
        <v>0</v>
      </c>
      <c r="C1300" s="10">
        <v>-1</v>
      </c>
      <c r="D1300" s="10">
        <f>_xlfn.XLOOKUP(A1300, Sheet2!A:A, Sheet2!B:B)</f>
        <v>5.8979999999999997</v>
      </c>
      <c r="E1300" s="10">
        <f>_xlfn.XLOOKUP(A1300, Sheet1!A:A, Sheet1!G:G)</f>
        <v>-1</v>
      </c>
      <c r="F1300" s="10">
        <f t="shared" si="20"/>
        <v>-1</v>
      </c>
      <c r="G1300" cm="1">
        <f t="array" ref="G1300:J1300">_xlfn.XLOOKUP(A1300, Sheet1!A:A, Sheet1!C:F)</f>
        <v>7.6</v>
      </c>
      <c r="H1300">
        <v>39.700000000000003</v>
      </c>
      <c r="I1300">
        <v>15</v>
      </c>
      <c r="J1300">
        <v>8</v>
      </c>
    </row>
    <row r="1301" spans="1:10" x14ac:dyDescent="0.3">
      <c r="A1301" t="str" cm="1">
        <f t="array" ref="A1301">IF(ROW()&lt;=COUNTA(Sheet1!A:A), INDEX(Sheet1!A:A, ROW()),
INDEX(Sheet4!A:A, ROW()-COUNTA(Sheet1!A:A)))</f>
        <v>Al30.002Cr40.323Fe16.227Co6.5768Ni6.872</v>
      </c>
      <c r="B1301" s="10">
        <f>_xlfn.XLOOKUP(A1301, Sheet4!A:A, Sheet4!C:C)</f>
        <v>0</v>
      </c>
      <c r="C1301" s="10">
        <v>-1</v>
      </c>
      <c r="D1301" s="10">
        <f>_xlfn.XLOOKUP(A1301, Sheet2!A:A, Sheet2!B:B)</f>
        <v>5.8967000000000001</v>
      </c>
      <c r="E1301" s="10">
        <f>_xlfn.XLOOKUP(A1301, Sheet1!A:A, Sheet1!G:G)</f>
        <v>-1</v>
      </c>
      <c r="F1301" s="10">
        <f t="shared" si="20"/>
        <v>-1</v>
      </c>
      <c r="G1301" cm="1">
        <f t="array" ref="G1301:J1301">_xlfn.XLOOKUP(A1301, Sheet1!A:A, Sheet1!C:F)</f>
        <v>19.399999999999999</v>
      </c>
      <c r="H1301">
        <v>11.2</v>
      </c>
      <c r="I1301">
        <v>14.8</v>
      </c>
      <c r="J1301">
        <v>24.9</v>
      </c>
    </row>
    <row r="1302" spans="1:10" x14ac:dyDescent="0.3">
      <c r="A1302" t="str" cm="1">
        <f t="array" ref="A1302">IF(ROW()&lt;=COUNTA(Sheet1!A:A), INDEX(Sheet1!A:A, ROW()),
INDEX(Sheet4!A:A, ROW()-COUNTA(Sheet1!A:A)))</f>
        <v>Al30.03Cr12.455Fe16.17Co18.152Ni23.193</v>
      </c>
      <c r="B1302" s="10">
        <f>_xlfn.XLOOKUP(A1302, Sheet4!A:A, Sheet4!C:C)</f>
        <v>0</v>
      </c>
      <c r="C1302" s="10">
        <v>-1</v>
      </c>
      <c r="D1302" s="10">
        <f>_xlfn.XLOOKUP(A1302, Sheet2!A:A, Sheet2!B:B)</f>
        <v>6.8948</v>
      </c>
      <c r="E1302" s="10">
        <f>_xlfn.XLOOKUP(A1302, Sheet1!A:A, Sheet1!G:G)</f>
        <v>-1</v>
      </c>
      <c r="F1302" s="10">
        <f t="shared" si="20"/>
        <v>-1</v>
      </c>
      <c r="G1302" cm="1">
        <f t="array" ref="G1302:J1302">_xlfn.XLOOKUP(A1302, Sheet1!A:A, Sheet1!C:F)</f>
        <v>7.6083999999999996</v>
      </c>
      <c r="H1302">
        <v>39.665999999999997</v>
      </c>
      <c r="I1302">
        <v>15.038</v>
      </c>
      <c r="J1302">
        <v>7.9608999999999996</v>
      </c>
    </row>
    <row r="1303" spans="1:10" x14ac:dyDescent="0.3">
      <c r="A1303" t="str" cm="1">
        <f t="array" ref="A1303">IF(ROW()&lt;=COUNTA(Sheet1!A:A), INDEX(Sheet1!A:A, ROW()),
INDEX(Sheet4!A:A, ROW()-COUNTA(Sheet1!A:A)))</f>
        <v>Al30.265Cr21.934Fe29.172Co8.1633Ni10.466</v>
      </c>
      <c r="B1303" s="10">
        <f>_xlfn.XLOOKUP(A1303, Sheet4!A:A, Sheet4!C:C)</f>
        <v>0</v>
      </c>
      <c r="C1303" s="10">
        <v>-1</v>
      </c>
      <c r="D1303" s="10">
        <f>_xlfn.XLOOKUP(A1303, Sheet2!A:A, Sheet2!B:B)</f>
        <v>6.3390000000000004</v>
      </c>
      <c r="E1303" s="10">
        <f>_xlfn.XLOOKUP(A1303, Sheet1!A:A, Sheet1!G:G)</f>
        <v>-1</v>
      </c>
      <c r="F1303" s="10">
        <f t="shared" si="20"/>
        <v>-1</v>
      </c>
      <c r="G1303" cm="1">
        <f t="array" ref="G1303:J1303">_xlfn.XLOOKUP(A1303, Sheet1!A:A, Sheet1!C:F)</f>
        <v>9.4</v>
      </c>
      <c r="H1303">
        <v>40.700000000000003</v>
      </c>
      <c r="I1303">
        <v>10.3</v>
      </c>
      <c r="J1303">
        <v>9.9</v>
      </c>
    </row>
    <row r="1304" spans="1:10" x14ac:dyDescent="0.3">
      <c r="A1304" t="str" cm="1">
        <f t="array" ref="A1304">IF(ROW()&lt;=COUNTA(Sheet1!A:A), INDEX(Sheet1!A:A, ROW()),
INDEX(Sheet4!A:A, ROW()-COUNTA(Sheet1!A:A)))</f>
        <v>Al30.3Cr21.9Fe29.2Co8.2Ni10.5</v>
      </c>
      <c r="B1304" s="10">
        <f>_xlfn.XLOOKUP(A1304, Sheet4!A:A, Sheet4!C:C)</f>
        <v>0</v>
      </c>
      <c r="C1304" s="10">
        <v>-1</v>
      </c>
      <c r="D1304" s="10">
        <f>_xlfn.XLOOKUP(A1304, Sheet2!A:A, Sheet2!B:B)</f>
        <v>6.3407</v>
      </c>
      <c r="E1304" s="10">
        <f>_xlfn.XLOOKUP(A1304, Sheet1!A:A, Sheet1!G:G)</f>
        <v>-1</v>
      </c>
      <c r="F1304" s="10">
        <f t="shared" si="20"/>
        <v>-1</v>
      </c>
      <c r="G1304" cm="1">
        <f t="array" ref="G1304:J1304">_xlfn.XLOOKUP(A1304, Sheet1!A:A, Sheet1!C:F)</f>
        <v>9.3998000000000008</v>
      </c>
      <c r="H1304">
        <v>40.691000000000003</v>
      </c>
      <c r="I1304">
        <v>10.252000000000001</v>
      </c>
      <c r="J1304">
        <v>9.8642000000000003</v>
      </c>
    </row>
    <row r="1305" spans="1:10" x14ac:dyDescent="0.3">
      <c r="A1305" t="str" cm="1">
        <f t="array" ref="A1305">IF(ROW()&lt;=COUNTA(Sheet1!A:A), INDEX(Sheet1!A:A, ROW()),
INDEX(Sheet4!A:A, ROW()-COUNTA(Sheet1!A:A)))</f>
        <v>Al30.362Cr23.623Fe31.469Co6.3059Ni8.2406</v>
      </c>
      <c r="B1305" s="10">
        <f>_xlfn.XLOOKUP(A1305, Sheet4!A:A, Sheet4!C:C)</f>
        <v>0</v>
      </c>
      <c r="C1305" s="10">
        <v>-1</v>
      </c>
      <c r="D1305" s="10">
        <f>_xlfn.XLOOKUP(A1305, Sheet2!A:A, Sheet2!B:B)</f>
        <v>6.2373000000000003</v>
      </c>
      <c r="E1305" s="10">
        <f>_xlfn.XLOOKUP(A1305, Sheet1!A:A, Sheet1!G:G)</f>
        <v>-1</v>
      </c>
      <c r="F1305" s="10">
        <f t="shared" si="20"/>
        <v>-1</v>
      </c>
      <c r="G1305" cm="1">
        <f t="array" ref="G1305:J1305">_xlfn.XLOOKUP(A1305, Sheet1!A:A, Sheet1!C:F)</f>
        <v>17.2</v>
      </c>
      <c r="H1305">
        <v>13.7</v>
      </c>
      <c r="I1305">
        <v>17.7</v>
      </c>
      <c r="J1305">
        <v>21.6</v>
      </c>
    </row>
    <row r="1306" spans="1:10" x14ac:dyDescent="0.3">
      <c r="A1306" t="str" cm="1">
        <f t="array" ref="A1306">IF(ROW()&lt;=COUNTA(Sheet1!A:A), INDEX(Sheet1!A:A, ROW()),
INDEX(Sheet4!A:A, ROW()-COUNTA(Sheet1!A:A)))</f>
        <v>Al30.4Cr23.6Fe31.5Co6.3Ni8.2</v>
      </c>
      <c r="B1306" s="10">
        <f>_xlfn.XLOOKUP(A1306, Sheet4!A:A, Sheet4!C:C)</f>
        <v>0</v>
      </c>
      <c r="C1306" s="10">
        <v>-1</v>
      </c>
      <c r="D1306" s="10">
        <f>_xlfn.XLOOKUP(A1306, Sheet2!A:A, Sheet2!B:B)</f>
        <v>6.2350000000000003</v>
      </c>
      <c r="E1306" s="10">
        <f>_xlfn.XLOOKUP(A1306, Sheet1!A:A, Sheet1!G:G)</f>
        <v>-1</v>
      </c>
      <c r="F1306" s="10">
        <f t="shared" si="20"/>
        <v>-1</v>
      </c>
      <c r="G1306" cm="1">
        <f t="array" ref="G1306:J1306">_xlfn.XLOOKUP(A1306, Sheet1!A:A, Sheet1!C:F)</f>
        <v>17.190999999999999</v>
      </c>
      <c r="H1306">
        <v>13.688000000000001</v>
      </c>
      <c r="I1306">
        <v>17.734999999999999</v>
      </c>
      <c r="J1306">
        <v>21.581</v>
      </c>
    </row>
    <row r="1307" spans="1:10" x14ac:dyDescent="0.3">
      <c r="A1307" t="str" cm="1">
        <f t="array" ref="A1307">IF(ROW()&lt;=COUNTA(Sheet1!A:A), INDEX(Sheet1!A:A, ROW()),
INDEX(Sheet4!A:A, ROW()-COUNTA(Sheet1!A:A)))</f>
        <v>Al30.4Cr41.4Fe8.6Co9.5Ni10.1</v>
      </c>
      <c r="B1307" s="10">
        <f>_xlfn.XLOOKUP(A1307, Sheet4!A:A, Sheet4!C:C)</f>
        <v>0</v>
      </c>
      <c r="C1307" s="10">
        <v>-1</v>
      </c>
      <c r="D1307" s="10">
        <f>_xlfn.XLOOKUP(A1307, Sheet2!A:A, Sheet2!B:B)</f>
        <v>5.9489999999999998</v>
      </c>
      <c r="E1307" s="10">
        <f>_xlfn.XLOOKUP(A1307, Sheet1!A:A, Sheet1!G:G)</f>
        <v>-1</v>
      </c>
      <c r="F1307" s="10">
        <f t="shared" si="20"/>
        <v>-1</v>
      </c>
      <c r="G1307" cm="1">
        <f t="array" ref="G1307:J1307">_xlfn.XLOOKUP(A1307, Sheet1!A:A, Sheet1!C:F)</f>
        <v>17.543859650000002</v>
      </c>
      <c r="H1307">
        <v>17.543859650000002</v>
      </c>
      <c r="I1307">
        <v>17.543859650000002</v>
      </c>
      <c r="J1307">
        <v>17.543859650000002</v>
      </c>
    </row>
    <row r="1308" spans="1:10" x14ac:dyDescent="0.3">
      <c r="A1308" t="str" cm="1">
        <f t="array" ref="A1308">IF(ROW()&lt;=COUNTA(Sheet1!A:A), INDEX(Sheet1!A:A, ROW()),
INDEX(Sheet4!A:A, ROW()-COUNTA(Sheet1!A:A)))</f>
        <v>Al30.447Cr41.376Fe8.5738Co9.4987Ni10.105</v>
      </c>
      <c r="B1308" s="10">
        <f>_xlfn.XLOOKUP(A1308, Sheet4!A:A, Sheet4!C:C)</f>
        <v>0</v>
      </c>
      <c r="C1308" s="10">
        <v>-1</v>
      </c>
      <c r="D1308" s="10">
        <f>_xlfn.XLOOKUP(A1308, Sheet2!A:A, Sheet2!B:B)</f>
        <v>5.9471999999999996</v>
      </c>
      <c r="E1308" s="10">
        <f>_xlfn.XLOOKUP(A1308, Sheet1!A:A, Sheet1!G:G)</f>
        <v>-1</v>
      </c>
      <c r="F1308" s="10">
        <f t="shared" si="20"/>
        <v>-1</v>
      </c>
      <c r="G1308" cm="1">
        <f t="array" ref="G1308:J1308">_xlfn.XLOOKUP(A1308, Sheet1!A:A, Sheet1!C:F)</f>
        <v>18.2</v>
      </c>
      <c r="H1308">
        <v>12.5</v>
      </c>
      <c r="I1308">
        <v>16.2</v>
      </c>
      <c r="J1308">
        <v>23.2</v>
      </c>
    </row>
    <row r="1309" spans="1:10" x14ac:dyDescent="0.3">
      <c r="A1309" t="str" cm="1">
        <f t="array" ref="A1309">IF(ROW()&lt;=COUNTA(Sheet1!A:A), INDEX(Sheet1!A:A, ROW()),
INDEX(Sheet4!A:A, ROW()-COUNTA(Sheet1!A:A)))</f>
        <v>Al30.7Cr18.3Fe24.6Co11.4Ni14.9</v>
      </c>
      <c r="B1309" s="10">
        <f>_xlfn.XLOOKUP(A1309, Sheet4!A:A, Sheet4!C:C)</f>
        <v>0</v>
      </c>
      <c r="C1309" s="10">
        <v>-1</v>
      </c>
      <c r="D1309" s="10">
        <f>_xlfn.XLOOKUP(A1309, Sheet2!A:A, Sheet2!B:B)</f>
        <v>6.5095000000000001</v>
      </c>
      <c r="E1309" s="10">
        <f>_xlfn.XLOOKUP(A1309, Sheet1!A:A, Sheet1!G:G)</f>
        <v>-1</v>
      </c>
      <c r="F1309" s="10">
        <f t="shared" si="20"/>
        <v>-1</v>
      </c>
      <c r="G1309" cm="1">
        <f t="array" ref="G1309:J1309">_xlfn.XLOOKUP(A1309, Sheet1!A:A, Sheet1!C:F)</f>
        <v>6.6</v>
      </c>
      <c r="H1309">
        <v>40.299999999999997</v>
      </c>
      <c r="I1309">
        <v>16.2</v>
      </c>
      <c r="J1309">
        <v>6.9</v>
      </c>
    </row>
    <row r="1310" spans="1:10" x14ac:dyDescent="0.3">
      <c r="A1310" t="str" cm="1">
        <f t="array" ref="A1310">IF(ROW()&lt;=COUNTA(Sheet1!A:A), INDEX(Sheet1!A:A, ROW()),
INDEX(Sheet4!A:A, ROW()-COUNTA(Sheet1!A:A)))</f>
        <v>Al30.735Cr18.314Fe24.624Co11.44Ni14.887</v>
      </c>
      <c r="B1310" s="10">
        <f>_xlfn.XLOOKUP(A1310, Sheet4!A:A, Sheet4!C:C)</f>
        <v>0</v>
      </c>
      <c r="C1310" s="10">
        <v>-1</v>
      </c>
      <c r="D1310" s="10">
        <f>_xlfn.XLOOKUP(A1310, Sheet2!A:A, Sheet2!B:B)</f>
        <v>6.5091000000000001</v>
      </c>
      <c r="E1310" s="10">
        <f>_xlfn.XLOOKUP(A1310, Sheet1!A:A, Sheet1!G:G)</f>
        <v>-1</v>
      </c>
      <c r="F1310" s="10">
        <f t="shared" si="20"/>
        <v>-1</v>
      </c>
      <c r="G1310" cm="1">
        <f t="array" ref="G1310:J1310">_xlfn.XLOOKUP(A1310, Sheet1!A:A, Sheet1!C:F)</f>
        <v>6.5768000000000004</v>
      </c>
      <c r="H1310">
        <v>40.323</v>
      </c>
      <c r="I1310">
        <v>16.227</v>
      </c>
      <c r="J1310">
        <v>6.8719999999999999</v>
      </c>
    </row>
    <row r="1311" spans="1:10" x14ac:dyDescent="0.3">
      <c r="A1311" t="str" cm="1">
        <f t="array" ref="A1311">IF(ROW()&lt;=COUNTA(Sheet1!A:A), INDEX(Sheet1!A:A, ROW()),
INDEX(Sheet4!A:A, ROW()-COUNTA(Sheet1!A:A)))</f>
        <v>Al30.798Cr41.04Fe12.567Co7.6079Ni7.9876</v>
      </c>
      <c r="B1311" s="10">
        <f>_xlfn.XLOOKUP(A1311, Sheet4!A:A, Sheet4!C:C)</f>
        <v>0</v>
      </c>
      <c r="C1311" s="10">
        <v>-1</v>
      </c>
      <c r="D1311" s="10">
        <f>_xlfn.XLOOKUP(A1311, Sheet2!A:A, Sheet2!B:B)</f>
        <v>5.8750999999999998</v>
      </c>
      <c r="E1311" s="10">
        <f>_xlfn.XLOOKUP(A1311, Sheet1!A:A, Sheet1!G:G)</f>
        <v>-1</v>
      </c>
      <c r="F1311" s="10">
        <f t="shared" si="20"/>
        <v>-1</v>
      </c>
      <c r="G1311" cm="1">
        <f t="array" ref="G1311:J1311">_xlfn.XLOOKUP(A1311, Sheet1!A:A, Sheet1!C:F)</f>
        <v>18.152000000000001</v>
      </c>
      <c r="H1311">
        <v>12.455</v>
      </c>
      <c r="I1311">
        <v>16.170000000000002</v>
      </c>
      <c r="J1311">
        <v>23.193000000000001</v>
      </c>
    </row>
    <row r="1312" spans="1:10" x14ac:dyDescent="0.3">
      <c r="A1312" t="str" cm="1">
        <f t="array" ref="A1312">IF(ROW()&lt;=COUNTA(Sheet1!A:A), INDEX(Sheet1!A:A, ROW()),
INDEX(Sheet4!A:A, ROW()-COUNTA(Sheet1!A:A)))</f>
        <v>Al30.8Cr41Fe12.6Co7.6Ni8</v>
      </c>
      <c r="B1312" s="10">
        <f>_xlfn.XLOOKUP(A1312, Sheet4!A:A, Sheet4!C:C)</f>
        <v>0</v>
      </c>
      <c r="C1312" s="10">
        <v>-1</v>
      </c>
      <c r="D1312" s="10">
        <f>_xlfn.XLOOKUP(A1312, Sheet2!A:A, Sheet2!B:B)</f>
        <v>5.8760000000000003</v>
      </c>
      <c r="E1312" s="10">
        <f>_xlfn.XLOOKUP(A1312, Sheet1!A:A, Sheet1!G:G)</f>
        <v>-1</v>
      </c>
      <c r="F1312" s="10">
        <f t="shared" si="20"/>
        <v>-1</v>
      </c>
      <c r="G1312" cm="1">
        <f t="array" ref="G1312:J1312">_xlfn.XLOOKUP(A1312, Sheet1!A:A, Sheet1!C:F)</f>
        <v>8.1632999999999996</v>
      </c>
      <c r="H1312">
        <v>21.934000000000001</v>
      </c>
      <c r="I1312">
        <v>29.172000000000001</v>
      </c>
      <c r="J1312">
        <v>10.465999999999999</v>
      </c>
    </row>
    <row r="1313" spans="1:10" x14ac:dyDescent="0.3">
      <c r="A1313" t="str" cm="1">
        <f t="array" ref="A1313">IF(ROW()&lt;=COUNTA(Sheet1!A:A), INDEX(Sheet1!A:A, ROW()),
INDEX(Sheet4!A:A, ROW()-COUNTA(Sheet1!A:A)))</f>
        <v>Al1.8CoCrFeNi</v>
      </c>
      <c r="B1313" s="10" t="str">
        <f>_xlfn.XLOOKUP(A1313, Sheet4!A:A, Sheet4!C:C)</f>
        <v>BCC</v>
      </c>
      <c r="C1313" s="10">
        <v>0</v>
      </c>
      <c r="D1313" s="10">
        <f>_xlfn.XLOOKUP(A1313, Sheet2!A:A, Sheet2!B:B)</f>
        <v>6.6207000000000003</v>
      </c>
      <c r="E1313" s="10">
        <f>_xlfn.XLOOKUP(A1313, Sheet1!A:A, Sheet1!G:G)</f>
        <v>-1</v>
      </c>
      <c r="F1313" s="10">
        <f t="shared" si="20"/>
        <v>0</v>
      </c>
      <c r="G1313" cm="1">
        <f t="array" ref="G1313:J1313">_xlfn.XLOOKUP(A1313, Sheet1!A:A, Sheet1!C:F)</f>
        <v>8.1999999999999993</v>
      </c>
      <c r="H1313">
        <v>21.9</v>
      </c>
      <c r="I1313">
        <v>29.2</v>
      </c>
      <c r="J1313">
        <v>10.5</v>
      </c>
    </row>
    <row r="1314" spans="1:10" x14ac:dyDescent="0.3">
      <c r="A1314" t="str" cm="1">
        <f t="array" ref="A1314">IF(ROW()&lt;=COUNTA(Sheet1!A:A), INDEX(Sheet1!A:A, ROW()),
INDEX(Sheet4!A:A, ROW()-COUNTA(Sheet1!A:A)))</f>
        <v>Al31.1Cr42.1Fe10.8Co7.9Ni8.2</v>
      </c>
      <c r="B1314" s="10">
        <f>_xlfn.XLOOKUP(A1314, Sheet4!A:A, Sheet4!C:C)</f>
        <v>0</v>
      </c>
      <c r="C1314" s="10">
        <v>-1</v>
      </c>
      <c r="D1314" s="10">
        <f>_xlfn.XLOOKUP(A1314, Sheet2!A:A, Sheet2!B:B)</f>
        <v>5.8482000000000003</v>
      </c>
      <c r="E1314" s="10">
        <f>_xlfn.XLOOKUP(A1314, Sheet1!A:A, Sheet1!G:G)</f>
        <v>-1</v>
      </c>
      <c r="F1314" s="10">
        <f t="shared" si="20"/>
        <v>-1</v>
      </c>
      <c r="G1314" cm="1">
        <f t="array" ref="G1314:J1314">_xlfn.XLOOKUP(A1314, Sheet1!A:A, Sheet1!C:F)</f>
        <v>6.3059000000000003</v>
      </c>
      <c r="H1314">
        <v>23.623000000000001</v>
      </c>
      <c r="I1314">
        <v>31.469000000000001</v>
      </c>
      <c r="J1314">
        <v>8.2406000000000006</v>
      </c>
    </row>
    <row r="1315" spans="1:10" x14ac:dyDescent="0.3">
      <c r="A1315" t="str" cm="1">
        <f t="array" ref="A1315">IF(ROW()&lt;=COUNTA(Sheet1!A:A), INDEX(Sheet1!A:A, ROW()),
INDEX(Sheet4!A:A, ROW()-COUNTA(Sheet1!A:A)))</f>
        <v>Al31.083Cr42.125Fe10.758Co7.8808Ni8.1533</v>
      </c>
      <c r="B1315" s="10">
        <f>_xlfn.XLOOKUP(A1315, Sheet4!A:A, Sheet4!C:C)</f>
        <v>0</v>
      </c>
      <c r="C1315" s="10">
        <v>-1</v>
      </c>
      <c r="D1315" s="10">
        <f>_xlfn.XLOOKUP(A1315, Sheet2!A:A, Sheet2!B:B)</f>
        <v>5.8452000000000002</v>
      </c>
      <c r="E1315" s="10">
        <f>_xlfn.XLOOKUP(A1315, Sheet1!A:A, Sheet1!G:G)</f>
        <v>-1</v>
      </c>
      <c r="F1315" s="10">
        <f t="shared" si="20"/>
        <v>-1</v>
      </c>
      <c r="G1315" cm="1">
        <f t="array" ref="G1315:J1315">_xlfn.XLOOKUP(A1315, Sheet1!A:A, Sheet1!C:F)</f>
        <v>6.3</v>
      </c>
      <c r="H1315">
        <v>23.6</v>
      </c>
      <c r="I1315">
        <v>31.5</v>
      </c>
      <c r="J1315">
        <v>8.1999999999999993</v>
      </c>
    </row>
    <row r="1316" spans="1:10" x14ac:dyDescent="0.3">
      <c r="A1316" t="str" cm="1">
        <f t="array" ref="A1316">IF(ROW()&lt;=COUNTA(Sheet1!A:A), INDEX(Sheet1!A:A, ROW()),
INDEX(Sheet4!A:A, ROW()-COUNTA(Sheet1!A:A)))</f>
        <v>Al31.1Cr42.3Fe6.5Co9.9Ni10.2</v>
      </c>
      <c r="B1316" s="10">
        <f>_xlfn.XLOOKUP(A1316, Sheet4!A:A, Sheet4!C:C)</f>
        <v>0</v>
      </c>
      <c r="C1316" s="10">
        <v>-1</v>
      </c>
      <c r="D1316" s="10">
        <f>_xlfn.XLOOKUP(A1316, Sheet2!A:A, Sheet2!B:B)</f>
        <v>5.9020000000000001</v>
      </c>
      <c r="E1316" s="10">
        <f>_xlfn.XLOOKUP(A1316, Sheet1!A:A, Sheet1!G:G)</f>
        <v>-1</v>
      </c>
      <c r="F1316" s="10">
        <f t="shared" si="20"/>
        <v>-1</v>
      </c>
      <c r="G1316" cm="1">
        <f t="array" ref="G1316:J1316">_xlfn.XLOOKUP(A1316, Sheet1!A:A, Sheet1!C:F)</f>
        <v>9.5</v>
      </c>
      <c r="H1316">
        <v>41.4</v>
      </c>
      <c r="I1316">
        <v>8.6</v>
      </c>
      <c r="J1316">
        <v>10.1</v>
      </c>
    </row>
    <row r="1317" spans="1:10" x14ac:dyDescent="0.3">
      <c r="A1317" t="str" cm="1">
        <f t="array" ref="A1317">IF(ROW()&lt;=COUNTA(Sheet1!A:A), INDEX(Sheet1!A:A, ROW()),
INDEX(Sheet4!A:A, ROW()-COUNTA(Sheet1!A:A)))</f>
        <v>Al31.1Cr41.8Fe7.4Co9.7Ni9.9</v>
      </c>
      <c r="B1317" s="10">
        <f>_xlfn.XLOOKUP(A1317, Sheet4!A:A, Sheet4!C:C)</f>
        <v>0</v>
      </c>
      <c r="C1317" s="10">
        <v>-1</v>
      </c>
      <c r="D1317" s="10">
        <f>_xlfn.XLOOKUP(A1317, Sheet2!A:A, Sheet2!B:B)</f>
        <v>5.9019000000000004</v>
      </c>
      <c r="E1317" s="10">
        <f>_xlfn.XLOOKUP(A1317, Sheet1!A:A, Sheet1!G:G)</f>
        <v>-1</v>
      </c>
      <c r="F1317" s="10">
        <f t="shared" si="20"/>
        <v>-1</v>
      </c>
      <c r="G1317" cm="1">
        <f t="array" ref="G1317:J1317">_xlfn.XLOOKUP(A1317, Sheet1!A:A, Sheet1!C:F)</f>
        <v>9.4986999999999995</v>
      </c>
      <c r="H1317">
        <v>41.375999999999998</v>
      </c>
      <c r="I1317">
        <v>8.5738000000000003</v>
      </c>
      <c r="J1317">
        <v>10.105</v>
      </c>
    </row>
    <row r="1318" spans="1:10" x14ac:dyDescent="0.3">
      <c r="A1318" t="str" cm="1">
        <f t="array" ref="A1318">IF(ROW()&lt;=COUNTA(Sheet1!A:A), INDEX(Sheet1!A:A, ROW()),
INDEX(Sheet4!A:A, ROW()-COUNTA(Sheet1!A:A)))</f>
        <v>Al31.14Cr41.825Fe7.4277Co9.6609Ni9.9466</v>
      </c>
      <c r="B1318" s="10">
        <f>_xlfn.XLOOKUP(A1318, Sheet4!A:A, Sheet4!C:C)</f>
        <v>0</v>
      </c>
      <c r="C1318" s="10">
        <v>-1</v>
      </c>
      <c r="D1318" s="10">
        <f>_xlfn.XLOOKUP(A1318, Sheet2!A:A, Sheet2!B:B)</f>
        <v>5.9020000000000001</v>
      </c>
      <c r="E1318" s="10">
        <f>_xlfn.XLOOKUP(A1318, Sheet1!A:A, Sheet1!G:G)</f>
        <v>-1</v>
      </c>
      <c r="F1318" s="10">
        <f t="shared" si="20"/>
        <v>-1</v>
      </c>
      <c r="G1318" cm="1">
        <f t="array" ref="G1318:J1318">_xlfn.XLOOKUP(A1318, Sheet1!A:A, Sheet1!C:F)</f>
        <v>11.4</v>
      </c>
      <c r="H1318">
        <v>18.3</v>
      </c>
      <c r="I1318">
        <v>24.6</v>
      </c>
      <c r="J1318">
        <v>14.9</v>
      </c>
    </row>
    <row r="1319" spans="1:10" x14ac:dyDescent="0.3">
      <c r="A1319" t="str" cm="1">
        <f t="array" ref="A1319">IF(ROW()&lt;=COUNTA(Sheet1!A:A), INDEX(Sheet1!A:A, ROW()),
INDEX(Sheet4!A:A, ROW()-COUNTA(Sheet1!A:A)))</f>
        <v>Al31.147Cr42.259Fe6.4778Co9.9059Ni10.21</v>
      </c>
      <c r="B1319" s="10">
        <f>_xlfn.XLOOKUP(A1319, Sheet4!A:A, Sheet4!C:C)</f>
        <v>0</v>
      </c>
      <c r="C1319" s="10">
        <v>-1</v>
      </c>
      <c r="D1319" s="10">
        <f>_xlfn.XLOOKUP(A1319, Sheet2!A:A, Sheet2!B:B)</f>
        <v>5.9006999999999996</v>
      </c>
      <c r="E1319" s="10">
        <f>_xlfn.XLOOKUP(A1319, Sheet1!A:A, Sheet1!G:G)</f>
        <v>-1</v>
      </c>
      <c r="F1319" s="10">
        <f t="shared" si="20"/>
        <v>-1</v>
      </c>
      <c r="G1319" cm="1">
        <f t="array" ref="G1319:J1319">_xlfn.XLOOKUP(A1319, Sheet1!A:A, Sheet1!C:F)</f>
        <v>11.44</v>
      </c>
      <c r="H1319">
        <v>18.314</v>
      </c>
      <c r="I1319">
        <v>24.623999999999999</v>
      </c>
      <c r="J1319">
        <v>14.887</v>
      </c>
    </row>
    <row r="1320" spans="1:10" x14ac:dyDescent="0.3">
      <c r="A1320" t="str" cm="1">
        <f t="array" ref="A1320">IF(ROW()&lt;=COUNTA(Sheet1!A:A), INDEX(Sheet1!A:A, ROW()),
INDEX(Sheet4!A:A, ROW()-COUNTA(Sheet1!A:A)))</f>
        <v>Al31.186Cr43.271Fe9.1364Co7.9671Ni8.4395</v>
      </c>
      <c r="B1320" s="10">
        <f>_xlfn.XLOOKUP(A1320, Sheet4!A:A, Sheet4!C:C)</f>
        <v>0</v>
      </c>
      <c r="C1320" s="10">
        <v>-1</v>
      </c>
      <c r="D1320" s="10">
        <f>_xlfn.XLOOKUP(A1320, Sheet2!A:A, Sheet2!B:B)</f>
        <v>5.8236999999999997</v>
      </c>
      <c r="E1320" s="10">
        <f>_xlfn.XLOOKUP(A1320, Sheet1!A:A, Sheet1!G:G)</f>
        <v>-1</v>
      </c>
      <c r="F1320" s="10">
        <f t="shared" si="20"/>
        <v>-1</v>
      </c>
      <c r="G1320" cm="1">
        <f t="array" ref="G1320:J1320">_xlfn.XLOOKUP(A1320, Sheet1!A:A, Sheet1!C:F)</f>
        <v>7.6078999999999999</v>
      </c>
      <c r="H1320">
        <v>41.04</v>
      </c>
      <c r="I1320">
        <v>12.567</v>
      </c>
      <c r="J1320">
        <v>7.9875999999999996</v>
      </c>
    </row>
    <row r="1321" spans="1:10" x14ac:dyDescent="0.3">
      <c r="A1321" t="str" cm="1">
        <f t="array" ref="A1321">IF(ROW()&lt;=COUNTA(Sheet1!A:A), INDEX(Sheet1!A:A, ROW()),
INDEX(Sheet4!A:A, ROW()-COUNTA(Sheet1!A:A)))</f>
        <v>Al31.2Cr43.3Fe9.1Co8Ni8.4</v>
      </c>
      <c r="B1321" s="10">
        <f>_xlfn.XLOOKUP(A1321, Sheet4!A:A, Sheet4!C:C)</f>
        <v>0</v>
      </c>
      <c r="C1321" s="10">
        <v>-1</v>
      </c>
      <c r="D1321" s="10">
        <f>_xlfn.XLOOKUP(A1321, Sheet2!A:A, Sheet2!B:B)</f>
        <v>5.8220000000000001</v>
      </c>
      <c r="E1321" s="10">
        <f>_xlfn.XLOOKUP(A1321, Sheet1!A:A, Sheet1!G:G)</f>
        <v>-1</v>
      </c>
      <c r="F1321" s="10">
        <f t="shared" si="20"/>
        <v>-1</v>
      </c>
      <c r="G1321" cm="1">
        <f t="array" ref="G1321:J1321">_xlfn.XLOOKUP(A1321, Sheet1!A:A, Sheet1!C:F)</f>
        <v>7.6</v>
      </c>
      <c r="H1321">
        <v>41</v>
      </c>
      <c r="I1321">
        <v>12.6</v>
      </c>
      <c r="J1321">
        <v>8</v>
      </c>
    </row>
    <row r="1322" spans="1:10" x14ac:dyDescent="0.3">
      <c r="A1322" t="str" cm="1">
        <f t="array" ref="A1322">IF(ROW()&lt;=COUNTA(Sheet1!A:A), INDEX(Sheet1!A:A, ROW()),
INDEX(Sheet4!A:A, ROW()-COUNTA(Sheet1!A:A)))</f>
        <v>Al31.2Co17.2Cr17.2Fe17.2Ni17.2</v>
      </c>
      <c r="B1322" s="10" t="str">
        <f>_xlfn.XLOOKUP(A1322, Sheet4!A:A, Sheet4!C:C)</f>
        <v>IM</v>
      </c>
      <c r="C1322" s="10">
        <v>-1</v>
      </c>
      <c r="D1322" s="10">
        <f>_xlfn.XLOOKUP(A1322, Sheet2!A:A, Sheet2!B:B)</f>
        <v>6.6120000000000001</v>
      </c>
      <c r="E1322" s="10">
        <f>_xlfn.XLOOKUP(A1322, Sheet1!A:A, Sheet1!G:G)</f>
        <v>-1</v>
      </c>
      <c r="F1322" s="10">
        <f t="shared" si="20"/>
        <v>-1</v>
      </c>
      <c r="G1322" cm="1">
        <f t="array" ref="G1322:J1322">_xlfn.XLOOKUP(A1322, Sheet1!A:A, Sheet1!C:F)</f>
        <v>17.241379309999999</v>
      </c>
      <c r="H1322">
        <v>17.241379309999999</v>
      </c>
      <c r="I1322">
        <v>17.241379309999999</v>
      </c>
      <c r="J1322">
        <v>17.241379309999999</v>
      </c>
    </row>
    <row r="1323" spans="1:10" x14ac:dyDescent="0.3">
      <c r="A1323" t="str" cm="1">
        <f t="array" ref="A1323">IF(ROW()&lt;=COUNTA(Sheet1!A:A), INDEX(Sheet1!A:A, ROW()),
INDEX(Sheet4!A:A, ROW()-COUNTA(Sheet1!A:A)))</f>
        <v>Al31.209Cr41.82Fe13.608Co6.5422Ni6.8205</v>
      </c>
      <c r="B1323" s="10">
        <f>_xlfn.XLOOKUP(A1323, Sheet4!A:A, Sheet4!C:C)</f>
        <v>0</v>
      </c>
      <c r="C1323" s="10">
        <v>-1</v>
      </c>
      <c r="D1323" s="10">
        <f>_xlfn.XLOOKUP(A1323, Sheet2!A:A, Sheet2!B:B)</f>
        <v>5.8049999999999997</v>
      </c>
      <c r="E1323" s="10">
        <f>_xlfn.XLOOKUP(A1323, Sheet1!A:A, Sheet1!G:G)</f>
        <v>-1</v>
      </c>
      <c r="F1323" s="10">
        <f t="shared" si="20"/>
        <v>-1</v>
      </c>
      <c r="G1323" cm="1">
        <f t="array" ref="G1323:J1323">_xlfn.XLOOKUP(A1323, Sheet1!A:A, Sheet1!C:F)</f>
        <v>7.9</v>
      </c>
      <c r="H1323">
        <v>42.1</v>
      </c>
      <c r="I1323">
        <v>10.8</v>
      </c>
      <c r="J1323">
        <v>8.1999999999999993</v>
      </c>
    </row>
    <row r="1324" spans="1:10" x14ac:dyDescent="0.3">
      <c r="A1324" t="str" cm="1">
        <f t="array" ref="A1324">IF(ROW()&lt;=COUNTA(Sheet1!A:A), INDEX(Sheet1!A:A, ROW()),
INDEX(Sheet4!A:A, ROW()-COUNTA(Sheet1!A:A)))</f>
        <v>Al31.2Cr41.8Fe13.6Co6.5Ni6.8</v>
      </c>
      <c r="B1324" s="10">
        <f>_xlfn.XLOOKUP(A1324, Sheet4!A:A, Sheet4!C:C)</f>
        <v>0</v>
      </c>
      <c r="C1324" s="10">
        <v>-1</v>
      </c>
      <c r="D1324" s="10">
        <f>_xlfn.XLOOKUP(A1324, Sheet2!A:A, Sheet2!B:B)</f>
        <v>5.8028000000000004</v>
      </c>
      <c r="E1324" s="10">
        <f>_xlfn.XLOOKUP(A1324, Sheet1!A:A, Sheet1!G:G)</f>
        <v>-1</v>
      </c>
      <c r="F1324" s="10">
        <f t="shared" si="20"/>
        <v>-1</v>
      </c>
      <c r="G1324" cm="1">
        <f t="array" ref="G1324:J1324">_xlfn.XLOOKUP(A1324, Sheet1!A:A, Sheet1!C:F)</f>
        <v>7.8807999999999998</v>
      </c>
      <c r="H1324">
        <v>42.125</v>
      </c>
      <c r="I1324">
        <v>10.757999999999999</v>
      </c>
      <c r="J1324">
        <v>8.1532999999999998</v>
      </c>
    </row>
    <row r="1325" spans="1:10" x14ac:dyDescent="0.3">
      <c r="A1325" t="str" cm="1">
        <f t="array" ref="A1325">IF(ROW()&lt;=COUNTA(Sheet1!A:A), INDEX(Sheet1!A:A, ROW()),
INDEX(Sheet4!A:A, ROW()-COUNTA(Sheet1!A:A)))</f>
        <v>Al31.3Cr17.1Fe22.6Co12.8Ni16.1</v>
      </c>
      <c r="B1325" s="10">
        <f>_xlfn.XLOOKUP(A1325, Sheet4!A:A, Sheet4!C:C)</f>
        <v>0</v>
      </c>
      <c r="C1325" s="10">
        <v>-1</v>
      </c>
      <c r="D1325" s="10">
        <f>_xlfn.XLOOKUP(A1325, Sheet2!A:A, Sheet2!B:B)</f>
        <v>6.5415000000000001</v>
      </c>
      <c r="E1325" s="10">
        <f>_xlfn.XLOOKUP(A1325, Sheet1!A:A, Sheet1!G:G)</f>
        <v>-1</v>
      </c>
      <c r="F1325" s="10">
        <f t="shared" si="20"/>
        <v>-1</v>
      </c>
      <c r="G1325" cm="1">
        <f t="array" ref="G1325:J1325">_xlfn.XLOOKUP(A1325, Sheet1!A:A, Sheet1!C:F)</f>
        <v>9.9</v>
      </c>
      <c r="H1325">
        <v>42.3</v>
      </c>
      <c r="I1325">
        <v>6.5</v>
      </c>
      <c r="J1325">
        <v>10.199999999999999</v>
      </c>
    </row>
    <row r="1326" spans="1:10" x14ac:dyDescent="0.3">
      <c r="A1326" t="str" cm="1">
        <f t="array" ref="A1326">IF(ROW()&lt;=COUNTA(Sheet1!A:A), INDEX(Sheet1!A:A, ROW()),
INDEX(Sheet4!A:A, ROW()-COUNTA(Sheet1!A:A)))</f>
        <v>Al31.347Cr17.113Fe22.609Co12.826Ni16.106</v>
      </c>
      <c r="B1326" s="10">
        <f>_xlfn.XLOOKUP(A1326, Sheet4!A:A, Sheet4!C:C)</f>
        <v>0</v>
      </c>
      <c r="C1326" s="10">
        <v>-1</v>
      </c>
      <c r="D1326" s="10">
        <f>_xlfn.XLOOKUP(A1326, Sheet2!A:A, Sheet2!B:B)</f>
        <v>6.5407999999999999</v>
      </c>
      <c r="E1326" s="10">
        <f>_xlfn.XLOOKUP(A1326, Sheet1!A:A, Sheet1!G:G)</f>
        <v>-1</v>
      </c>
      <c r="F1326" s="10">
        <f t="shared" si="20"/>
        <v>-1</v>
      </c>
      <c r="G1326" cm="1">
        <f t="array" ref="G1326:J1326">_xlfn.XLOOKUP(A1326, Sheet1!A:A, Sheet1!C:F)</f>
        <v>9.6999999999999993</v>
      </c>
      <c r="H1326">
        <v>41.8</v>
      </c>
      <c r="I1326">
        <v>7.4</v>
      </c>
      <c r="J1326">
        <v>9.9</v>
      </c>
    </row>
    <row r="1327" spans="1:10" x14ac:dyDescent="0.3">
      <c r="A1327" t="str" cm="1">
        <f t="array" ref="A1327">IF(ROW()&lt;=COUNTA(Sheet1!A:A), INDEX(Sheet1!A:A, ROW()),
INDEX(Sheet4!A:A, ROW()-COUNTA(Sheet1!A:A)))</f>
        <v>Al31.8Cr44Fe7.8Co8.1Ni8.3</v>
      </c>
      <c r="B1327" s="10">
        <f>_xlfn.XLOOKUP(A1327, Sheet4!A:A, Sheet4!C:C)</f>
        <v>0</v>
      </c>
      <c r="C1327" s="10">
        <v>-1</v>
      </c>
      <c r="D1327" s="10">
        <f>_xlfn.XLOOKUP(A1327, Sheet2!A:A, Sheet2!B:B)</f>
        <v>5.7770000000000001</v>
      </c>
      <c r="E1327" s="10">
        <f>_xlfn.XLOOKUP(A1327, Sheet1!A:A, Sheet1!G:G)</f>
        <v>-1</v>
      </c>
      <c r="F1327" s="10">
        <f t="shared" si="20"/>
        <v>-1</v>
      </c>
      <c r="G1327" cm="1">
        <f t="array" ref="G1327:J1327">_xlfn.XLOOKUP(A1327, Sheet1!A:A, Sheet1!C:F)</f>
        <v>9.6608999999999998</v>
      </c>
      <c r="H1327">
        <v>41.825000000000003</v>
      </c>
      <c r="I1327">
        <v>7.4276999999999997</v>
      </c>
      <c r="J1327">
        <v>9.9466000000000001</v>
      </c>
    </row>
    <row r="1328" spans="1:10" x14ac:dyDescent="0.3">
      <c r="A1328" t="str" cm="1">
        <f t="array" ref="A1328">IF(ROW()&lt;=COUNTA(Sheet1!A:A), INDEX(Sheet1!A:A, ROW()),
INDEX(Sheet4!A:A, ROW()-COUNTA(Sheet1!A:A)))</f>
        <v>Al31.801Cr44.031Fe7.812Co8.0922Ni8.2641</v>
      </c>
      <c r="B1328" s="10">
        <f>_xlfn.XLOOKUP(A1328, Sheet4!A:A, Sheet4!C:C)</f>
        <v>0</v>
      </c>
      <c r="C1328" s="10">
        <v>-1</v>
      </c>
      <c r="D1328" s="10">
        <f>_xlfn.XLOOKUP(A1328, Sheet2!A:A, Sheet2!B:B)</f>
        <v>5.7755000000000001</v>
      </c>
      <c r="E1328" s="10">
        <f>_xlfn.XLOOKUP(A1328, Sheet1!A:A, Sheet1!G:G)</f>
        <v>-1</v>
      </c>
      <c r="F1328" s="10">
        <f t="shared" si="20"/>
        <v>-1</v>
      </c>
      <c r="G1328" cm="1">
        <f t="array" ref="G1328:J1328">_xlfn.XLOOKUP(A1328, Sheet1!A:A, Sheet1!C:F)</f>
        <v>9.9059000000000008</v>
      </c>
      <c r="H1328">
        <v>42.259</v>
      </c>
      <c r="I1328">
        <v>6.4778000000000002</v>
      </c>
      <c r="J1328">
        <v>10.210000000000001</v>
      </c>
    </row>
    <row r="1329" spans="1:10" x14ac:dyDescent="0.3">
      <c r="A1329" t="str" cm="1">
        <f t="array" ref="A1329">IF(ROW()&lt;=COUNTA(Sheet1!A:A), INDEX(Sheet1!A:A, ROW()),
INDEX(Sheet4!A:A, ROW()-COUNTA(Sheet1!A:A)))</f>
        <v>Al31.887Cr20.649Fe27.12Co8.7757Ni11.569</v>
      </c>
      <c r="B1329" s="10">
        <f>_xlfn.XLOOKUP(A1329, Sheet4!A:A, Sheet4!C:C)</f>
        <v>0</v>
      </c>
      <c r="C1329" s="10">
        <v>-1</v>
      </c>
      <c r="D1329" s="10">
        <f>_xlfn.XLOOKUP(A1329, Sheet2!A:A, Sheet2!B:B)</f>
        <v>6.3117999999999999</v>
      </c>
      <c r="E1329" s="10">
        <f>_xlfn.XLOOKUP(A1329, Sheet1!A:A, Sheet1!G:G)</f>
        <v>-1</v>
      </c>
      <c r="F1329" s="10">
        <f t="shared" si="20"/>
        <v>-1</v>
      </c>
      <c r="G1329" cm="1">
        <f t="array" ref="G1329:J1329">_xlfn.XLOOKUP(A1329, Sheet1!A:A, Sheet1!C:F)</f>
        <v>7.9671000000000003</v>
      </c>
      <c r="H1329">
        <v>43.271000000000001</v>
      </c>
      <c r="I1329">
        <v>9.1364000000000001</v>
      </c>
      <c r="J1329">
        <v>8.4395000000000007</v>
      </c>
    </row>
    <row r="1330" spans="1:10" x14ac:dyDescent="0.3">
      <c r="A1330" t="str" cm="1">
        <f t="array" ref="A1330">IF(ROW()&lt;=COUNTA(Sheet1!A:A), INDEX(Sheet1!A:A, ROW()),
INDEX(Sheet4!A:A, ROW()-COUNTA(Sheet1!A:A)))</f>
        <v>Al31.9Cr20.6Fe27.1Co8.8Ni11.6</v>
      </c>
      <c r="B1330" s="10">
        <f>_xlfn.XLOOKUP(A1330, Sheet4!A:A, Sheet4!C:C)</f>
        <v>0</v>
      </c>
      <c r="C1330" s="10">
        <v>-1</v>
      </c>
      <c r="D1330" s="10">
        <f>_xlfn.XLOOKUP(A1330, Sheet2!A:A, Sheet2!B:B)</f>
        <v>6.3129999999999997</v>
      </c>
      <c r="E1330" s="10">
        <f>_xlfn.XLOOKUP(A1330, Sheet1!A:A, Sheet1!G:G)</f>
        <v>-1</v>
      </c>
      <c r="F1330" s="10">
        <f t="shared" si="20"/>
        <v>-1</v>
      </c>
      <c r="G1330" cm="1">
        <f t="array" ref="G1330:J1330">_xlfn.XLOOKUP(A1330, Sheet1!A:A, Sheet1!C:F)</f>
        <v>8</v>
      </c>
      <c r="H1330">
        <v>43.3</v>
      </c>
      <c r="I1330">
        <v>9.1</v>
      </c>
      <c r="J1330">
        <v>8.4</v>
      </c>
    </row>
    <row r="1331" spans="1:10" x14ac:dyDescent="0.3">
      <c r="A1331" t="str" cm="1">
        <f t="array" ref="A1331">IF(ROW()&lt;=COUNTA(Sheet1!A:A), INDEX(Sheet1!A:A, ROW()),
INDEX(Sheet4!A:A, ROW()-COUNTA(Sheet1!A:A)))</f>
        <v>Al32Cr43.1Fe11.3Co6.6Ni6.9</v>
      </c>
      <c r="B1331" s="10">
        <f>_xlfn.XLOOKUP(A1331, Sheet4!A:A, Sheet4!C:C)</f>
        <v>0</v>
      </c>
      <c r="C1331" s="10">
        <v>-1</v>
      </c>
      <c r="D1331" s="10">
        <f>_xlfn.XLOOKUP(A1331, Sheet2!A:A, Sheet2!B:B)</f>
        <v>5.7397</v>
      </c>
      <c r="E1331" s="10">
        <f>_xlfn.XLOOKUP(A1331, Sheet1!A:A, Sheet1!G:G)</f>
        <v>-1</v>
      </c>
      <c r="F1331" s="10">
        <f t="shared" si="20"/>
        <v>-1</v>
      </c>
      <c r="G1331" cm="1">
        <f t="array" ref="G1331:J1331">_xlfn.XLOOKUP(A1331, Sheet1!A:A, Sheet1!C:F)</f>
        <v>17.2</v>
      </c>
      <c r="H1331">
        <v>17.2</v>
      </c>
      <c r="I1331">
        <v>17.2</v>
      </c>
      <c r="J1331">
        <v>17.2</v>
      </c>
    </row>
    <row r="1332" spans="1:10" x14ac:dyDescent="0.3">
      <c r="A1332" t="str" cm="1">
        <f t="array" ref="A1332">IF(ROW()&lt;=COUNTA(Sheet1!A:A), INDEX(Sheet1!A:A, ROW()),
INDEX(Sheet4!A:A, ROW()-COUNTA(Sheet1!A:A)))</f>
        <v>Al32.045Cr43.139Fe11.318Co6.5506Ni6.9476</v>
      </c>
      <c r="B1332" s="10">
        <f>_xlfn.XLOOKUP(A1332, Sheet4!A:A, Sheet4!C:C)</f>
        <v>0</v>
      </c>
      <c r="C1332" s="10">
        <v>-1</v>
      </c>
      <c r="D1332" s="10">
        <f>_xlfn.XLOOKUP(A1332, Sheet2!A:A, Sheet2!B:B)</f>
        <v>5.7393999999999998</v>
      </c>
      <c r="E1332" s="10">
        <f>_xlfn.XLOOKUP(A1332, Sheet1!A:A, Sheet1!G:G)</f>
        <v>-1</v>
      </c>
      <c r="F1332" s="10">
        <f t="shared" si="20"/>
        <v>-1</v>
      </c>
      <c r="G1332" cm="1">
        <f t="array" ref="G1332:J1332">_xlfn.XLOOKUP(A1332, Sheet1!A:A, Sheet1!C:F)</f>
        <v>6.5422000000000002</v>
      </c>
      <c r="H1332">
        <v>41.82</v>
      </c>
      <c r="I1332">
        <v>13.608000000000001</v>
      </c>
      <c r="J1332">
        <v>6.8205</v>
      </c>
    </row>
    <row r="1333" spans="1:10" x14ac:dyDescent="0.3">
      <c r="A1333" t="str" cm="1">
        <f t="array" ref="A1333">IF(ROW()&lt;=COUNTA(Sheet1!A:A), INDEX(Sheet1!A:A, ROW()),
INDEX(Sheet4!A:A, ROW()-COUNTA(Sheet1!A:A)))</f>
        <v>Al1.9CoCrFeNi</v>
      </c>
      <c r="B1333" s="10">
        <f>_xlfn.XLOOKUP(A1333, Sheet4!A:A, Sheet4!C:C)</f>
        <v>0</v>
      </c>
      <c r="C1333" s="10">
        <v>-1</v>
      </c>
      <c r="D1333" s="10">
        <f>_xlfn.XLOOKUP(A1333, Sheet2!A:A, Sheet2!B:B)</f>
        <v>6.5593000000000004</v>
      </c>
      <c r="E1333" s="10">
        <f>_xlfn.XLOOKUP(A1333, Sheet1!A:A, Sheet1!G:G)</f>
        <v>-1</v>
      </c>
      <c r="F1333" s="10">
        <f t="shared" si="20"/>
        <v>-1</v>
      </c>
      <c r="G1333" cm="1">
        <f t="array" ref="G1333:J1333">_xlfn.XLOOKUP(A1333, Sheet1!A:A, Sheet1!C:F)</f>
        <v>6.5</v>
      </c>
      <c r="H1333">
        <v>41.8</v>
      </c>
      <c r="I1333">
        <v>13.6</v>
      </c>
      <c r="J1333">
        <v>6.8</v>
      </c>
    </row>
    <row r="1334" spans="1:10" x14ac:dyDescent="0.3">
      <c r="A1334" t="str" cm="1">
        <f t="array" ref="A1334">IF(ROW()&lt;=COUNTA(Sheet1!A:A), INDEX(Sheet1!A:A, ROW()),
INDEX(Sheet4!A:A, ROW()-COUNTA(Sheet1!A:A)))</f>
        <v>Al32.251Cr44.373Fe6.7543Co8.1489Ni8.4723</v>
      </c>
      <c r="B1334" s="10">
        <f>_xlfn.XLOOKUP(A1334, Sheet4!A:A, Sheet4!C:C)</f>
        <v>0</v>
      </c>
      <c r="C1334" s="10">
        <v>-1</v>
      </c>
      <c r="D1334" s="10">
        <f>_xlfn.XLOOKUP(A1334, Sheet2!A:A, Sheet2!B:B)</f>
        <v>5.7508999999999997</v>
      </c>
      <c r="E1334" s="10">
        <f>_xlfn.XLOOKUP(A1334, Sheet1!A:A, Sheet1!G:G)</f>
        <v>-1</v>
      </c>
      <c r="F1334" s="10">
        <f t="shared" si="20"/>
        <v>-1</v>
      </c>
      <c r="G1334" cm="1">
        <f t="array" ref="G1334:J1334">_xlfn.XLOOKUP(A1334, Sheet1!A:A, Sheet1!C:F)</f>
        <v>12.8</v>
      </c>
      <c r="H1334">
        <v>17.100000000000001</v>
      </c>
      <c r="I1334">
        <v>22.6</v>
      </c>
      <c r="J1334">
        <v>16.100000000000001</v>
      </c>
    </row>
    <row r="1335" spans="1:10" x14ac:dyDescent="0.3">
      <c r="A1335" t="str" cm="1">
        <f t="array" ref="A1335">IF(ROW()&lt;=COUNTA(Sheet1!A:A), INDEX(Sheet1!A:A, ROW()),
INDEX(Sheet4!A:A, ROW()-COUNTA(Sheet1!A:A)))</f>
        <v>Al32.3Cr44.5Fe9.7Co6.7Ni6.9</v>
      </c>
      <c r="B1335" s="10">
        <f>_xlfn.XLOOKUP(A1335, Sheet4!A:A, Sheet4!C:C)</f>
        <v>0</v>
      </c>
      <c r="C1335" s="10">
        <v>-1</v>
      </c>
      <c r="D1335" s="10">
        <f>_xlfn.XLOOKUP(A1335, Sheet2!A:A, Sheet2!B:B)</f>
        <v>5.7023000000000001</v>
      </c>
      <c r="E1335" s="10">
        <f>_xlfn.XLOOKUP(A1335, Sheet1!A:A, Sheet1!G:G)</f>
        <v>-1</v>
      </c>
      <c r="F1335" s="10">
        <f t="shared" si="20"/>
        <v>-1</v>
      </c>
      <c r="G1335" cm="1">
        <f t="array" ref="G1335:J1335">_xlfn.XLOOKUP(A1335, Sheet1!A:A, Sheet1!C:F)</f>
        <v>12.826000000000001</v>
      </c>
      <c r="H1335">
        <v>17.113</v>
      </c>
      <c r="I1335">
        <v>22.609000000000002</v>
      </c>
      <c r="J1335">
        <v>16.106000000000002</v>
      </c>
    </row>
    <row r="1336" spans="1:10" x14ac:dyDescent="0.3">
      <c r="A1336" t="str" cm="1">
        <f t="array" ref="A1336">IF(ROW()&lt;=COUNTA(Sheet1!A:A), INDEX(Sheet1!A:A, ROW()),
INDEX(Sheet4!A:A, ROW()-COUNTA(Sheet1!A:A)))</f>
        <v>Al32.3Cr44.4Fe6.8Co8.1Ni8.5</v>
      </c>
      <c r="B1336" s="10">
        <f>_xlfn.XLOOKUP(A1336, Sheet4!A:A, Sheet4!C:C)</f>
        <v>0</v>
      </c>
      <c r="C1336" s="10">
        <v>-1</v>
      </c>
      <c r="D1336" s="10">
        <f>_xlfn.XLOOKUP(A1336, Sheet2!A:A, Sheet2!B:B)</f>
        <v>5.7502000000000004</v>
      </c>
      <c r="E1336" s="10">
        <f>_xlfn.XLOOKUP(A1336, Sheet1!A:A, Sheet1!G:G)</f>
        <v>-1</v>
      </c>
      <c r="F1336" s="10">
        <f t="shared" si="20"/>
        <v>-1</v>
      </c>
      <c r="G1336" cm="1">
        <f t="array" ref="G1336:J1336">_xlfn.XLOOKUP(A1336, Sheet1!A:A, Sheet1!C:F)</f>
        <v>8.1</v>
      </c>
      <c r="H1336">
        <v>44</v>
      </c>
      <c r="I1336">
        <v>7.8</v>
      </c>
      <c r="J1336">
        <v>8.3000000000000007</v>
      </c>
    </row>
    <row r="1337" spans="1:10" x14ac:dyDescent="0.3">
      <c r="A1337" t="str" cm="1">
        <f t="array" ref="A1337">IF(ROW()&lt;=COUNTA(Sheet1!A:A), INDEX(Sheet1!A:A, ROW()),
INDEX(Sheet4!A:A, ROW()-COUNTA(Sheet1!A:A)))</f>
        <v>Al32.281Cr44.461Fe9.6899Co6.6659Ni6.9017</v>
      </c>
      <c r="B1337" s="10">
        <f>_xlfn.XLOOKUP(A1337, Sheet4!A:A, Sheet4!C:C)</f>
        <v>0</v>
      </c>
      <c r="C1337" s="10">
        <v>-1</v>
      </c>
      <c r="D1337" s="10">
        <f>_xlfn.XLOOKUP(A1337, Sheet2!A:A, Sheet2!B:B)</f>
        <v>5.7013999999999996</v>
      </c>
      <c r="E1337" s="10">
        <f>_xlfn.XLOOKUP(A1337, Sheet1!A:A, Sheet1!G:G)</f>
        <v>-1</v>
      </c>
      <c r="F1337" s="10">
        <f t="shared" si="20"/>
        <v>-1</v>
      </c>
      <c r="G1337" cm="1">
        <f t="array" ref="G1337:J1337">_xlfn.XLOOKUP(A1337, Sheet1!A:A, Sheet1!C:F)</f>
        <v>8.0922000000000001</v>
      </c>
      <c r="H1337">
        <v>44.030999999999999</v>
      </c>
      <c r="I1337">
        <v>7.8120000000000003</v>
      </c>
      <c r="J1337">
        <v>8.2640999999999991</v>
      </c>
    </row>
    <row r="1338" spans="1:10" x14ac:dyDescent="0.3">
      <c r="A1338" t="str" cm="1">
        <f t="array" ref="A1338">IF(ROW()&lt;=COUNTA(Sheet1!A:A), INDEX(Sheet1!A:A, ROW()),
INDEX(Sheet4!A:A, ROW()-COUNTA(Sheet1!A:A)))</f>
        <v>Al32.4Cr45.5Fe8.3Co6.8Ni6.9</v>
      </c>
      <c r="B1338" s="10">
        <f>_xlfn.XLOOKUP(A1338, Sheet4!A:A, Sheet4!C:C)</f>
        <v>0</v>
      </c>
      <c r="C1338" s="10">
        <v>-1</v>
      </c>
      <c r="D1338" s="10">
        <f>_xlfn.XLOOKUP(A1338, Sheet2!A:A, Sheet2!B:B)</f>
        <v>5.6737000000000002</v>
      </c>
      <c r="E1338" s="10">
        <f>_xlfn.XLOOKUP(A1338, Sheet1!A:A, Sheet1!G:G)</f>
        <v>-1</v>
      </c>
      <c r="F1338" s="10">
        <f t="shared" si="20"/>
        <v>-1</v>
      </c>
      <c r="G1338" cm="1">
        <f t="array" ref="G1338:J1338">_xlfn.XLOOKUP(A1338, Sheet1!A:A, Sheet1!C:F)</f>
        <v>8.7757000000000005</v>
      </c>
      <c r="H1338">
        <v>20.649000000000001</v>
      </c>
      <c r="I1338">
        <v>27.12</v>
      </c>
      <c r="J1338">
        <v>11.569000000000001</v>
      </c>
    </row>
    <row r="1339" spans="1:10" x14ac:dyDescent="0.3">
      <c r="A1339" t="str" cm="1">
        <f t="array" ref="A1339">IF(ROW()&lt;=COUNTA(Sheet1!A:A), INDEX(Sheet1!A:A, ROW()),
INDEX(Sheet4!A:A, ROW()-COUNTA(Sheet1!A:A)))</f>
        <v>Al32.446Cr45.521Fe8.2513Co6.8334Ni6.9486</v>
      </c>
      <c r="B1339" s="10">
        <f>_xlfn.XLOOKUP(A1339, Sheet4!A:A, Sheet4!C:C)</f>
        <v>0</v>
      </c>
      <c r="C1339" s="10">
        <v>-1</v>
      </c>
      <c r="D1339" s="10">
        <f>_xlfn.XLOOKUP(A1339, Sheet2!A:A, Sheet2!B:B)</f>
        <v>5.6745999999999999</v>
      </c>
      <c r="E1339" s="10">
        <f>_xlfn.XLOOKUP(A1339, Sheet1!A:A, Sheet1!G:G)</f>
        <v>-1</v>
      </c>
      <c r="F1339" s="10">
        <f t="shared" si="20"/>
        <v>-1</v>
      </c>
      <c r="G1339" cm="1">
        <f t="array" ref="G1339:J1339">_xlfn.XLOOKUP(A1339, Sheet1!A:A, Sheet1!C:F)</f>
        <v>8.8000000000000007</v>
      </c>
      <c r="H1339">
        <v>20.6</v>
      </c>
      <c r="I1339">
        <v>27.1</v>
      </c>
      <c r="J1339">
        <v>11.6</v>
      </c>
    </row>
    <row r="1340" spans="1:10" x14ac:dyDescent="0.3">
      <c r="A1340" t="str" cm="1">
        <f t="array" ref="A1340">IF(ROW()&lt;=COUNTA(Sheet1!A:A), INDEX(Sheet1!A:A, ROW()),
INDEX(Sheet4!A:A, ROW()-COUNTA(Sheet1!A:A)))</f>
        <v>Al32.7Cr15.6Fe20.7Co13.6Ni17.5</v>
      </c>
      <c r="B1340" s="10">
        <f>_xlfn.XLOOKUP(A1340, Sheet4!A:A, Sheet4!C:C)</f>
        <v>0</v>
      </c>
      <c r="C1340" s="10">
        <v>-1</v>
      </c>
      <c r="D1340" s="10">
        <f>_xlfn.XLOOKUP(A1340, Sheet2!A:A, Sheet2!B:B)</f>
        <v>6.5404999999999998</v>
      </c>
      <c r="E1340" s="10">
        <f>_xlfn.XLOOKUP(A1340, Sheet1!A:A, Sheet1!G:G)</f>
        <v>-1</v>
      </c>
      <c r="F1340" s="10">
        <f t="shared" si="20"/>
        <v>-1</v>
      </c>
      <c r="G1340" cm="1">
        <f t="array" ref="G1340:J1340">_xlfn.XLOOKUP(A1340, Sheet1!A:A, Sheet1!C:F)</f>
        <v>6.6</v>
      </c>
      <c r="H1340">
        <v>43.1</v>
      </c>
      <c r="I1340">
        <v>11.3</v>
      </c>
      <c r="J1340">
        <v>6.9</v>
      </c>
    </row>
    <row r="1341" spans="1:10" x14ac:dyDescent="0.3">
      <c r="A1341" t="str" cm="1">
        <f t="array" ref="A1341">IF(ROW()&lt;=COUNTA(Sheet1!A:A), INDEX(Sheet1!A:A, ROW()),
INDEX(Sheet4!A:A, ROW()-COUNTA(Sheet1!A:A)))</f>
        <v>Al32.677Cr15.59Fe20.675Co13.561Ni17.498</v>
      </c>
      <c r="B1341" s="10">
        <f>_xlfn.XLOOKUP(A1341, Sheet4!A:A, Sheet4!C:C)</f>
        <v>0</v>
      </c>
      <c r="C1341" s="10">
        <v>-1</v>
      </c>
      <c r="D1341" s="10">
        <f>_xlfn.XLOOKUP(A1341, Sheet2!A:A, Sheet2!B:B)</f>
        <v>6.5399000000000003</v>
      </c>
      <c r="E1341" s="10">
        <f>_xlfn.XLOOKUP(A1341, Sheet1!A:A, Sheet1!G:G)</f>
        <v>-1</v>
      </c>
      <c r="F1341" s="10">
        <f t="shared" si="20"/>
        <v>-1</v>
      </c>
      <c r="G1341" cm="1">
        <f t="array" ref="G1341:J1341">_xlfn.XLOOKUP(A1341, Sheet1!A:A, Sheet1!C:F)</f>
        <v>6.5506000000000002</v>
      </c>
      <c r="H1341">
        <v>43.139000000000003</v>
      </c>
      <c r="I1341">
        <v>11.318</v>
      </c>
      <c r="J1341">
        <v>6.9476000000000004</v>
      </c>
    </row>
    <row r="1342" spans="1:10" x14ac:dyDescent="0.3">
      <c r="A1342" t="str" cm="1">
        <f t="array" ref="A1342">IF(ROW()&lt;=COUNTA(Sheet1!A:A), INDEX(Sheet1!A:A, ROW()),
INDEX(Sheet4!A:A, ROW()-COUNTA(Sheet1!A:A)))</f>
        <v>Al32.9Cr21.8Fe29.2Co7Ni9</v>
      </c>
      <c r="B1342" s="10">
        <f>_xlfn.XLOOKUP(A1342, Sheet4!A:A, Sheet4!C:C)</f>
        <v>0</v>
      </c>
      <c r="C1342" s="10">
        <v>-1</v>
      </c>
      <c r="D1342" s="10">
        <f>_xlfn.XLOOKUP(A1342, Sheet2!A:A, Sheet2!B:B)</f>
        <v>6.1672000000000002</v>
      </c>
      <c r="E1342" s="10">
        <f>_xlfn.XLOOKUP(A1342, Sheet1!A:A, Sheet1!G:G)</f>
        <v>-1</v>
      </c>
      <c r="F1342" s="10">
        <f t="shared" si="20"/>
        <v>-1</v>
      </c>
      <c r="G1342" cm="1">
        <f t="array" ref="G1342:J1342">_xlfn.XLOOKUP(A1342, Sheet1!A:A, Sheet1!C:F)</f>
        <v>16.94915254</v>
      </c>
      <c r="H1342">
        <v>16.94915254</v>
      </c>
      <c r="I1342">
        <v>16.94915254</v>
      </c>
      <c r="J1342">
        <v>16.94915254</v>
      </c>
    </row>
    <row r="1343" spans="1:10" x14ac:dyDescent="0.3">
      <c r="A1343" t="str" cm="1">
        <f t="array" ref="A1343">IF(ROW()&lt;=COUNTA(Sheet1!A:A), INDEX(Sheet1!A:A, ROW()),
INDEX(Sheet4!A:A, ROW()-COUNTA(Sheet1!A:A)))</f>
        <v>Al32.933Cr21.844Fe29.206Co7.0154Ni9.0006</v>
      </c>
      <c r="B1343" s="10">
        <f>_xlfn.XLOOKUP(A1343, Sheet4!A:A, Sheet4!C:C)</f>
        <v>0</v>
      </c>
      <c r="C1343" s="10">
        <v>-1</v>
      </c>
      <c r="D1343" s="10">
        <f>_xlfn.XLOOKUP(A1343, Sheet2!A:A, Sheet2!B:B)</f>
        <v>6.1665999999999999</v>
      </c>
      <c r="E1343" s="10">
        <f>_xlfn.XLOOKUP(A1343, Sheet1!A:A, Sheet1!G:G)</f>
        <v>-1</v>
      </c>
      <c r="F1343" s="10">
        <f t="shared" si="20"/>
        <v>-1</v>
      </c>
      <c r="G1343" cm="1">
        <f t="array" ref="G1343:J1343">_xlfn.XLOOKUP(A1343, Sheet1!A:A, Sheet1!C:F)</f>
        <v>8.1488999999999994</v>
      </c>
      <c r="H1343">
        <v>44.372999999999998</v>
      </c>
      <c r="I1343">
        <v>6.7542999999999997</v>
      </c>
      <c r="J1343">
        <v>8.4723000000000006</v>
      </c>
    </row>
    <row r="1344" spans="1:10" x14ac:dyDescent="0.3">
      <c r="A1344" t="str" cm="1">
        <f t="array" ref="A1344">IF(ROW()&lt;=COUNTA(Sheet1!A:A), INDEX(Sheet1!A:A, ROW()),
INDEX(Sheet4!A:A, ROW()-COUNTA(Sheet1!A:A)))</f>
        <v>Al33.2Co16.7Cr16.7Fe16.7Ni16.7</v>
      </c>
      <c r="B1344" s="10" t="str">
        <f>_xlfn.XLOOKUP(A1344, Sheet4!A:A, Sheet4!C:C)</f>
        <v>IM</v>
      </c>
      <c r="C1344" s="10">
        <v>-1</v>
      </c>
      <c r="D1344" s="10">
        <f>_xlfn.XLOOKUP(A1344, Sheet2!A:A, Sheet2!B:B)</f>
        <v>6.5069999999999997</v>
      </c>
      <c r="E1344" s="10">
        <f>_xlfn.XLOOKUP(A1344, Sheet1!A:A, Sheet1!G:G)</f>
        <v>-1</v>
      </c>
      <c r="F1344" s="10">
        <f t="shared" si="20"/>
        <v>-1</v>
      </c>
      <c r="G1344" cm="1">
        <f t="array" ref="G1344:J1344">_xlfn.XLOOKUP(A1344, Sheet1!A:A, Sheet1!C:F)</f>
        <v>6.7</v>
      </c>
      <c r="H1344">
        <v>44.5</v>
      </c>
      <c r="I1344">
        <v>9.6999999999999993</v>
      </c>
      <c r="J1344">
        <v>6.9</v>
      </c>
    </row>
    <row r="1345" spans="1:10" x14ac:dyDescent="0.3">
      <c r="A1345" t="str" cm="1">
        <f t="array" ref="A1345">IF(ROW()&lt;=COUNTA(Sheet1!A:A), INDEX(Sheet1!A:A, ROW()),
INDEX(Sheet4!A:A, ROW()-COUNTA(Sheet1!A:A)))</f>
        <v>Al33.2Co16.7Cr16.7Fe16.7Ni16.7</v>
      </c>
      <c r="B1345" s="10" t="str">
        <f>_xlfn.XLOOKUP(A1345, Sheet4!A:A, Sheet4!C:C)</f>
        <v>IM</v>
      </c>
      <c r="C1345" s="10">
        <v>-1</v>
      </c>
      <c r="D1345" s="10">
        <f>_xlfn.XLOOKUP(A1345, Sheet2!A:A, Sheet2!B:B)</f>
        <v>6.5069999999999997</v>
      </c>
      <c r="E1345" s="10">
        <f>_xlfn.XLOOKUP(A1345, Sheet1!A:A, Sheet1!G:G)</f>
        <v>-1</v>
      </c>
      <c r="F1345" s="10">
        <f t="shared" si="20"/>
        <v>-1</v>
      </c>
      <c r="G1345" cm="1">
        <f t="array" ref="G1345:J1345">_xlfn.XLOOKUP(A1345, Sheet1!A:A, Sheet1!C:F)</f>
        <v>6.7</v>
      </c>
      <c r="H1345">
        <v>44.5</v>
      </c>
      <c r="I1345">
        <v>9.6999999999999993</v>
      </c>
      <c r="J1345">
        <v>6.9</v>
      </c>
    </row>
    <row r="1346" spans="1:10" x14ac:dyDescent="0.3">
      <c r="A1346" t="str" cm="1">
        <f t="array" ref="A1346">IF(ROW()&lt;=COUNTA(Sheet1!A:A), INDEX(Sheet1!A:A, ROW()),
INDEX(Sheet4!A:A, ROW()-COUNTA(Sheet1!A:A)))</f>
        <v>Al2CoCrFeNi</v>
      </c>
      <c r="B1346" s="10" t="str">
        <f>_xlfn.XLOOKUP(A1346, Sheet4!A:A, Sheet4!C:C)</f>
        <v>BCC1+B2(ordered BCC)</v>
      </c>
      <c r="C1346" s="10">
        <v>1</v>
      </c>
      <c r="D1346" s="10">
        <f>_xlfn.XLOOKUP(A1346, Sheet2!A:A, Sheet2!B:B)</f>
        <v>6.5</v>
      </c>
      <c r="E1346" s="10">
        <f>_xlfn.XLOOKUP(A1346, Sheet1!A:A, Sheet1!G:G)</f>
        <v>-1</v>
      </c>
      <c r="F1346" s="10">
        <f t="shared" si="20"/>
        <v>1</v>
      </c>
      <c r="G1346" cm="1">
        <f t="array" ref="G1346:J1346">_xlfn.XLOOKUP(A1346, Sheet1!A:A, Sheet1!C:F)</f>
        <v>8.1</v>
      </c>
      <c r="H1346">
        <v>44.4</v>
      </c>
      <c r="I1346">
        <v>6.8</v>
      </c>
      <c r="J1346">
        <v>8.5</v>
      </c>
    </row>
    <row r="1347" spans="1:10" x14ac:dyDescent="0.3">
      <c r="A1347" t="str" cm="1">
        <f t="array" ref="A1347">IF(ROW()&lt;=COUNTA(Sheet1!A:A), INDEX(Sheet1!A:A, ROW()),
INDEX(Sheet4!A:A, ROW()-COUNTA(Sheet1!A:A)))</f>
        <v>Al33.395Cr19.124Fe25.028Co9.8316Ni12.623</v>
      </c>
      <c r="B1347" s="10">
        <f>_xlfn.XLOOKUP(A1347, Sheet4!A:A, Sheet4!C:C)</f>
        <v>0</v>
      </c>
      <c r="C1347" s="10">
        <v>-1</v>
      </c>
      <c r="D1347" s="10">
        <f>_xlfn.XLOOKUP(A1347, Sheet2!A:A, Sheet2!B:B)</f>
        <v>6.2986000000000004</v>
      </c>
      <c r="E1347" s="10">
        <f>_xlfn.XLOOKUP(A1347, Sheet1!A:A, Sheet1!G:G)</f>
        <v>-1</v>
      </c>
      <c r="F1347" s="10">
        <f t="shared" ref="F1347:F1410" si="21">IF(OR(C1347=1, E1347=1), 1,
   IF(OR(C1347=0, E1347=0), 0,
      -1))</f>
        <v>-1</v>
      </c>
      <c r="G1347" cm="1">
        <f t="array" ref="G1347:J1347">_xlfn.XLOOKUP(A1347, Sheet1!A:A, Sheet1!C:F)</f>
        <v>6.6658999999999997</v>
      </c>
      <c r="H1347">
        <v>44.460999999999999</v>
      </c>
      <c r="I1347">
        <v>9.6898999999999997</v>
      </c>
      <c r="J1347">
        <v>6.9016999999999999</v>
      </c>
    </row>
    <row r="1348" spans="1:10" x14ac:dyDescent="0.3">
      <c r="A1348" t="str" cm="1">
        <f t="array" ref="A1348">IF(ROW()&lt;=COUNTA(Sheet1!A:A), INDEX(Sheet1!A:A, ROW()),
INDEX(Sheet4!A:A, ROW()-COUNTA(Sheet1!A:A)))</f>
        <v>Al33.4Cr14.4Fe18.8Co14.5Ni18.9</v>
      </c>
      <c r="B1348" s="10">
        <f>_xlfn.XLOOKUP(A1348, Sheet4!A:A, Sheet4!C:C)</f>
        <v>0</v>
      </c>
      <c r="C1348" s="10">
        <v>-1</v>
      </c>
      <c r="D1348" s="10">
        <f>_xlfn.XLOOKUP(A1348, Sheet2!A:A, Sheet2!B:B)</f>
        <v>6.5650000000000004</v>
      </c>
      <c r="E1348" s="10">
        <f>_xlfn.XLOOKUP(A1348, Sheet1!A:A, Sheet1!G:G)</f>
        <v>-1</v>
      </c>
      <c r="F1348" s="10">
        <f t="shared" si="21"/>
        <v>-1</v>
      </c>
      <c r="G1348" cm="1">
        <f t="array" ref="G1348:J1348">_xlfn.XLOOKUP(A1348, Sheet1!A:A, Sheet1!C:F)</f>
        <v>6.8</v>
      </c>
      <c r="H1348">
        <v>45.5</v>
      </c>
      <c r="I1348">
        <v>8.3000000000000007</v>
      </c>
      <c r="J1348">
        <v>6.9</v>
      </c>
    </row>
    <row r="1349" spans="1:10" x14ac:dyDescent="0.3">
      <c r="A1349" t="str" cm="1">
        <f t="array" ref="A1349">IF(ROW()&lt;=COUNTA(Sheet1!A:A), INDEX(Sheet1!A:A, ROW()),
INDEX(Sheet4!A:A, ROW()-COUNTA(Sheet1!A:A)))</f>
        <v>Al33.4Cr19.1Fe25Co9.8Ni12.6</v>
      </c>
      <c r="B1349" s="10">
        <f>_xlfn.XLOOKUP(A1349, Sheet4!A:A, Sheet4!C:C)</f>
        <v>0</v>
      </c>
      <c r="C1349" s="10">
        <v>-1</v>
      </c>
      <c r="D1349" s="10">
        <f>_xlfn.XLOOKUP(A1349, Sheet2!A:A, Sheet2!B:B)</f>
        <v>6.2962999999999996</v>
      </c>
      <c r="E1349" s="10">
        <f>_xlfn.XLOOKUP(A1349, Sheet1!A:A, Sheet1!G:G)</f>
        <v>-1</v>
      </c>
      <c r="F1349" s="10">
        <f t="shared" si="21"/>
        <v>-1</v>
      </c>
      <c r="G1349" cm="1">
        <f t="array" ref="G1349:J1349">_xlfn.XLOOKUP(A1349, Sheet1!A:A, Sheet1!C:F)</f>
        <v>6.8334000000000001</v>
      </c>
      <c r="H1349">
        <v>45.521000000000001</v>
      </c>
      <c r="I1349">
        <v>8.2513000000000005</v>
      </c>
      <c r="J1349">
        <v>6.9485999999999999</v>
      </c>
    </row>
    <row r="1350" spans="1:10" x14ac:dyDescent="0.3">
      <c r="A1350" t="str" cm="1">
        <f t="array" ref="A1350">IF(ROW()&lt;=COUNTA(Sheet1!A:A), INDEX(Sheet1!A:A, ROW()),
INDEX(Sheet4!A:A, ROW()-COUNTA(Sheet1!A:A)))</f>
        <v>Al33.438Cr14.417Fe18.759Co14.536Ni18.85</v>
      </c>
      <c r="B1350" s="10">
        <f>_xlfn.XLOOKUP(A1350, Sheet4!A:A, Sheet4!C:C)</f>
        <v>0</v>
      </c>
      <c r="C1350" s="10">
        <v>-1</v>
      </c>
      <c r="D1350" s="10">
        <f>_xlfn.XLOOKUP(A1350, Sheet2!A:A, Sheet2!B:B)</f>
        <v>6.5621</v>
      </c>
      <c r="E1350" s="10">
        <f>_xlfn.XLOOKUP(A1350, Sheet1!A:A, Sheet1!G:G)</f>
        <v>-1</v>
      </c>
      <c r="F1350" s="10">
        <f t="shared" si="21"/>
        <v>-1</v>
      </c>
      <c r="G1350" cm="1">
        <f t="array" ref="G1350:J1350">_xlfn.XLOOKUP(A1350, Sheet1!A:A, Sheet1!C:F)</f>
        <v>13.6</v>
      </c>
      <c r="H1350">
        <v>15.6</v>
      </c>
      <c r="I1350">
        <v>20.7</v>
      </c>
      <c r="J1350">
        <v>17.5</v>
      </c>
    </row>
    <row r="1351" spans="1:10" x14ac:dyDescent="0.3">
      <c r="A1351" t="str" cm="1">
        <f t="array" ref="A1351">IF(ROW()&lt;=COUNTA(Sheet1!A:A), INDEX(Sheet1!A:A, ROW()),
INDEX(Sheet4!A:A, ROW()-COUNTA(Sheet1!A:A)))</f>
        <v>Al34Cr12Fe15.5Co16.9Ni21.6</v>
      </c>
      <c r="B1351" s="10">
        <f>_xlfn.XLOOKUP(A1351, Sheet4!A:A, Sheet4!C:C)</f>
        <v>0</v>
      </c>
      <c r="C1351" s="10">
        <v>-1</v>
      </c>
      <c r="D1351" s="10">
        <f>_xlfn.XLOOKUP(A1351, Sheet2!A:A, Sheet2!B:B)</f>
        <v>6.6609999999999996</v>
      </c>
      <c r="E1351" s="10">
        <f>_xlfn.XLOOKUP(A1351, Sheet1!A:A, Sheet1!G:G)</f>
        <v>-1</v>
      </c>
      <c r="F1351" s="10">
        <f t="shared" si="21"/>
        <v>-1</v>
      </c>
      <c r="G1351" cm="1">
        <f t="array" ref="G1351:J1351">_xlfn.XLOOKUP(A1351, Sheet1!A:A, Sheet1!C:F)</f>
        <v>13.561</v>
      </c>
      <c r="H1351">
        <v>15.59</v>
      </c>
      <c r="I1351">
        <v>20.675000000000001</v>
      </c>
      <c r="J1351">
        <v>17.498000000000001</v>
      </c>
    </row>
    <row r="1352" spans="1:10" x14ac:dyDescent="0.3">
      <c r="A1352" t="str" cm="1">
        <f t="array" ref="A1352">IF(ROW()&lt;=COUNTA(Sheet1!A:A), INDEX(Sheet1!A:A, ROW()),
INDEX(Sheet4!A:A, ROW()-COUNTA(Sheet1!A:A)))</f>
        <v>Al34.002Cr12.016Fe15.523Co16.898Ni21.562</v>
      </c>
      <c r="B1352" s="10">
        <f>_xlfn.XLOOKUP(A1352, Sheet4!A:A, Sheet4!C:C)</f>
        <v>0</v>
      </c>
      <c r="C1352" s="10">
        <v>-1</v>
      </c>
      <c r="D1352" s="10">
        <f>_xlfn.XLOOKUP(A1352, Sheet2!A:A, Sheet2!B:B)</f>
        <v>6.6597999999999997</v>
      </c>
      <c r="E1352" s="10">
        <f>_xlfn.XLOOKUP(A1352, Sheet1!A:A, Sheet1!G:G)</f>
        <v>-1</v>
      </c>
      <c r="F1352" s="10">
        <f t="shared" si="21"/>
        <v>-1</v>
      </c>
      <c r="G1352" cm="1">
        <f t="array" ref="G1352:J1352">_xlfn.XLOOKUP(A1352, Sheet1!A:A, Sheet1!C:F)</f>
        <v>7</v>
      </c>
      <c r="H1352">
        <v>21.8</v>
      </c>
      <c r="I1352">
        <v>29.2</v>
      </c>
      <c r="J1352">
        <v>9</v>
      </c>
    </row>
    <row r="1353" spans="1:10" x14ac:dyDescent="0.3">
      <c r="A1353" t="str" cm="1">
        <f t="array" ref="A1353">IF(ROW()&lt;=COUNTA(Sheet1!A:A), INDEX(Sheet1!A:A, ROW()),
INDEX(Sheet4!A:A, ROW()-COUNTA(Sheet1!A:A)))</f>
        <v>Al2.08CoCrFeNi</v>
      </c>
      <c r="B1353" s="10" t="str">
        <f>_xlfn.XLOOKUP(A1353, Sheet4!A:A, Sheet4!C:C)</f>
        <v>BCC</v>
      </c>
      <c r="C1353" s="10">
        <v>0</v>
      </c>
      <c r="D1353" s="10">
        <f>_xlfn.XLOOKUP(A1353, Sheet2!A:A, Sheet2!B:B)</f>
        <v>6.4539</v>
      </c>
      <c r="E1353" s="10">
        <f>_xlfn.XLOOKUP(A1353, Sheet1!A:A, Sheet1!G:G)</f>
        <v>-1</v>
      </c>
      <c r="F1353" s="10">
        <f t="shared" si="21"/>
        <v>0</v>
      </c>
      <c r="G1353" cm="1">
        <f t="array" ref="G1353:J1353">_xlfn.XLOOKUP(A1353, Sheet1!A:A, Sheet1!C:F)</f>
        <v>7.0153999999999996</v>
      </c>
      <c r="H1353">
        <v>21.844000000000001</v>
      </c>
      <c r="I1353">
        <v>29.206</v>
      </c>
      <c r="J1353">
        <v>9.0006000000000004</v>
      </c>
    </row>
    <row r="1354" spans="1:10" x14ac:dyDescent="0.3">
      <c r="A1354" t="str" cm="1">
        <f t="array" ref="A1354">IF(ROW()&lt;=COUNTA(Sheet1!A:A), INDEX(Sheet1!A:A, ROW()),
INDEX(Sheet4!A:A, ROW()-COUNTA(Sheet1!A:A)))</f>
        <v>Al2.1CoCrFeNi</v>
      </c>
      <c r="B1354" s="10">
        <f>_xlfn.XLOOKUP(A1354, Sheet4!A:A, Sheet4!C:C)</f>
        <v>0</v>
      </c>
      <c r="C1354" s="10">
        <v>-1</v>
      </c>
      <c r="D1354" s="10">
        <f>_xlfn.XLOOKUP(A1354, Sheet2!A:A, Sheet2!B:B)</f>
        <v>6.4425999999999997</v>
      </c>
      <c r="E1354" s="10">
        <f>_xlfn.XLOOKUP(A1354, Sheet1!A:A, Sheet1!G:G)</f>
        <v>-1</v>
      </c>
      <c r="F1354" s="10">
        <f t="shared" si="21"/>
        <v>-1</v>
      </c>
      <c r="G1354" cm="1">
        <f t="array" ref="G1354:J1354">_xlfn.XLOOKUP(A1354, Sheet1!A:A, Sheet1!C:F)</f>
        <v>16.7</v>
      </c>
      <c r="H1354">
        <v>16.7</v>
      </c>
      <c r="I1354">
        <v>16.7</v>
      </c>
      <c r="J1354">
        <v>16.7</v>
      </c>
    </row>
    <row r="1355" spans="1:10" x14ac:dyDescent="0.3">
      <c r="A1355" t="str" cm="1">
        <f t="array" ref="A1355">IF(ROW()&lt;=COUNTA(Sheet1!A:A), INDEX(Sheet1!A:A, ROW()),
INDEX(Sheet4!A:A, ROW()-COUNTA(Sheet1!A:A)))</f>
        <v>Al34.6Cr13Fe17.1Co15.7Ni19.7</v>
      </c>
      <c r="B1355" s="10">
        <f>_xlfn.XLOOKUP(A1355, Sheet4!A:A, Sheet4!C:C)</f>
        <v>0</v>
      </c>
      <c r="C1355" s="10">
        <v>-1</v>
      </c>
      <c r="D1355" s="10">
        <f>_xlfn.XLOOKUP(A1355, Sheet2!A:A, Sheet2!B:B)</f>
        <v>6.5624000000000002</v>
      </c>
      <c r="E1355" s="10">
        <f>_xlfn.XLOOKUP(A1355, Sheet1!A:A, Sheet1!G:G)</f>
        <v>-1</v>
      </c>
      <c r="F1355" s="10">
        <f t="shared" si="21"/>
        <v>-1</v>
      </c>
      <c r="G1355" cm="1">
        <f t="array" ref="G1355:J1355">_xlfn.XLOOKUP(A1355, Sheet1!A:A, Sheet1!C:F)</f>
        <v>16.7</v>
      </c>
      <c r="H1355">
        <v>16.7</v>
      </c>
      <c r="I1355">
        <v>16.7</v>
      </c>
      <c r="J1355">
        <v>16.7</v>
      </c>
    </row>
    <row r="1356" spans="1:10" x14ac:dyDescent="0.3">
      <c r="A1356" t="str" cm="1">
        <f t="array" ref="A1356">IF(ROW()&lt;=COUNTA(Sheet1!A:A), INDEX(Sheet1!A:A, ROW()),
INDEX(Sheet4!A:A, ROW()-COUNTA(Sheet1!A:A)))</f>
        <v>Al34.571Cr12.968Fe17.11Co15.662Ni19.689</v>
      </c>
      <c r="B1356" s="10">
        <f>_xlfn.XLOOKUP(A1356, Sheet4!A:A, Sheet4!C:C)</f>
        <v>0</v>
      </c>
      <c r="C1356" s="10">
        <v>-1</v>
      </c>
      <c r="D1356" s="10">
        <f>_xlfn.XLOOKUP(A1356, Sheet2!A:A, Sheet2!B:B)</f>
        <v>6.5625</v>
      </c>
      <c r="E1356" s="10">
        <f>_xlfn.XLOOKUP(A1356, Sheet1!A:A, Sheet1!G:G)</f>
        <v>-1</v>
      </c>
      <c r="F1356" s="10">
        <f t="shared" si="21"/>
        <v>-1</v>
      </c>
      <c r="G1356" cm="1">
        <f t="array" ref="G1356:J1356">_xlfn.XLOOKUP(A1356, Sheet1!A:A, Sheet1!C:F)</f>
        <v>16.666666670000001</v>
      </c>
      <c r="H1356">
        <v>16.666666670000001</v>
      </c>
      <c r="I1356">
        <v>16.666666670000001</v>
      </c>
      <c r="J1356">
        <v>16.666666670000001</v>
      </c>
    </row>
    <row r="1357" spans="1:10" x14ac:dyDescent="0.3">
      <c r="A1357" t="str" cm="1">
        <f t="array" ref="A1357">IF(ROW()&lt;=COUNTA(Sheet1!A:A), INDEX(Sheet1!A:A, ROW()),
INDEX(Sheet4!A:A, ROW()-COUNTA(Sheet1!A:A)))</f>
        <v>Al34.6Cr17.6Fe23.3Co10.6Ni13.9</v>
      </c>
      <c r="B1357" s="10">
        <f>_xlfn.XLOOKUP(A1357, Sheet4!A:A, Sheet4!C:C)</f>
        <v>0</v>
      </c>
      <c r="C1357" s="10">
        <v>-1</v>
      </c>
      <c r="D1357" s="10">
        <f>_xlfn.XLOOKUP(A1357, Sheet2!A:A, Sheet2!B:B)</f>
        <v>6.3019999999999996</v>
      </c>
      <c r="E1357" s="10">
        <f>_xlfn.XLOOKUP(A1357, Sheet1!A:A, Sheet1!G:G)</f>
        <v>-1</v>
      </c>
      <c r="F1357" s="10">
        <f t="shared" si="21"/>
        <v>-1</v>
      </c>
      <c r="G1357" cm="1">
        <f t="array" ref="G1357:J1357">_xlfn.XLOOKUP(A1357, Sheet1!A:A, Sheet1!C:F)</f>
        <v>9.8315999999999999</v>
      </c>
      <c r="H1357">
        <v>19.123999999999999</v>
      </c>
      <c r="I1357">
        <v>25.027999999999999</v>
      </c>
      <c r="J1357">
        <v>12.622999999999999</v>
      </c>
    </row>
    <row r="1358" spans="1:10" x14ac:dyDescent="0.3">
      <c r="A1358" t="str" cm="1">
        <f t="array" ref="A1358">IF(ROW()&lt;=COUNTA(Sheet1!A:A), INDEX(Sheet1!A:A, ROW()),
INDEX(Sheet4!A:A, ROW()-COUNTA(Sheet1!A:A)))</f>
        <v>Al34.64Cr17.618Fe23.272Co10.597Ni13.874</v>
      </c>
      <c r="B1358" s="10">
        <f>_xlfn.XLOOKUP(A1358, Sheet4!A:A, Sheet4!C:C)</f>
        <v>0</v>
      </c>
      <c r="C1358" s="10">
        <v>-1</v>
      </c>
      <c r="D1358" s="10">
        <f>_xlfn.XLOOKUP(A1358, Sheet2!A:A, Sheet2!B:B)</f>
        <v>6.2991000000000001</v>
      </c>
      <c r="E1358" s="10">
        <f>_xlfn.XLOOKUP(A1358, Sheet1!A:A, Sheet1!G:G)</f>
        <v>-1</v>
      </c>
      <c r="F1358" s="10">
        <f t="shared" si="21"/>
        <v>-1</v>
      </c>
      <c r="G1358" cm="1">
        <f t="array" ref="G1358:J1358">_xlfn.XLOOKUP(A1358, Sheet1!A:A, Sheet1!C:F)</f>
        <v>14.5</v>
      </c>
      <c r="H1358">
        <v>14.4</v>
      </c>
      <c r="I1358">
        <v>18.8</v>
      </c>
      <c r="J1358">
        <v>18.899999999999999</v>
      </c>
    </row>
    <row r="1359" spans="1:10" x14ac:dyDescent="0.3">
      <c r="A1359" t="str" cm="1">
        <f t="array" ref="A1359">IF(ROW()&lt;=COUNTA(Sheet1!A:A), INDEX(Sheet1!A:A, ROW()),
INDEX(Sheet4!A:A, ROW()-COUNTA(Sheet1!A:A)))</f>
        <v>Al34.7Cr20.8Fe27.2Co7.6Ni9.8</v>
      </c>
      <c r="B1359" s="10">
        <f>_xlfn.XLOOKUP(A1359, Sheet4!A:A, Sheet4!C:C)</f>
        <v>0</v>
      </c>
      <c r="C1359" s="10">
        <v>-1</v>
      </c>
      <c r="D1359" s="10">
        <f>_xlfn.XLOOKUP(A1359, Sheet2!A:A, Sheet2!B:B)</f>
        <v>6.1228999999999996</v>
      </c>
      <c r="E1359" s="10">
        <f>_xlfn.XLOOKUP(A1359, Sheet1!A:A, Sheet1!G:G)</f>
        <v>-1</v>
      </c>
      <c r="F1359" s="10">
        <f t="shared" si="21"/>
        <v>-1</v>
      </c>
      <c r="G1359" cm="1">
        <f t="array" ref="G1359:J1359">_xlfn.XLOOKUP(A1359, Sheet1!A:A, Sheet1!C:F)</f>
        <v>9.8000000000000007</v>
      </c>
      <c r="H1359">
        <v>19.100000000000001</v>
      </c>
      <c r="I1359">
        <v>25</v>
      </c>
      <c r="J1359">
        <v>12.6</v>
      </c>
    </row>
    <row r="1360" spans="1:10" x14ac:dyDescent="0.3">
      <c r="A1360" t="str" cm="1">
        <f t="array" ref="A1360">IF(ROW()&lt;=COUNTA(Sheet1!A:A), INDEX(Sheet1!A:A, ROW()),
INDEX(Sheet4!A:A, ROW()-COUNTA(Sheet1!A:A)))</f>
        <v>Al34.677Cr20.781Fe27.178Co7.5601Ni9.8042</v>
      </c>
      <c r="B1360" s="10">
        <f>_xlfn.XLOOKUP(A1360, Sheet4!A:A, Sheet4!C:C)</f>
        <v>0</v>
      </c>
      <c r="C1360" s="10">
        <v>-1</v>
      </c>
      <c r="D1360" s="10">
        <f>_xlfn.XLOOKUP(A1360, Sheet2!A:A, Sheet2!B:B)</f>
        <v>6.1222000000000003</v>
      </c>
      <c r="E1360" s="10">
        <f>_xlfn.XLOOKUP(A1360, Sheet1!A:A, Sheet1!G:G)</f>
        <v>-1</v>
      </c>
      <c r="F1360" s="10">
        <f t="shared" si="21"/>
        <v>-1</v>
      </c>
      <c r="G1360" cm="1">
        <f t="array" ref="G1360:J1360">_xlfn.XLOOKUP(A1360, Sheet1!A:A, Sheet1!C:F)</f>
        <v>14.536</v>
      </c>
      <c r="H1360">
        <v>14.417</v>
      </c>
      <c r="I1360">
        <v>18.759</v>
      </c>
      <c r="J1360">
        <v>18.850000000000001</v>
      </c>
    </row>
    <row r="1361" spans="1:10" x14ac:dyDescent="0.3">
      <c r="A1361" t="str" cm="1">
        <f t="array" ref="A1361">IF(ROW()&lt;=COUNTA(Sheet1!A:A), INDEX(Sheet1!A:A, ROW()),
INDEX(Sheet4!A:A, ROW()-COUNTA(Sheet1!A:A)))</f>
        <v>Al35.2Cr22Fe29.2Co6Ni7.7</v>
      </c>
      <c r="B1361" s="10">
        <f>_xlfn.XLOOKUP(A1361, Sheet4!A:A, Sheet4!C:C)</f>
        <v>0</v>
      </c>
      <c r="C1361" s="10">
        <v>-1</v>
      </c>
      <c r="D1361" s="10">
        <f>_xlfn.XLOOKUP(A1361, Sheet2!A:A, Sheet2!B:B)</f>
        <v>6.016</v>
      </c>
      <c r="E1361" s="10">
        <f>_xlfn.XLOOKUP(A1361, Sheet1!A:A, Sheet1!G:G)</f>
        <v>-1</v>
      </c>
      <c r="F1361" s="10">
        <f t="shared" si="21"/>
        <v>-1</v>
      </c>
      <c r="G1361" cm="1">
        <f t="array" ref="G1361:J1361">_xlfn.XLOOKUP(A1361, Sheet1!A:A, Sheet1!C:F)</f>
        <v>16.899999999999999</v>
      </c>
      <c r="H1361">
        <v>12</v>
      </c>
      <c r="I1361">
        <v>15.5</v>
      </c>
      <c r="J1361">
        <v>21.6</v>
      </c>
    </row>
    <row r="1362" spans="1:10" x14ac:dyDescent="0.3">
      <c r="A1362" t="str" cm="1">
        <f t="array" ref="A1362">IF(ROW()&lt;=COUNTA(Sheet1!A:A), INDEX(Sheet1!A:A, ROW()),
INDEX(Sheet4!A:A, ROW()-COUNTA(Sheet1!A:A)))</f>
        <v>Al35.202Cr21.959Fe29.154Co5.9951Ni7.6893</v>
      </c>
      <c r="B1362" s="10">
        <f>_xlfn.XLOOKUP(A1362, Sheet4!A:A, Sheet4!C:C)</f>
        <v>0</v>
      </c>
      <c r="C1362" s="10">
        <v>-1</v>
      </c>
      <c r="D1362" s="10">
        <f>_xlfn.XLOOKUP(A1362, Sheet2!A:A, Sheet2!B:B)</f>
        <v>6.0144000000000002</v>
      </c>
      <c r="E1362" s="10">
        <f>_xlfn.XLOOKUP(A1362, Sheet1!A:A, Sheet1!G:G)</f>
        <v>-1</v>
      </c>
      <c r="F1362" s="10">
        <f t="shared" si="21"/>
        <v>-1</v>
      </c>
      <c r="G1362" cm="1">
        <f t="array" ref="G1362:J1362">_xlfn.XLOOKUP(A1362, Sheet1!A:A, Sheet1!C:F)</f>
        <v>16.898</v>
      </c>
      <c r="H1362">
        <v>12.016</v>
      </c>
      <c r="I1362">
        <v>15.523</v>
      </c>
      <c r="J1362">
        <v>21.562000000000001</v>
      </c>
    </row>
    <row r="1363" spans="1:10" x14ac:dyDescent="0.3">
      <c r="A1363" t="str" cm="1">
        <f t="array" ref="A1363">IF(ROW()&lt;=COUNTA(Sheet1!A:A), INDEX(Sheet1!A:A, ROW()),
INDEX(Sheet4!A:A, ROW()-COUNTA(Sheet1!A:A)))</f>
        <v>Al2.2CoCrFeNi</v>
      </c>
      <c r="B1363" s="10">
        <f>_xlfn.XLOOKUP(A1363, Sheet4!A:A, Sheet4!C:C)</f>
        <v>0</v>
      </c>
      <c r="C1363" s="10">
        <v>-1</v>
      </c>
      <c r="D1363" s="10">
        <f>_xlfn.XLOOKUP(A1363, Sheet2!A:A, Sheet2!B:B)</f>
        <v>6.3871000000000002</v>
      </c>
      <c r="E1363" s="10">
        <f>_xlfn.XLOOKUP(A1363, Sheet1!A:A, Sheet1!G:G)</f>
        <v>-1</v>
      </c>
      <c r="F1363" s="10">
        <f t="shared" si="21"/>
        <v>-1</v>
      </c>
      <c r="G1363" cm="1">
        <f t="array" ref="G1363:J1363">_xlfn.XLOOKUP(A1363, Sheet1!A:A, Sheet1!C:F)</f>
        <v>16.44736842</v>
      </c>
      <c r="H1363">
        <v>16.44736842</v>
      </c>
      <c r="I1363">
        <v>16.44736842</v>
      </c>
      <c r="J1363">
        <v>16.44736842</v>
      </c>
    </row>
    <row r="1364" spans="1:10" x14ac:dyDescent="0.3">
      <c r="A1364" t="str" cm="1">
        <f t="array" ref="A1364">IF(ROW()&lt;=COUNTA(Sheet1!A:A), INDEX(Sheet1!A:A, ROW()),
INDEX(Sheet4!A:A, ROW()-COUNTA(Sheet1!A:A)))</f>
        <v>Al35.554Cr16.308Fe21.464Co11.7Ni14.974</v>
      </c>
      <c r="B1364" s="10">
        <f>_xlfn.XLOOKUP(A1364, Sheet4!A:A, Sheet4!C:C)</f>
        <v>0</v>
      </c>
      <c r="C1364" s="10">
        <v>-1</v>
      </c>
      <c r="D1364" s="10">
        <f>_xlfn.XLOOKUP(A1364, Sheet2!A:A, Sheet2!B:B)</f>
        <v>6.3125999999999998</v>
      </c>
      <c r="E1364" s="10">
        <f>_xlfn.XLOOKUP(A1364, Sheet1!A:A, Sheet1!G:G)</f>
        <v>-1</v>
      </c>
      <c r="F1364" s="10">
        <f t="shared" si="21"/>
        <v>-1</v>
      </c>
      <c r="G1364" cm="1">
        <f t="array" ref="G1364:J1364">_xlfn.XLOOKUP(A1364, Sheet1!A:A, Sheet1!C:F)</f>
        <v>16.393442619999998</v>
      </c>
      <c r="H1364">
        <v>16.393442619999998</v>
      </c>
      <c r="I1364">
        <v>16.393442619999998</v>
      </c>
      <c r="J1364">
        <v>16.393442619999998</v>
      </c>
    </row>
    <row r="1365" spans="1:10" x14ac:dyDescent="0.3">
      <c r="A1365" t="str" cm="1">
        <f t="array" ref="A1365">IF(ROW()&lt;=COUNTA(Sheet1!A:A), INDEX(Sheet1!A:A, ROW()),
INDEX(Sheet4!A:A, ROW()-COUNTA(Sheet1!A:A)))</f>
        <v>Al35.6Cr16.3Fe21.5Co11.7Ni15</v>
      </c>
      <c r="B1365" s="10">
        <f>_xlfn.XLOOKUP(A1365, Sheet4!A:A, Sheet4!C:C)</f>
        <v>0</v>
      </c>
      <c r="C1365" s="10">
        <v>-1</v>
      </c>
      <c r="D1365" s="10">
        <f>_xlfn.XLOOKUP(A1365, Sheet2!A:A, Sheet2!B:B)</f>
        <v>6.3127000000000004</v>
      </c>
      <c r="E1365" s="10">
        <f>_xlfn.XLOOKUP(A1365, Sheet1!A:A, Sheet1!G:G)</f>
        <v>-1</v>
      </c>
      <c r="F1365" s="10">
        <f t="shared" si="21"/>
        <v>-1</v>
      </c>
      <c r="G1365" cm="1">
        <f t="array" ref="G1365:J1365">_xlfn.XLOOKUP(A1365, Sheet1!A:A, Sheet1!C:F)</f>
        <v>15.7</v>
      </c>
      <c r="H1365">
        <v>13</v>
      </c>
      <c r="I1365">
        <v>17.100000000000001</v>
      </c>
      <c r="J1365">
        <v>19.7</v>
      </c>
    </row>
    <row r="1366" spans="1:10" x14ac:dyDescent="0.3">
      <c r="A1366" t="str" cm="1">
        <f t="array" ref="A1366">IF(ROW()&lt;=COUNTA(Sheet1!A:A), INDEX(Sheet1!A:A, ROW()),
INDEX(Sheet4!A:A, ROW()-COUNTA(Sheet1!A:A)))</f>
        <v>Al36.3Cr15Fe19.7Co12.6Ni16.4</v>
      </c>
      <c r="B1366" s="10">
        <f>_xlfn.XLOOKUP(A1366, Sheet4!A:A, Sheet4!C:C)</f>
        <v>0</v>
      </c>
      <c r="C1366" s="10">
        <v>-1</v>
      </c>
      <c r="D1366" s="10">
        <f>_xlfn.XLOOKUP(A1366, Sheet2!A:A, Sheet2!B:B)</f>
        <v>6.3390000000000004</v>
      </c>
      <c r="E1366" s="10">
        <f>_xlfn.XLOOKUP(A1366, Sheet1!A:A, Sheet1!G:G)</f>
        <v>-1</v>
      </c>
      <c r="F1366" s="10">
        <f t="shared" si="21"/>
        <v>-1</v>
      </c>
      <c r="G1366" cm="1">
        <f t="array" ref="G1366:J1366">_xlfn.XLOOKUP(A1366, Sheet1!A:A, Sheet1!C:F)</f>
        <v>15.662000000000001</v>
      </c>
      <c r="H1366">
        <v>12.968</v>
      </c>
      <c r="I1366">
        <v>17.11</v>
      </c>
      <c r="J1366">
        <v>19.689</v>
      </c>
    </row>
    <row r="1367" spans="1:10" x14ac:dyDescent="0.3">
      <c r="A1367" t="str" cm="1">
        <f t="array" ref="A1367">IF(ROW()&lt;=COUNTA(Sheet1!A:A), INDEX(Sheet1!A:A, ROW()),
INDEX(Sheet4!A:A, ROW()-COUNTA(Sheet1!A:A)))</f>
        <v>Al36.335Cr15.001Fe19.681Co12.591Ni16.392</v>
      </c>
      <c r="B1367" s="10">
        <f>_xlfn.XLOOKUP(A1367, Sheet4!A:A, Sheet4!C:C)</f>
        <v>0</v>
      </c>
      <c r="C1367" s="10">
        <v>-1</v>
      </c>
      <c r="D1367" s="10">
        <f>_xlfn.XLOOKUP(A1367, Sheet2!A:A, Sheet2!B:B)</f>
        <v>6.3369999999999997</v>
      </c>
      <c r="E1367" s="10">
        <f>_xlfn.XLOOKUP(A1367, Sheet1!A:A, Sheet1!G:G)</f>
        <v>-1</v>
      </c>
      <c r="F1367" s="10">
        <f t="shared" si="21"/>
        <v>-1</v>
      </c>
      <c r="G1367" cm="1">
        <f t="array" ref="G1367:J1367">_xlfn.XLOOKUP(A1367, Sheet1!A:A, Sheet1!C:F)</f>
        <v>10.6</v>
      </c>
      <c r="H1367">
        <v>17.600000000000001</v>
      </c>
      <c r="I1367">
        <v>23.3</v>
      </c>
      <c r="J1367">
        <v>13.9</v>
      </c>
    </row>
    <row r="1368" spans="1:10" x14ac:dyDescent="0.3">
      <c r="A1368" t="str" cm="1">
        <f t="array" ref="A1368">IF(ROW()&lt;=COUNTA(Sheet1!A:A), INDEX(Sheet1!A:A, ROW()),
INDEX(Sheet4!A:A, ROW()-COUNTA(Sheet1!A:A)))</f>
        <v>Al36.5Cr18.9Fe25.6Co8.3Ni10.7</v>
      </c>
      <c r="B1368" s="10">
        <f>_xlfn.XLOOKUP(A1368, Sheet4!A:A, Sheet4!C:C)</f>
        <v>0</v>
      </c>
      <c r="C1368" s="10">
        <v>-1</v>
      </c>
      <c r="D1368" s="10">
        <f>_xlfn.XLOOKUP(A1368, Sheet2!A:A, Sheet2!B:B)</f>
        <v>6.0940000000000003</v>
      </c>
      <c r="E1368" s="10">
        <f>_xlfn.XLOOKUP(A1368, Sheet1!A:A, Sheet1!G:G)</f>
        <v>-1</v>
      </c>
      <c r="F1368" s="10">
        <f t="shared" si="21"/>
        <v>-1</v>
      </c>
      <c r="G1368" cm="1">
        <f t="array" ref="G1368:J1368">_xlfn.XLOOKUP(A1368, Sheet1!A:A, Sheet1!C:F)</f>
        <v>10.597</v>
      </c>
      <c r="H1368">
        <v>17.617999999999999</v>
      </c>
      <c r="I1368">
        <v>23.271999999999998</v>
      </c>
      <c r="J1368">
        <v>13.874000000000001</v>
      </c>
    </row>
    <row r="1369" spans="1:10" x14ac:dyDescent="0.3">
      <c r="A1369" t="str" cm="1">
        <f t="array" ref="A1369">IF(ROW()&lt;=COUNTA(Sheet1!A:A), INDEX(Sheet1!A:A, ROW()),
INDEX(Sheet4!A:A, ROW()-COUNTA(Sheet1!A:A)))</f>
        <v>Al2.3CoCrFeNi</v>
      </c>
      <c r="B1369" s="10">
        <f>_xlfn.XLOOKUP(A1369, Sheet4!A:A, Sheet4!C:C)</f>
        <v>0</v>
      </c>
      <c r="C1369" s="10">
        <v>-1</v>
      </c>
      <c r="D1369" s="10">
        <f>_xlfn.XLOOKUP(A1369, Sheet2!A:A, Sheet2!B:B)</f>
        <v>6.3333000000000004</v>
      </c>
      <c r="E1369" s="10">
        <f>_xlfn.XLOOKUP(A1369, Sheet1!A:A, Sheet1!G:G)</f>
        <v>-1</v>
      </c>
      <c r="F1369" s="10">
        <f t="shared" si="21"/>
        <v>-1</v>
      </c>
      <c r="G1369" cm="1">
        <f t="array" ref="G1369:J1369">_xlfn.XLOOKUP(A1369, Sheet1!A:A, Sheet1!C:F)</f>
        <v>7.6</v>
      </c>
      <c r="H1369">
        <v>20.8</v>
      </c>
      <c r="I1369">
        <v>27.2</v>
      </c>
      <c r="J1369">
        <v>9.8000000000000007</v>
      </c>
    </row>
    <row r="1370" spans="1:10" x14ac:dyDescent="0.3">
      <c r="A1370" t="str" cm="1">
        <f t="array" ref="A1370">IF(ROW()&lt;=COUNTA(Sheet1!A:A), INDEX(Sheet1!A:A, ROW()),
INDEX(Sheet4!A:A, ROW()-COUNTA(Sheet1!A:A)))</f>
        <v>Al36.536Cr18.88Fe25.6Co8.2715Ni10.713</v>
      </c>
      <c r="B1370" s="10">
        <f>_xlfn.XLOOKUP(A1370, Sheet4!A:A, Sheet4!C:C)</f>
        <v>0</v>
      </c>
      <c r="C1370" s="10">
        <v>-1</v>
      </c>
      <c r="D1370" s="10">
        <f>_xlfn.XLOOKUP(A1370, Sheet2!A:A, Sheet2!B:B)</f>
        <v>6.0926</v>
      </c>
      <c r="E1370" s="10">
        <f>_xlfn.XLOOKUP(A1370, Sheet1!A:A, Sheet1!G:G)</f>
        <v>-1</v>
      </c>
      <c r="F1370" s="10">
        <f t="shared" si="21"/>
        <v>-1</v>
      </c>
      <c r="G1370" cm="1">
        <f t="array" ref="G1370:J1370">_xlfn.XLOOKUP(A1370, Sheet1!A:A, Sheet1!C:F)</f>
        <v>7.5601000000000003</v>
      </c>
      <c r="H1370">
        <v>20.780999999999999</v>
      </c>
      <c r="I1370">
        <v>27.178000000000001</v>
      </c>
      <c r="J1370">
        <v>9.8041999999999998</v>
      </c>
    </row>
    <row r="1371" spans="1:10" x14ac:dyDescent="0.3">
      <c r="A1371" t="str" cm="1">
        <f t="array" ref="A1371">IF(ROW()&lt;=COUNTA(Sheet1!A:A), INDEX(Sheet1!A:A, ROW()),
INDEX(Sheet4!A:A, ROW()-COUNTA(Sheet1!A:A)))</f>
        <v>Al2.4CoCrFeNi</v>
      </c>
      <c r="B1371" s="10">
        <f>_xlfn.XLOOKUP(A1371, Sheet4!A:A, Sheet4!C:C)</f>
        <v>0</v>
      </c>
      <c r="C1371" s="10">
        <v>-1</v>
      </c>
      <c r="D1371" s="10">
        <f>_xlfn.XLOOKUP(A1371, Sheet2!A:A, Sheet2!B:B)</f>
        <v>6.2812000000000001</v>
      </c>
      <c r="E1371" s="10">
        <f>_xlfn.XLOOKUP(A1371, Sheet1!A:A, Sheet1!G:G)</f>
        <v>-1</v>
      </c>
      <c r="F1371" s="10">
        <f t="shared" si="21"/>
        <v>-1</v>
      </c>
      <c r="G1371" cm="1">
        <f t="array" ref="G1371:J1371">_xlfn.XLOOKUP(A1371, Sheet1!A:A, Sheet1!C:F)</f>
        <v>6</v>
      </c>
      <c r="H1371">
        <v>22</v>
      </c>
      <c r="I1371">
        <v>29.2</v>
      </c>
      <c r="J1371">
        <v>7.7</v>
      </c>
    </row>
    <row r="1372" spans="1:10" x14ac:dyDescent="0.3">
      <c r="A1372" t="str" cm="1">
        <f t="array" ref="A1372">IF(ROW()&lt;=COUNTA(Sheet1!A:A), INDEX(Sheet1!A:A, ROW()),
INDEX(Sheet4!A:A, ROW()-COUNTA(Sheet1!A:A)))</f>
        <v>Al37.6Cr20.3Fe27.2Co6.5Ni8.4</v>
      </c>
      <c r="B1372" s="10">
        <f>_xlfn.XLOOKUP(A1372, Sheet4!A:A, Sheet4!C:C)</f>
        <v>0</v>
      </c>
      <c r="C1372" s="10">
        <v>-1</v>
      </c>
      <c r="D1372" s="10">
        <f>_xlfn.XLOOKUP(A1372, Sheet2!A:A, Sheet2!B:B)</f>
        <v>5.9470000000000001</v>
      </c>
      <c r="E1372" s="10">
        <f>_xlfn.XLOOKUP(A1372, Sheet1!A:A, Sheet1!G:G)</f>
        <v>-1</v>
      </c>
      <c r="F1372" s="10">
        <f t="shared" si="21"/>
        <v>-1</v>
      </c>
      <c r="G1372" cm="1">
        <f t="array" ref="G1372:J1372">_xlfn.XLOOKUP(A1372, Sheet1!A:A, Sheet1!C:F)</f>
        <v>5.9950999999999999</v>
      </c>
      <c r="H1372">
        <v>21.959</v>
      </c>
      <c r="I1372">
        <v>29.154</v>
      </c>
      <c r="J1372">
        <v>7.6893000000000002</v>
      </c>
    </row>
    <row r="1373" spans="1:10" x14ac:dyDescent="0.3">
      <c r="A1373" t="str" cm="1">
        <f t="array" ref="A1373">IF(ROW()&lt;=COUNTA(Sheet1!A:A), INDEX(Sheet1!A:A, ROW()),
INDEX(Sheet4!A:A, ROW()-COUNTA(Sheet1!A:A)))</f>
        <v>Al37.625Cr20.34Fe27.197Co6.4656Ni8.3725</v>
      </c>
      <c r="B1373" s="10">
        <f>_xlfn.XLOOKUP(A1373, Sheet4!A:A, Sheet4!C:C)</f>
        <v>0</v>
      </c>
      <c r="C1373" s="10">
        <v>-1</v>
      </c>
      <c r="D1373" s="10">
        <f>_xlfn.XLOOKUP(A1373, Sheet2!A:A, Sheet2!B:B)</f>
        <v>5.9440999999999997</v>
      </c>
      <c r="E1373" s="10">
        <f>_xlfn.XLOOKUP(A1373, Sheet1!A:A, Sheet1!G:G)</f>
        <v>-1</v>
      </c>
      <c r="F1373" s="10">
        <f t="shared" si="21"/>
        <v>-1</v>
      </c>
      <c r="G1373" cm="1">
        <f t="array" ref="G1373:J1373">_xlfn.XLOOKUP(A1373, Sheet1!A:A, Sheet1!C:F)</f>
        <v>16.129032259999999</v>
      </c>
      <c r="H1373">
        <v>16.129032259999999</v>
      </c>
      <c r="I1373">
        <v>16.129032259999999</v>
      </c>
      <c r="J1373">
        <v>16.129032259999999</v>
      </c>
    </row>
    <row r="1374" spans="1:10" x14ac:dyDescent="0.3">
      <c r="A1374" t="str" cm="1">
        <f t="array" ref="A1374">IF(ROW()&lt;=COUNTA(Sheet1!A:A), INDEX(Sheet1!A:A, ROW()),
INDEX(Sheet4!A:A, ROW()-COUNTA(Sheet1!A:A)))</f>
        <v>Al37.76Cr13.572Fe17.807Co13.486Ni17.374</v>
      </c>
      <c r="B1374" s="10">
        <f>_xlfn.XLOOKUP(A1374, Sheet4!A:A, Sheet4!C:C)</f>
        <v>0</v>
      </c>
      <c r="C1374" s="10">
        <v>-1</v>
      </c>
      <c r="D1374" s="10">
        <f>_xlfn.XLOOKUP(A1374, Sheet2!A:A, Sheet2!B:B)</f>
        <v>6.3228999999999997</v>
      </c>
      <c r="E1374" s="10">
        <f>_xlfn.XLOOKUP(A1374, Sheet1!A:A, Sheet1!G:G)</f>
        <v>-1</v>
      </c>
      <c r="F1374" s="10">
        <f t="shared" si="21"/>
        <v>-1</v>
      </c>
      <c r="G1374" cm="1">
        <f t="array" ref="G1374:J1374">_xlfn.XLOOKUP(A1374, Sheet1!A:A, Sheet1!C:F)</f>
        <v>11.7</v>
      </c>
      <c r="H1374">
        <v>16.308</v>
      </c>
      <c r="I1374">
        <v>21.463999999999999</v>
      </c>
      <c r="J1374">
        <v>14.974</v>
      </c>
    </row>
    <row r="1375" spans="1:10" x14ac:dyDescent="0.3">
      <c r="A1375" t="str" cm="1">
        <f t="array" ref="A1375">IF(ROW()&lt;=COUNTA(Sheet1!A:A), INDEX(Sheet1!A:A, ROW()),
INDEX(Sheet4!A:A, ROW()-COUNTA(Sheet1!A:A)))</f>
        <v>Al37.8Cr13.6Fe17.8Co13.5Ni17.4</v>
      </c>
      <c r="B1375" s="10">
        <f>_xlfn.XLOOKUP(A1375, Sheet4!A:A, Sheet4!C:C)</f>
        <v>0</v>
      </c>
      <c r="C1375" s="10">
        <v>-1</v>
      </c>
      <c r="D1375" s="10">
        <f>_xlfn.XLOOKUP(A1375, Sheet2!A:A, Sheet2!B:B)</f>
        <v>6.3227000000000002</v>
      </c>
      <c r="E1375" s="10">
        <f>_xlfn.XLOOKUP(A1375, Sheet1!A:A, Sheet1!G:G)</f>
        <v>-1</v>
      </c>
      <c r="F1375" s="10">
        <f t="shared" si="21"/>
        <v>-1</v>
      </c>
      <c r="G1375" cm="1">
        <f t="array" ref="G1375:J1375">_xlfn.XLOOKUP(A1375, Sheet1!A:A, Sheet1!C:F)</f>
        <v>11.7</v>
      </c>
      <c r="H1375">
        <v>16.3</v>
      </c>
      <c r="I1375">
        <v>21.5</v>
      </c>
      <c r="J1375">
        <v>15</v>
      </c>
    </row>
    <row r="1376" spans="1:10" x14ac:dyDescent="0.3">
      <c r="A1376" t="str" cm="1">
        <f t="array" ref="A1376">IF(ROW()&lt;=COUNTA(Sheet1!A:A), INDEX(Sheet1!A:A, ROW()),
INDEX(Sheet4!A:A, ROW()-COUNTA(Sheet1!A:A)))</f>
        <v>Al38.386Cr11.51Fe14.824Co15.499Ni19.781</v>
      </c>
      <c r="B1376" s="10">
        <f>_xlfn.XLOOKUP(A1376, Sheet4!A:A, Sheet4!C:C)</f>
        <v>0</v>
      </c>
      <c r="C1376" s="10">
        <v>-1</v>
      </c>
      <c r="D1376" s="10">
        <f>_xlfn.XLOOKUP(A1376, Sheet2!A:A, Sheet2!B:B)</f>
        <v>6.4010999999999996</v>
      </c>
      <c r="E1376" s="10">
        <f>_xlfn.XLOOKUP(A1376, Sheet1!A:A, Sheet1!G:G)</f>
        <v>-1</v>
      </c>
      <c r="F1376" s="10">
        <f t="shared" si="21"/>
        <v>-1</v>
      </c>
      <c r="G1376" cm="1">
        <f t="array" ref="G1376:J1376">_xlfn.XLOOKUP(A1376, Sheet1!A:A, Sheet1!C:F)</f>
        <v>12.6</v>
      </c>
      <c r="H1376">
        <v>15</v>
      </c>
      <c r="I1376">
        <v>19.7</v>
      </c>
      <c r="J1376">
        <v>16.399999999999999</v>
      </c>
    </row>
    <row r="1377" spans="1:10" x14ac:dyDescent="0.3">
      <c r="A1377" t="str" cm="1">
        <f t="array" ref="A1377">IF(ROW()&lt;=COUNTA(Sheet1!A:A), INDEX(Sheet1!A:A, ROW()),
INDEX(Sheet4!A:A, ROW()-COUNTA(Sheet1!A:A)))</f>
        <v>Al38.4Cr11.5Fe14.8Co15.5Ni19.8</v>
      </c>
      <c r="B1377" s="10">
        <f>_xlfn.XLOOKUP(A1377, Sheet4!A:A, Sheet4!C:C)</f>
        <v>0</v>
      </c>
      <c r="C1377" s="10">
        <v>-1</v>
      </c>
      <c r="D1377" s="10">
        <f>_xlfn.XLOOKUP(A1377, Sheet2!A:A, Sheet2!B:B)</f>
        <v>6.4009999999999998</v>
      </c>
      <c r="E1377" s="10">
        <f>_xlfn.XLOOKUP(A1377, Sheet1!A:A, Sheet1!G:G)</f>
        <v>-1</v>
      </c>
      <c r="F1377" s="10">
        <f t="shared" si="21"/>
        <v>-1</v>
      </c>
      <c r="G1377" cm="1">
        <f t="array" ref="G1377:J1377">_xlfn.XLOOKUP(A1377, Sheet1!A:A, Sheet1!C:F)</f>
        <v>12.590999999999999</v>
      </c>
      <c r="H1377">
        <v>15.000999999999999</v>
      </c>
      <c r="I1377">
        <v>19.681000000000001</v>
      </c>
      <c r="J1377">
        <v>16.391999999999999</v>
      </c>
    </row>
    <row r="1378" spans="1:10" x14ac:dyDescent="0.3">
      <c r="A1378" t="str" cm="1">
        <f t="array" ref="A1378">IF(ROW()&lt;=COUNTA(Sheet1!A:A), INDEX(Sheet1!A:A, ROW()),
INDEX(Sheet4!A:A, ROW()-COUNTA(Sheet1!A:A)))</f>
        <v>Al38.452Cr17.672Fe23.461Co8.9051Ni11.51</v>
      </c>
      <c r="B1378" s="10">
        <f>_xlfn.XLOOKUP(A1378, Sheet4!A:A, Sheet4!C:C)</f>
        <v>0</v>
      </c>
      <c r="C1378" s="10">
        <v>-1</v>
      </c>
      <c r="D1378" s="10">
        <f>_xlfn.XLOOKUP(A1378, Sheet2!A:A, Sheet2!B:B)</f>
        <v>6.0431999999999997</v>
      </c>
      <c r="E1378" s="10">
        <f>_xlfn.XLOOKUP(A1378, Sheet1!A:A, Sheet1!G:G)</f>
        <v>-1</v>
      </c>
      <c r="F1378" s="10">
        <f t="shared" si="21"/>
        <v>-1</v>
      </c>
      <c r="G1378" cm="1">
        <f t="array" ref="G1378:J1378">_xlfn.XLOOKUP(A1378, Sheet1!A:A, Sheet1!C:F)</f>
        <v>8.3000000000000007</v>
      </c>
      <c r="H1378">
        <v>18.899999999999999</v>
      </c>
      <c r="I1378">
        <v>25.6</v>
      </c>
      <c r="J1378">
        <v>10.7</v>
      </c>
    </row>
    <row r="1379" spans="1:10" x14ac:dyDescent="0.3">
      <c r="A1379" t="str" cm="1">
        <f t="array" ref="A1379">IF(ROW()&lt;=COUNTA(Sheet1!A:A), INDEX(Sheet1!A:A, ROW()),
INDEX(Sheet4!A:A, ROW()-COUNTA(Sheet1!A:A)))</f>
        <v>Al38.5Cr17.7Fe23.5Co8.9Ni11.5</v>
      </c>
      <c r="B1379" s="10">
        <f>_xlfn.XLOOKUP(A1379, Sheet4!A:A, Sheet4!C:C)</f>
        <v>0</v>
      </c>
      <c r="C1379" s="10">
        <v>-1</v>
      </c>
      <c r="D1379" s="10">
        <f>_xlfn.XLOOKUP(A1379, Sheet2!A:A, Sheet2!B:B)</f>
        <v>6.0419999999999998</v>
      </c>
      <c r="E1379" s="10">
        <f>_xlfn.XLOOKUP(A1379, Sheet1!A:A, Sheet1!G:G)</f>
        <v>-1</v>
      </c>
      <c r="F1379" s="10">
        <f t="shared" si="21"/>
        <v>-1</v>
      </c>
      <c r="G1379" cm="1">
        <f t="array" ref="G1379:J1379">_xlfn.XLOOKUP(A1379, Sheet1!A:A, Sheet1!C:F)</f>
        <v>15.87301587</v>
      </c>
      <c r="H1379">
        <v>15.87301587</v>
      </c>
      <c r="I1379">
        <v>15.87301587</v>
      </c>
      <c r="J1379">
        <v>15.87301587</v>
      </c>
    </row>
    <row r="1380" spans="1:10" x14ac:dyDescent="0.3">
      <c r="A1380" t="str" cm="1">
        <f t="array" ref="A1380">IF(ROW()&lt;=COUNTA(Sheet1!A:A), INDEX(Sheet1!A:A, ROW()),
INDEX(Sheet4!A:A, ROW()-COUNTA(Sheet1!A:A)))</f>
        <v>Al2.5CoCrFeNi</v>
      </c>
      <c r="B1380" s="10" t="str">
        <f>_xlfn.XLOOKUP(A1380, Sheet4!A:A, Sheet4!C:C)</f>
        <v>BCC</v>
      </c>
      <c r="C1380" s="10">
        <v>0</v>
      </c>
      <c r="D1380" s="10">
        <f>_xlfn.XLOOKUP(A1380, Sheet2!A:A, Sheet2!B:B)</f>
        <v>6.2308000000000003</v>
      </c>
      <c r="E1380" s="10">
        <f>_xlfn.XLOOKUP(A1380, Sheet1!A:A, Sheet1!G:G)</f>
        <v>-1</v>
      </c>
      <c r="F1380" s="10">
        <f t="shared" si="21"/>
        <v>0</v>
      </c>
      <c r="G1380" cm="1">
        <f t="array" ref="G1380:J1380">_xlfn.XLOOKUP(A1380, Sheet1!A:A, Sheet1!C:F)</f>
        <v>8.2714999999999996</v>
      </c>
      <c r="H1380">
        <v>18.88</v>
      </c>
      <c r="I1380">
        <v>25.6</v>
      </c>
      <c r="J1380">
        <v>10.712999999999999</v>
      </c>
    </row>
    <row r="1381" spans="1:10" x14ac:dyDescent="0.3">
      <c r="A1381" t="str" cm="1">
        <f t="array" ref="A1381">IF(ROW()&lt;=COUNTA(Sheet1!A:A), INDEX(Sheet1!A:A, ROW()),
INDEX(Sheet4!A:A, ROW()-COUNTA(Sheet1!A:A)))</f>
        <v>Al2.5CoCrFeNi</v>
      </c>
      <c r="B1381" s="10" t="str">
        <f>_xlfn.XLOOKUP(A1381, Sheet4!A:A, Sheet4!C:C)</f>
        <v>BCC</v>
      </c>
      <c r="C1381" s="10">
        <v>0</v>
      </c>
      <c r="D1381" s="10">
        <f>_xlfn.XLOOKUP(A1381, Sheet2!A:A, Sheet2!B:B)</f>
        <v>6.2308000000000003</v>
      </c>
      <c r="E1381" s="10">
        <f>_xlfn.XLOOKUP(A1381, Sheet1!A:A, Sheet1!G:G)</f>
        <v>-1</v>
      </c>
      <c r="F1381" s="10">
        <f t="shared" si="21"/>
        <v>0</v>
      </c>
      <c r="G1381" cm="1">
        <f t="array" ref="G1381:J1381">_xlfn.XLOOKUP(A1381, Sheet1!A:A, Sheet1!C:F)</f>
        <v>8.2714999999999996</v>
      </c>
      <c r="H1381">
        <v>18.88</v>
      </c>
      <c r="I1381">
        <v>25.6</v>
      </c>
      <c r="J1381">
        <v>10.712999999999999</v>
      </c>
    </row>
    <row r="1382" spans="1:10" x14ac:dyDescent="0.3">
      <c r="A1382" t="str" cm="1">
        <f t="array" ref="A1382">IF(ROW()&lt;=COUNTA(Sheet1!A:A), INDEX(Sheet1!A:A, ROW()),
INDEX(Sheet4!A:A, ROW()-COUNTA(Sheet1!A:A)))</f>
        <v>Al38.8Cr19.3Fe25.5Co7.1Ni9.3</v>
      </c>
      <c r="B1382" s="10">
        <f>_xlfn.XLOOKUP(A1382, Sheet4!A:A, Sheet4!C:C)</f>
        <v>0</v>
      </c>
      <c r="C1382" s="10">
        <v>-1</v>
      </c>
      <c r="D1382" s="10">
        <f>_xlfn.XLOOKUP(A1382, Sheet2!A:A, Sheet2!B:B)</f>
        <v>5.931</v>
      </c>
      <c r="E1382" s="10">
        <f>_xlfn.XLOOKUP(A1382, Sheet1!A:A, Sheet1!G:G)</f>
        <v>-1</v>
      </c>
      <c r="F1382" s="10">
        <f t="shared" si="21"/>
        <v>-1</v>
      </c>
      <c r="G1382" cm="1">
        <f t="array" ref="G1382:J1382">_xlfn.XLOOKUP(A1382, Sheet1!A:A, Sheet1!C:F)</f>
        <v>15.625</v>
      </c>
      <c r="H1382">
        <v>15.625</v>
      </c>
      <c r="I1382">
        <v>15.625</v>
      </c>
      <c r="J1382">
        <v>15.625</v>
      </c>
    </row>
    <row r="1383" spans="1:10" x14ac:dyDescent="0.3">
      <c r="A1383" t="str" cm="1">
        <f t="array" ref="A1383">IF(ROW()&lt;=COUNTA(Sheet1!A:A), INDEX(Sheet1!A:A, ROW()),
INDEX(Sheet4!A:A, ROW()-COUNTA(Sheet1!A:A)))</f>
        <v>Al38.817Cr19.338Fe25.495Co7.0669Ni9.2826</v>
      </c>
      <c r="B1383" s="10">
        <f>_xlfn.XLOOKUP(A1383, Sheet4!A:A, Sheet4!C:C)</f>
        <v>0</v>
      </c>
      <c r="C1383" s="10">
        <v>-1</v>
      </c>
      <c r="D1383" s="10">
        <f>_xlfn.XLOOKUP(A1383, Sheet2!A:A, Sheet2!B:B)</f>
        <v>5.9287000000000001</v>
      </c>
      <c r="E1383" s="10">
        <f>_xlfn.XLOOKUP(A1383, Sheet1!A:A, Sheet1!G:G)</f>
        <v>-1</v>
      </c>
      <c r="F1383" s="10">
        <f t="shared" si="21"/>
        <v>-1</v>
      </c>
      <c r="G1383" cm="1">
        <f t="array" ref="G1383:J1383">_xlfn.XLOOKUP(A1383, Sheet1!A:A, Sheet1!C:F)</f>
        <v>6.5</v>
      </c>
      <c r="H1383">
        <v>20.3</v>
      </c>
      <c r="I1383">
        <v>27.2</v>
      </c>
      <c r="J1383">
        <v>8.4</v>
      </c>
    </row>
    <row r="1384" spans="1:10" x14ac:dyDescent="0.3">
      <c r="A1384" t="str" cm="1">
        <f t="array" ref="A1384">IF(ROW()&lt;=COUNTA(Sheet1!A:A), INDEX(Sheet1!A:A, ROW()),
INDEX(Sheet4!A:A, ROW()-COUNTA(Sheet1!A:A)))</f>
        <v>Al38.894Cr12.522Fe16.16Co14.203Ni18.221</v>
      </c>
      <c r="B1384" s="10">
        <f>_xlfn.XLOOKUP(A1384, Sheet4!A:A, Sheet4!C:C)</f>
        <v>0</v>
      </c>
      <c r="C1384" s="10">
        <v>-1</v>
      </c>
      <c r="D1384" s="10">
        <f>_xlfn.XLOOKUP(A1384, Sheet2!A:A, Sheet2!B:B)</f>
        <v>6.3113000000000001</v>
      </c>
      <c r="E1384" s="10">
        <f>_xlfn.XLOOKUP(A1384, Sheet1!A:A, Sheet1!G:G)</f>
        <v>-1</v>
      </c>
      <c r="F1384" s="10">
        <f t="shared" si="21"/>
        <v>-1</v>
      </c>
      <c r="G1384" cm="1">
        <f t="array" ref="G1384:J1384">_xlfn.XLOOKUP(A1384, Sheet1!A:A, Sheet1!C:F)</f>
        <v>6.4656000000000002</v>
      </c>
      <c r="H1384">
        <v>20.34</v>
      </c>
      <c r="I1384">
        <v>27.196999999999999</v>
      </c>
      <c r="J1384">
        <v>8.3725000000000005</v>
      </c>
    </row>
    <row r="1385" spans="1:10" x14ac:dyDescent="0.3">
      <c r="A1385" t="str" cm="1">
        <f t="array" ref="A1385">IF(ROW()&lt;=COUNTA(Sheet1!A:A), INDEX(Sheet1!A:A, ROW()),
INDEX(Sheet4!A:A, ROW()-COUNTA(Sheet1!A:A)))</f>
        <v>Al38.9Cr12.5Fe16.2Co14.2Ni18.2</v>
      </c>
      <c r="B1385" s="10">
        <f>_xlfn.XLOOKUP(A1385, Sheet4!A:A, Sheet4!C:C)</f>
        <v>0</v>
      </c>
      <c r="C1385" s="10">
        <v>-1</v>
      </c>
      <c r="D1385" s="10">
        <f>_xlfn.XLOOKUP(A1385, Sheet2!A:A, Sheet2!B:B)</f>
        <v>6.3109999999999999</v>
      </c>
      <c r="E1385" s="10">
        <f>_xlfn.XLOOKUP(A1385, Sheet1!A:A, Sheet1!G:G)</f>
        <v>-1</v>
      </c>
      <c r="F1385" s="10">
        <f t="shared" si="21"/>
        <v>-1</v>
      </c>
      <c r="G1385" cm="1">
        <f t="array" ref="G1385:J1385">_xlfn.XLOOKUP(A1385, Sheet1!A:A, Sheet1!C:F)</f>
        <v>13.486000000000001</v>
      </c>
      <c r="H1385">
        <v>13.571999999999999</v>
      </c>
      <c r="I1385">
        <v>17.806999999999999</v>
      </c>
      <c r="J1385">
        <v>17.373999999999999</v>
      </c>
    </row>
    <row r="1386" spans="1:10" x14ac:dyDescent="0.3">
      <c r="A1386" t="str" cm="1">
        <f t="array" ref="A1386">IF(ROW()&lt;=COUNTA(Sheet1!A:A), INDEX(Sheet1!A:A, ROW()),
INDEX(Sheet4!A:A, ROW()-COUNTA(Sheet1!A:A)))</f>
        <v>Al39.297Cr16.432Fe21.932Co9.7305Ni12.609</v>
      </c>
      <c r="B1386" s="10">
        <f>_xlfn.XLOOKUP(A1386, Sheet4!A:A, Sheet4!C:C)</f>
        <v>0</v>
      </c>
      <c r="C1386" s="10">
        <v>-1</v>
      </c>
      <c r="D1386" s="10">
        <f>_xlfn.XLOOKUP(A1386, Sheet2!A:A, Sheet2!B:B)</f>
        <v>6.056</v>
      </c>
      <c r="E1386" s="10">
        <f>_xlfn.XLOOKUP(A1386, Sheet1!A:A, Sheet1!G:G)</f>
        <v>-1</v>
      </c>
      <c r="F1386" s="10">
        <f t="shared" si="21"/>
        <v>-1</v>
      </c>
      <c r="G1386" cm="1">
        <f t="array" ref="G1386:J1386">_xlfn.XLOOKUP(A1386, Sheet1!A:A, Sheet1!C:F)</f>
        <v>13.5</v>
      </c>
      <c r="H1386">
        <v>13.6</v>
      </c>
      <c r="I1386">
        <v>17.8</v>
      </c>
      <c r="J1386">
        <v>17.399999999999999</v>
      </c>
    </row>
    <row r="1387" spans="1:10" x14ac:dyDescent="0.3">
      <c r="A1387" t="str" cm="1">
        <f t="array" ref="A1387">IF(ROW()&lt;=COUNTA(Sheet1!A:A), INDEX(Sheet1!A:A, ROW()),
INDEX(Sheet4!A:A, ROW()-COUNTA(Sheet1!A:A)))</f>
        <v>Al39.3Cr16.4Fe21.9Co9.7Ni12.6</v>
      </c>
      <c r="B1387" s="10">
        <f>_xlfn.XLOOKUP(A1387, Sheet4!A:A, Sheet4!C:C)</f>
        <v>0</v>
      </c>
      <c r="C1387" s="10">
        <v>-1</v>
      </c>
      <c r="D1387" s="10">
        <f>_xlfn.XLOOKUP(A1387, Sheet2!A:A, Sheet2!B:B)</f>
        <v>6.0541</v>
      </c>
      <c r="E1387" s="10">
        <f>_xlfn.XLOOKUP(A1387, Sheet1!A:A, Sheet1!G:G)</f>
        <v>-1</v>
      </c>
      <c r="F1387" s="10">
        <f t="shared" si="21"/>
        <v>-1</v>
      </c>
      <c r="G1387" cm="1">
        <f t="array" ref="G1387:J1387">_xlfn.XLOOKUP(A1387, Sheet1!A:A, Sheet1!C:F)</f>
        <v>15.499000000000001</v>
      </c>
      <c r="H1387">
        <v>11.51</v>
      </c>
      <c r="I1387">
        <v>14.824</v>
      </c>
      <c r="J1387">
        <v>19.780999999999999</v>
      </c>
    </row>
    <row r="1388" spans="1:10" x14ac:dyDescent="0.3">
      <c r="A1388" t="str" cm="1">
        <f t="array" ref="A1388">IF(ROW()&lt;=COUNTA(Sheet1!A:A), INDEX(Sheet1!A:A, ROW()),
INDEX(Sheet4!A:A, ROW()-COUNTA(Sheet1!A:A)))</f>
        <v>Al2.6CoCrFeNi</v>
      </c>
      <c r="B1388" s="10">
        <f>_xlfn.XLOOKUP(A1388, Sheet4!A:A, Sheet4!C:C)</f>
        <v>0</v>
      </c>
      <c r="C1388" s="10">
        <v>-1</v>
      </c>
      <c r="D1388" s="10">
        <f>_xlfn.XLOOKUP(A1388, Sheet2!A:A, Sheet2!B:B)</f>
        <v>6.1818</v>
      </c>
      <c r="E1388" s="10">
        <f>_xlfn.XLOOKUP(A1388, Sheet1!A:A, Sheet1!G:G)</f>
        <v>-1</v>
      </c>
      <c r="F1388" s="10">
        <f t="shared" si="21"/>
        <v>-1</v>
      </c>
      <c r="G1388" cm="1">
        <f t="array" ref="G1388:J1388">_xlfn.XLOOKUP(A1388, Sheet1!A:A, Sheet1!C:F)</f>
        <v>15.5</v>
      </c>
      <c r="H1388">
        <v>11.5</v>
      </c>
      <c r="I1388">
        <v>14.8</v>
      </c>
      <c r="J1388">
        <v>19.8</v>
      </c>
    </row>
    <row r="1389" spans="1:10" x14ac:dyDescent="0.3">
      <c r="A1389" t="str" cm="1">
        <f t="array" ref="A1389">IF(ROW()&lt;=COUNTA(Sheet1!A:A), INDEX(Sheet1!A:A, ROW()),
INDEX(Sheet4!A:A, ROW()-COUNTA(Sheet1!A:A)))</f>
        <v>Al39.855Cr15.34Fe20.103Co10.834Ni13.868</v>
      </c>
      <c r="B1389" s="10">
        <f>_xlfn.XLOOKUP(A1389, Sheet4!A:A, Sheet4!C:C)</f>
        <v>0</v>
      </c>
      <c r="C1389" s="10">
        <v>-1</v>
      </c>
      <c r="D1389" s="10">
        <f>_xlfn.XLOOKUP(A1389, Sheet2!A:A, Sheet2!B:B)</f>
        <v>6.0861000000000001</v>
      </c>
      <c r="E1389" s="10">
        <f>_xlfn.XLOOKUP(A1389, Sheet1!A:A, Sheet1!G:G)</f>
        <v>-1</v>
      </c>
      <c r="F1389" s="10">
        <f t="shared" si="21"/>
        <v>-1</v>
      </c>
      <c r="G1389" cm="1">
        <f t="array" ref="G1389:J1389">_xlfn.XLOOKUP(A1389, Sheet1!A:A, Sheet1!C:F)</f>
        <v>8.9050999999999991</v>
      </c>
      <c r="H1389">
        <v>17.672000000000001</v>
      </c>
      <c r="I1389">
        <v>23.460999999999999</v>
      </c>
      <c r="J1389">
        <v>11.51</v>
      </c>
    </row>
    <row r="1390" spans="1:10" x14ac:dyDescent="0.3">
      <c r="A1390" t="str" cm="1">
        <f t="array" ref="A1390">IF(ROW()&lt;=COUNTA(Sheet1!A:A), INDEX(Sheet1!A:A, ROW()),
INDEX(Sheet4!A:A, ROW()-COUNTA(Sheet1!A:A)))</f>
        <v>Al39.9Cr15.3Fe20.1Co10.8Ni13.9</v>
      </c>
      <c r="B1390" s="10">
        <f>_xlfn.XLOOKUP(A1390, Sheet4!A:A, Sheet4!C:C)</f>
        <v>0</v>
      </c>
      <c r="C1390" s="10">
        <v>-1</v>
      </c>
      <c r="D1390" s="10">
        <f>_xlfn.XLOOKUP(A1390, Sheet2!A:A, Sheet2!B:B)</f>
        <v>6.085</v>
      </c>
      <c r="E1390" s="10">
        <f>_xlfn.XLOOKUP(A1390, Sheet1!A:A, Sheet1!G:G)</f>
        <v>-1</v>
      </c>
      <c r="F1390" s="10">
        <f t="shared" si="21"/>
        <v>-1</v>
      </c>
      <c r="G1390" cm="1">
        <f t="array" ref="G1390:J1390">_xlfn.XLOOKUP(A1390, Sheet1!A:A, Sheet1!C:F)</f>
        <v>8.9</v>
      </c>
      <c r="H1390">
        <v>17.7</v>
      </c>
      <c r="I1390">
        <v>23.5</v>
      </c>
      <c r="J1390">
        <v>11.5</v>
      </c>
    </row>
    <row r="1391" spans="1:10" x14ac:dyDescent="0.3">
      <c r="A1391" t="str" cm="1">
        <f t="array" ref="A1391">IF(ROW()&lt;=COUNTA(Sheet1!A:A), INDEX(Sheet1!A:A, ROW()),
INDEX(Sheet4!A:A, ROW()-COUNTA(Sheet1!A:A)))</f>
        <v>Al40.2Cr18Fe23.9Co7.8Ni10.1</v>
      </c>
      <c r="B1391" s="10">
        <f>_xlfn.XLOOKUP(A1391, Sheet4!A:A, Sheet4!C:C)</f>
        <v>0</v>
      </c>
      <c r="C1391" s="10">
        <v>-1</v>
      </c>
      <c r="D1391" s="10">
        <f>_xlfn.XLOOKUP(A1391, Sheet2!A:A, Sheet2!B:B)</f>
        <v>5.91</v>
      </c>
      <c r="E1391" s="10">
        <f>_xlfn.XLOOKUP(A1391, Sheet1!A:A, Sheet1!G:G)</f>
        <v>-1</v>
      </c>
      <c r="F1391" s="10">
        <f t="shared" si="21"/>
        <v>-1</v>
      </c>
      <c r="G1391" cm="1">
        <f t="array" ref="G1391:J1391">_xlfn.XLOOKUP(A1391, Sheet1!A:A, Sheet1!C:F)</f>
        <v>15.38461538</v>
      </c>
      <c r="H1391">
        <v>15.38461538</v>
      </c>
      <c r="I1391">
        <v>15.38461538</v>
      </c>
      <c r="J1391">
        <v>15.38461538</v>
      </c>
    </row>
    <row r="1392" spans="1:10" x14ac:dyDescent="0.3">
      <c r="A1392" t="str" cm="1">
        <f t="array" ref="A1392">IF(ROW()&lt;=COUNTA(Sheet1!A:A), INDEX(Sheet1!A:A, ROW()),
INDEX(Sheet4!A:A, ROW()-COUNTA(Sheet1!A:A)))</f>
        <v>Al40.241Cr17.971Fe23.928Co7.7624Ni10.097</v>
      </c>
      <c r="B1392" s="10">
        <f>_xlfn.XLOOKUP(A1392, Sheet4!A:A, Sheet4!C:C)</f>
        <v>0</v>
      </c>
      <c r="C1392" s="10">
        <v>-1</v>
      </c>
      <c r="D1392" s="10">
        <f>_xlfn.XLOOKUP(A1392, Sheet2!A:A, Sheet2!B:B)</f>
        <v>5.9081000000000001</v>
      </c>
      <c r="E1392" s="10">
        <f>_xlfn.XLOOKUP(A1392, Sheet1!A:A, Sheet1!G:G)</f>
        <v>-1</v>
      </c>
      <c r="F1392" s="10">
        <f t="shared" si="21"/>
        <v>-1</v>
      </c>
      <c r="G1392" cm="1">
        <f t="array" ref="G1392:J1392">_xlfn.XLOOKUP(A1392, Sheet1!A:A, Sheet1!C:F)</f>
        <v>15.38461538</v>
      </c>
      <c r="H1392">
        <v>15.38461538</v>
      </c>
      <c r="I1392">
        <v>15.38461538</v>
      </c>
      <c r="J1392">
        <v>15.38461538</v>
      </c>
    </row>
    <row r="1393" spans="1:10" x14ac:dyDescent="0.3">
      <c r="A1393" t="str" cm="1">
        <f t="array" ref="A1393">IF(ROW()&lt;=COUNTA(Sheet1!A:A), INDEX(Sheet1!A:A, ROW()),
INDEX(Sheet4!A:A, ROW()-COUNTA(Sheet1!A:A)))</f>
        <v>Al2.7CoCrFeNi</v>
      </c>
      <c r="B1393" s="10">
        <f>_xlfn.XLOOKUP(A1393, Sheet4!A:A, Sheet4!C:C)</f>
        <v>0</v>
      </c>
      <c r="C1393" s="10">
        <v>-1</v>
      </c>
      <c r="D1393" s="10">
        <f>_xlfn.XLOOKUP(A1393, Sheet2!A:A, Sheet2!B:B)</f>
        <v>6.1342999999999996</v>
      </c>
      <c r="E1393" s="10">
        <f>_xlfn.XLOOKUP(A1393, Sheet1!A:A, Sheet1!G:G)</f>
        <v>-1</v>
      </c>
      <c r="F1393" s="10">
        <f t="shared" si="21"/>
        <v>-1</v>
      </c>
      <c r="G1393" cm="1">
        <f t="array" ref="G1393:J1393">_xlfn.XLOOKUP(A1393, Sheet1!A:A, Sheet1!C:F)</f>
        <v>7.1</v>
      </c>
      <c r="H1393">
        <v>19.3</v>
      </c>
      <c r="I1393">
        <v>25.5</v>
      </c>
      <c r="J1393">
        <v>9.3000000000000007</v>
      </c>
    </row>
    <row r="1394" spans="1:10" x14ac:dyDescent="0.3">
      <c r="A1394" t="str" cm="1">
        <f t="array" ref="A1394">IF(ROW()&lt;=COUNTA(Sheet1!A:A), INDEX(Sheet1!A:A, ROW()),
INDEX(Sheet4!A:A, ROW()-COUNTA(Sheet1!A:A)))</f>
        <v>Al40.6Cr14.2Fe18.4Co11.8Ni15</v>
      </c>
      <c r="B1394" s="10">
        <f>_xlfn.XLOOKUP(A1394, Sheet4!A:A, Sheet4!C:C)</f>
        <v>0</v>
      </c>
      <c r="C1394" s="10">
        <v>-1</v>
      </c>
      <c r="D1394" s="10">
        <f>_xlfn.XLOOKUP(A1394, Sheet2!A:A, Sheet2!B:B)</f>
        <v>6.1040000000000001</v>
      </c>
      <c r="E1394" s="10">
        <f>_xlfn.XLOOKUP(A1394, Sheet1!A:A, Sheet1!G:G)</f>
        <v>-1</v>
      </c>
      <c r="F1394" s="10">
        <f t="shared" si="21"/>
        <v>-1</v>
      </c>
      <c r="G1394" cm="1">
        <f t="array" ref="G1394:J1394">_xlfn.XLOOKUP(A1394, Sheet1!A:A, Sheet1!C:F)</f>
        <v>7.0669000000000004</v>
      </c>
      <c r="H1394">
        <v>19.338000000000001</v>
      </c>
      <c r="I1394">
        <v>25.495000000000001</v>
      </c>
      <c r="J1394">
        <v>9.2826000000000004</v>
      </c>
    </row>
    <row r="1395" spans="1:10" x14ac:dyDescent="0.3">
      <c r="A1395" t="str" cm="1">
        <f t="array" ref="A1395">IF(ROW()&lt;=COUNTA(Sheet1!A:A), INDEX(Sheet1!A:A, ROW()),
INDEX(Sheet4!A:A, ROW()-COUNTA(Sheet1!A:A)))</f>
        <v>Al40.615Cr14.19Fe18.416Co11.784Ni14.995</v>
      </c>
      <c r="B1395" s="10">
        <f>_xlfn.XLOOKUP(A1395, Sheet4!A:A, Sheet4!C:C)</f>
        <v>0</v>
      </c>
      <c r="C1395" s="10">
        <v>-1</v>
      </c>
      <c r="D1395" s="10">
        <f>_xlfn.XLOOKUP(A1395, Sheet2!A:A, Sheet2!B:B)</f>
        <v>6.1032000000000002</v>
      </c>
      <c r="E1395" s="10">
        <f>_xlfn.XLOOKUP(A1395, Sheet1!A:A, Sheet1!G:G)</f>
        <v>-1</v>
      </c>
      <c r="F1395" s="10">
        <f t="shared" si="21"/>
        <v>-1</v>
      </c>
      <c r="G1395" cm="1">
        <f t="array" ref="G1395:J1395">_xlfn.XLOOKUP(A1395, Sheet1!A:A, Sheet1!C:F)</f>
        <v>14.202999999999999</v>
      </c>
      <c r="H1395">
        <v>12.522</v>
      </c>
      <c r="I1395">
        <v>16.16</v>
      </c>
      <c r="J1395">
        <v>18.221</v>
      </c>
    </row>
    <row r="1396" spans="1:10" x14ac:dyDescent="0.3">
      <c r="A1396" t="str" cm="1">
        <f t="array" ref="A1396">IF(ROW()&lt;=COUNTA(Sheet1!A:A), INDEX(Sheet1!A:A, ROW()),
INDEX(Sheet4!A:A, ROW()-COUNTA(Sheet1!A:A)))</f>
        <v>Al2.75CoCrFeNi</v>
      </c>
      <c r="B1396" s="10">
        <f>_xlfn.XLOOKUP(A1396, Sheet4!A:A, Sheet4!C:C)</f>
        <v>0</v>
      </c>
      <c r="C1396" s="10">
        <v>-1</v>
      </c>
      <c r="D1396" s="10">
        <f>_xlfn.XLOOKUP(A1396, Sheet2!A:A, Sheet2!B:B)</f>
        <v>6.1111000000000004</v>
      </c>
      <c r="E1396" s="10">
        <f>_xlfn.XLOOKUP(A1396, Sheet1!A:A, Sheet1!G:G)</f>
        <v>-1</v>
      </c>
      <c r="F1396" s="10">
        <f t="shared" si="21"/>
        <v>-1</v>
      </c>
      <c r="G1396" cm="1">
        <f t="array" ref="G1396:J1396">_xlfn.XLOOKUP(A1396, Sheet1!A:A, Sheet1!C:F)</f>
        <v>14.2</v>
      </c>
      <c r="H1396">
        <v>12.5</v>
      </c>
      <c r="I1396">
        <v>16.2</v>
      </c>
      <c r="J1396">
        <v>18.2</v>
      </c>
    </row>
    <row r="1397" spans="1:10" x14ac:dyDescent="0.3">
      <c r="A1397" t="str" cm="1">
        <f t="array" ref="A1397">IF(ROW()&lt;=COUNTA(Sheet1!A:A), INDEX(Sheet1!A:A, ROW()),
INDEX(Sheet4!A:A, ROW()-COUNTA(Sheet1!A:A)))</f>
        <v>Al2.8CoCrFeNi</v>
      </c>
      <c r="B1397" s="10">
        <f>_xlfn.XLOOKUP(A1397, Sheet4!A:A, Sheet4!C:C)</f>
        <v>0</v>
      </c>
      <c r="C1397" s="10">
        <v>-1</v>
      </c>
      <c r="D1397" s="10">
        <f>_xlfn.XLOOKUP(A1397, Sheet2!A:A, Sheet2!B:B)</f>
        <v>6.0881999999999996</v>
      </c>
      <c r="E1397" s="10">
        <f>_xlfn.XLOOKUP(A1397, Sheet1!A:A, Sheet1!G:G)</f>
        <v>-1</v>
      </c>
      <c r="F1397" s="10">
        <f t="shared" si="21"/>
        <v>-1</v>
      </c>
      <c r="G1397" cm="1">
        <f t="array" ref="G1397:J1397">_xlfn.XLOOKUP(A1397, Sheet1!A:A, Sheet1!C:F)</f>
        <v>9.7304999999999993</v>
      </c>
      <c r="H1397">
        <v>16.431999999999999</v>
      </c>
      <c r="I1397">
        <v>21.931999999999999</v>
      </c>
      <c r="J1397">
        <v>12.609</v>
      </c>
    </row>
    <row r="1398" spans="1:10" x14ac:dyDescent="0.3">
      <c r="A1398" t="str" cm="1">
        <f t="array" ref="A1398">IF(ROW()&lt;=COUNTA(Sheet1!A:A), INDEX(Sheet1!A:A, ROW()),
INDEX(Sheet4!A:A, ROW()-COUNTA(Sheet1!A:A)))</f>
        <v>Al2.9CoCrFeNi</v>
      </c>
      <c r="B1398" s="10">
        <f>_xlfn.XLOOKUP(A1398, Sheet4!A:A, Sheet4!C:C)</f>
        <v>0</v>
      </c>
      <c r="C1398" s="10">
        <v>-1</v>
      </c>
      <c r="D1398" s="10">
        <f>_xlfn.XLOOKUP(A1398, Sheet2!A:A, Sheet2!B:B)</f>
        <v>6.0434999999999999</v>
      </c>
      <c r="E1398" s="10">
        <f>_xlfn.XLOOKUP(A1398, Sheet1!A:A, Sheet1!G:G)</f>
        <v>-1</v>
      </c>
      <c r="F1398" s="10">
        <f t="shared" si="21"/>
        <v>-1</v>
      </c>
      <c r="G1398" cm="1">
        <f t="array" ref="G1398:J1398">_xlfn.XLOOKUP(A1398, Sheet1!A:A, Sheet1!C:F)</f>
        <v>9.6999999999999993</v>
      </c>
      <c r="H1398">
        <v>16.399999999999999</v>
      </c>
      <c r="I1398">
        <v>21.9</v>
      </c>
      <c r="J1398">
        <v>12.6</v>
      </c>
    </row>
    <row r="1399" spans="1:10" x14ac:dyDescent="0.3">
      <c r="A1399" t="str" cm="1">
        <f t="array" ref="A1399">IF(ROW()&lt;=COUNTA(Sheet1!A:A), INDEX(Sheet1!A:A, ROW()),
INDEX(Sheet4!A:A, ROW()-COUNTA(Sheet1!A:A)))</f>
        <v>Al42.4Cr12.9Fe16.8Co12.2Ni15.7</v>
      </c>
      <c r="B1399" s="10">
        <f>_xlfn.XLOOKUP(A1399, Sheet4!A:A, Sheet4!C:C)</f>
        <v>0</v>
      </c>
      <c r="C1399" s="10">
        <v>-1</v>
      </c>
      <c r="D1399" s="10">
        <f>_xlfn.XLOOKUP(A1399, Sheet2!A:A, Sheet2!B:B)</f>
        <v>6.0579999999999998</v>
      </c>
      <c r="E1399" s="10">
        <f>_xlfn.XLOOKUP(A1399, Sheet1!A:A, Sheet1!G:G)</f>
        <v>-1</v>
      </c>
      <c r="F1399" s="10">
        <f t="shared" si="21"/>
        <v>-1</v>
      </c>
      <c r="G1399" cm="1">
        <f t="array" ref="G1399:J1399">_xlfn.XLOOKUP(A1399, Sheet1!A:A, Sheet1!C:F)</f>
        <v>15.15151515</v>
      </c>
      <c r="H1399">
        <v>15.15151515</v>
      </c>
      <c r="I1399">
        <v>15.15151515</v>
      </c>
      <c r="J1399">
        <v>15.15151515</v>
      </c>
    </row>
    <row r="1400" spans="1:10" x14ac:dyDescent="0.3">
      <c r="A1400" t="str" cm="1">
        <f t="array" ref="A1400">IF(ROW()&lt;=COUNTA(Sheet1!A:A), INDEX(Sheet1!A:A, ROW()),
INDEX(Sheet4!A:A, ROW()-COUNTA(Sheet1!A:A)))</f>
        <v>Al42.42Cr12.929Fe16.761Co12.235Ni15.656</v>
      </c>
      <c r="B1400" s="10">
        <f>_xlfn.XLOOKUP(A1400, Sheet4!A:A, Sheet4!C:C)</f>
        <v>0</v>
      </c>
      <c r="C1400" s="10">
        <v>-1</v>
      </c>
      <c r="D1400" s="10">
        <f>_xlfn.XLOOKUP(A1400, Sheet2!A:A, Sheet2!B:B)</f>
        <v>6.0559000000000003</v>
      </c>
      <c r="E1400" s="10">
        <f>_xlfn.XLOOKUP(A1400, Sheet1!A:A, Sheet1!G:G)</f>
        <v>-1</v>
      </c>
      <c r="F1400" s="10">
        <f t="shared" si="21"/>
        <v>-1</v>
      </c>
      <c r="G1400" cm="1">
        <f t="array" ref="G1400:J1400">_xlfn.XLOOKUP(A1400, Sheet1!A:A, Sheet1!C:F)</f>
        <v>10.834</v>
      </c>
      <c r="H1400">
        <v>15.34</v>
      </c>
      <c r="I1400">
        <v>20.103000000000002</v>
      </c>
      <c r="J1400">
        <v>13.868</v>
      </c>
    </row>
    <row r="1401" spans="1:10" x14ac:dyDescent="0.3">
      <c r="A1401" t="str" cm="1">
        <f t="array" ref="A1401">IF(ROW()&lt;=COUNTA(Sheet1!A:A), INDEX(Sheet1!A:A, ROW()),
INDEX(Sheet4!A:A, ROW()-COUNTA(Sheet1!A:A)))</f>
        <v>Al3CoCrFeNi</v>
      </c>
      <c r="B1401" s="10" t="str">
        <f>_xlfn.XLOOKUP(A1401, Sheet4!A:A, Sheet4!C:C)</f>
        <v>BCC</v>
      </c>
      <c r="C1401" s="10">
        <v>0</v>
      </c>
      <c r="D1401" s="10">
        <f>_xlfn.XLOOKUP(A1401, Sheet2!A:A, Sheet2!B:B)</f>
        <v>6</v>
      </c>
      <c r="E1401" s="10">
        <f>_xlfn.XLOOKUP(A1401, Sheet1!A:A, Sheet1!G:G)</f>
        <v>-1</v>
      </c>
      <c r="F1401" s="10">
        <f t="shared" si="21"/>
        <v>0</v>
      </c>
      <c r="G1401" cm="1">
        <f t="array" ref="G1401:J1401">_xlfn.XLOOKUP(A1401, Sheet1!A:A, Sheet1!C:F)</f>
        <v>10.8</v>
      </c>
      <c r="H1401">
        <v>15.3</v>
      </c>
      <c r="I1401">
        <v>20.100000000000001</v>
      </c>
      <c r="J1401">
        <v>13.9</v>
      </c>
    </row>
    <row r="1402" spans="1:10" x14ac:dyDescent="0.3">
      <c r="A1402" t="str" cm="1">
        <f t="array" ref="A1402">IF(ROW()&lt;=COUNTA(Sheet1!A:A), INDEX(Sheet1!A:A, ROW()),
INDEX(Sheet4!A:A, ROW()-COUNTA(Sheet1!A:A)))</f>
        <v>Al3CoCrFeNi</v>
      </c>
      <c r="B1402" s="10" t="str">
        <f>_xlfn.XLOOKUP(A1402, Sheet4!A:A, Sheet4!C:C)</f>
        <v>BCC</v>
      </c>
      <c r="C1402" s="10">
        <v>0</v>
      </c>
      <c r="D1402" s="10">
        <f>_xlfn.XLOOKUP(A1402, Sheet2!A:A, Sheet2!B:B)</f>
        <v>6</v>
      </c>
      <c r="E1402" s="10">
        <f>_xlfn.XLOOKUP(A1402, Sheet1!A:A, Sheet1!G:G)</f>
        <v>-1</v>
      </c>
      <c r="F1402" s="10">
        <f t="shared" si="21"/>
        <v>0</v>
      </c>
      <c r="G1402" cm="1">
        <f t="array" ref="G1402:J1402">_xlfn.XLOOKUP(A1402, Sheet1!A:A, Sheet1!C:F)</f>
        <v>10.8</v>
      </c>
      <c r="H1402">
        <v>15.3</v>
      </c>
      <c r="I1402">
        <v>20.100000000000001</v>
      </c>
      <c r="J1402">
        <v>13.9</v>
      </c>
    </row>
    <row r="1403" spans="1:10" x14ac:dyDescent="0.3">
      <c r="A1403" t="str" cm="1">
        <f t="array" ref="A1403">IF(ROW()&lt;=COUNTA(Sheet1!A:A), INDEX(Sheet1!A:A, ROW()),
INDEX(Sheet4!A:A, ROW()-COUNTA(Sheet1!A:A)))</f>
        <v>Al43.1Cr16.4Fe21.7Co8.3Ni10.6</v>
      </c>
      <c r="B1403" s="10">
        <f>_xlfn.XLOOKUP(A1403, Sheet4!A:A, Sheet4!C:C)</f>
        <v>0</v>
      </c>
      <c r="C1403" s="10">
        <v>-1</v>
      </c>
      <c r="D1403" s="10">
        <f>_xlfn.XLOOKUP(A1403, Sheet2!A:A, Sheet2!B:B)</f>
        <v>5.8141999999999996</v>
      </c>
      <c r="E1403" s="10">
        <f>_xlfn.XLOOKUP(A1403, Sheet1!A:A, Sheet1!G:G)</f>
        <v>-1</v>
      </c>
      <c r="F1403" s="10">
        <f t="shared" si="21"/>
        <v>-1</v>
      </c>
      <c r="G1403" cm="1">
        <f t="array" ref="G1403:J1403">_xlfn.XLOOKUP(A1403, Sheet1!A:A, Sheet1!C:F)</f>
        <v>7.8</v>
      </c>
      <c r="H1403">
        <v>18</v>
      </c>
      <c r="I1403">
        <v>23.9</v>
      </c>
      <c r="J1403">
        <v>10.1</v>
      </c>
    </row>
    <row r="1404" spans="1:10" x14ac:dyDescent="0.3">
      <c r="A1404" t="str" cm="1">
        <f t="array" ref="A1404">IF(ROW()&lt;=COUNTA(Sheet1!A:A), INDEX(Sheet1!A:A, ROW()),
INDEX(Sheet4!A:A, ROW()-COUNTA(Sheet1!A:A)))</f>
        <v>Al43.1Cr18Fe23.9Co6.5Ni8.5</v>
      </c>
      <c r="B1404" s="10">
        <f>_xlfn.XLOOKUP(A1404, Sheet4!A:A, Sheet4!C:C)</f>
        <v>0</v>
      </c>
      <c r="C1404" s="10">
        <v>-1</v>
      </c>
      <c r="D1404" s="10">
        <f>_xlfn.XLOOKUP(A1404, Sheet2!A:A, Sheet2!B:B)</f>
        <v>5.72</v>
      </c>
      <c r="E1404" s="10">
        <f>_xlfn.XLOOKUP(A1404, Sheet1!A:A, Sheet1!G:G)</f>
        <v>-1</v>
      </c>
      <c r="F1404" s="10">
        <f t="shared" si="21"/>
        <v>-1</v>
      </c>
      <c r="G1404" cm="1">
        <f t="array" ref="G1404:J1404">_xlfn.XLOOKUP(A1404, Sheet1!A:A, Sheet1!C:F)</f>
        <v>7.7624000000000004</v>
      </c>
      <c r="H1404">
        <v>17.971</v>
      </c>
      <c r="I1404">
        <v>23.928000000000001</v>
      </c>
      <c r="J1404">
        <v>10.097</v>
      </c>
    </row>
    <row r="1405" spans="1:10" x14ac:dyDescent="0.3">
      <c r="A1405" t="str" cm="1">
        <f t="array" ref="A1405">IF(ROW()&lt;=COUNTA(Sheet1!A:A), INDEX(Sheet1!A:A, ROW()),
INDEX(Sheet4!A:A, ROW()-COUNTA(Sheet1!A:A)))</f>
        <v>Al43.114Cr17.979Fe23.908Co6.5409Ni8.4581</v>
      </c>
      <c r="B1405" s="10">
        <f>_xlfn.XLOOKUP(A1405, Sheet4!A:A, Sheet4!C:C)</f>
        <v>0</v>
      </c>
      <c r="C1405" s="10">
        <v>-1</v>
      </c>
      <c r="D1405" s="10">
        <f>_xlfn.XLOOKUP(A1405, Sheet2!A:A, Sheet2!B:B)</f>
        <v>5.7192999999999996</v>
      </c>
      <c r="E1405" s="10">
        <f>_xlfn.XLOOKUP(A1405, Sheet1!A:A, Sheet1!G:G)</f>
        <v>-1</v>
      </c>
      <c r="F1405" s="10">
        <f t="shared" si="21"/>
        <v>-1</v>
      </c>
      <c r="G1405" cm="1">
        <f t="array" ref="G1405:J1405">_xlfn.XLOOKUP(A1405, Sheet1!A:A, Sheet1!C:F)</f>
        <v>14.925373130000001</v>
      </c>
      <c r="H1405">
        <v>14.925373130000001</v>
      </c>
      <c r="I1405">
        <v>14.925373130000001</v>
      </c>
      <c r="J1405">
        <v>14.925373130000001</v>
      </c>
    </row>
    <row r="1406" spans="1:10" x14ac:dyDescent="0.3">
      <c r="A1406" t="str" cm="1">
        <f t="array" ref="A1406">IF(ROW()&lt;=COUNTA(Sheet1!A:A), INDEX(Sheet1!A:A, ROW()),
INDEX(Sheet4!A:A, ROW()-COUNTA(Sheet1!A:A)))</f>
        <v>Al43.117Cr11.749Fe15.35Co13.044Ni16.74</v>
      </c>
      <c r="B1406" s="10">
        <f>_xlfn.XLOOKUP(A1406, Sheet4!A:A, Sheet4!C:C)</f>
        <v>0</v>
      </c>
      <c r="C1406" s="10">
        <v>-1</v>
      </c>
      <c r="D1406" s="10">
        <f>_xlfn.XLOOKUP(A1406, Sheet2!A:A, Sheet2!B:B)</f>
        <v>6.0743999999999998</v>
      </c>
      <c r="E1406" s="10">
        <f>_xlfn.XLOOKUP(A1406, Sheet1!A:A, Sheet1!G:G)</f>
        <v>-1</v>
      </c>
      <c r="F1406" s="10">
        <f t="shared" si="21"/>
        <v>-1</v>
      </c>
      <c r="G1406" cm="1">
        <f t="array" ref="G1406:J1406">_xlfn.XLOOKUP(A1406, Sheet1!A:A, Sheet1!C:F)</f>
        <v>11.8</v>
      </c>
      <c r="H1406">
        <v>14.2</v>
      </c>
      <c r="I1406">
        <v>18.399999999999999</v>
      </c>
      <c r="J1406">
        <v>15</v>
      </c>
    </row>
    <row r="1407" spans="1:10" x14ac:dyDescent="0.3">
      <c r="A1407" t="str" cm="1">
        <f t="array" ref="A1407">IF(ROW()&lt;=COUNTA(Sheet1!A:A), INDEX(Sheet1!A:A, ROW()),
INDEX(Sheet4!A:A, ROW()-COUNTA(Sheet1!A:A)))</f>
        <v>Al43.142Cr16.354Fe21.653Co8.2877Ni10.563</v>
      </c>
      <c r="B1407" s="10">
        <f>_xlfn.XLOOKUP(A1407, Sheet4!A:A, Sheet4!C:C)</f>
        <v>0</v>
      </c>
      <c r="C1407" s="10">
        <v>-1</v>
      </c>
      <c r="D1407" s="10">
        <f>_xlfn.XLOOKUP(A1407, Sheet2!A:A, Sheet2!B:B)</f>
        <v>5.81</v>
      </c>
      <c r="E1407" s="10">
        <f>_xlfn.XLOOKUP(A1407, Sheet1!A:A, Sheet1!G:G)</f>
        <v>-1</v>
      </c>
      <c r="F1407" s="10">
        <f t="shared" si="21"/>
        <v>-1</v>
      </c>
      <c r="G1407" cm="1">
        <f t="array" ref="G1407:J1407">_xlfn.XLOOKUP(A1407, Sheet1!A:A, Sheet1!C:F)</f>
        <v>11.784000000000001</v>
      </c>
      <c r="H1407">
        <v>14.19</v>
      </c>
      <c r="I1407">
        <v>18.416</v>
      </c>
      <c r="J1407">
        <v>14.994999999999999</v>
      </c>
    </row>
    <row r="1408" spans="1:10" x14ac:dyDescent="0.3">
      <c r="A1408" t="str" cm="1">
        <f t="array" ref="A1408">IF(ROW()&lt;=COUNTA(Sheet1!A:A), INDEX(Sheet1!A:A, ROW()),
INDEX(Sheet4!A:A, ROW()-COUNTA(Sheet1!A:A)))</f>
        <v>Al43.1Cr11.7Fe15.4Co13Ni16.7</v>
      </c>
      <c r="B1408" s="10">
        <f>_xlfn.XLOOKUP(A1408, Sheet4!A:A, Sheet4!C:C)</f>
        <v>0</v>
      </c>
      <c r="C1408" s="10">
        <v>-1</v>
      </c>
      <c r="D1408" s="10">
        <f>_xlfn.XLOOKUP(A1408, Sheet2!A:A, Sheet2!B:B)</f>
        <v>6.0731000000000002</v>
      </c>
      <c r="E1408" s="10">
        <f>_xlfn.XLOOKUP(A1408, Sheet1!A:A, Sheet1!G:G)</f>
        <v>-1</v>
      </c>
      <c r="F1408" s="10">
        <f t="shared" si="21"/>
        <v>-1</v>
      </c>
      <c r="G1408" cm="1">
        <f t="array" ref="G1408:J1408">_xlfn.XLOOKUP(A1408, Sheet1!A:A, Sheet1!C:F)</f>
        <v>14.81481481</v>
      </c>
      <c r="H1408">
        <v>14.81481481</v>
      </c>
      <c r="I1408">
        <v>14.81481481</v>
      </c>
      <c r="J1408">
        <v>14.81481481</v>
      </c>
    </row>
    <row r="1409" spans="1:10" x14ac:dyDescent="0.3">
      <c r="A1409" t="str" cm="1">
        <f t="array" ref="A1409">IF(ROW()&lt;=COUNTA(Sheet1!A:A), INDEX(Sheet1!A:A, ROW()),
INDEX(Sheet4!A:A, ROW()-COUNTA(Sheet1!A:A)))</f>
        <v>Al44.1Cr14.5Fe18.6Co10.1Ni12.8</v>
      </c>
      <c r="B1409" s="10">
        <f>_xlfn.XLOOKUP(A1409, Sheet4!A:A, Sheet4!C:C)</f>
        <v>0</v>
      </c>
      <c r="C1409" s="10">
        <v>-1</v>
      </c>
      <c r="D1409" s="10">
        <f>_xlfn.XLOOKUP(A1409, Sheet2!A:A, Sheet2!B:B)</f>
        <v>5.8640999999999996</v>
      </c>
      <c r="E1409" s="10">
        <f>_xlfn.XLOOKUP(A1409, Sheet1!A:A, Sheet1!G:G)</f>
        <v>-1</v>
      </c>
      <c r="F1409" s="10">
        <f t="shared" si="21"/>
        <v>-1</v>
      </c>
      <c r="G1409" cm="1">
        <f t="array" ref="G1409:J1409">_xlfn.XLOOKUP(A1409, Sheet1!A:A, Sheet1!C:F)</f>
        <v>14.70588235</v>
      </c>
      <c r="H1409">
        <v>14.70588235</v>
      </c>
      <c r="I1409">
        <v>14.70588235</v>
      </c>
      <c r="J1409">
        <v>14.70588235</v>
      </c>
    </row>
    <row r="1410" spans="1:10" x14ac:dyDescent="0.3">
      <c r="A1410" t="str" cm="1">
        <f t="array" ref="A1410">IF(ROW()&lt;=COUNTA(Sheet1!A:A), INDEX(Sheet1!A:A, ROW()),
INDEX(Sheet4!A:A, ROW()-COUNTA(Sheet1!A:A)))</f>
        <v>Al44.062Cr14.475Fe18.64Co10.066Ni12.757</v>
      </c>
      <c r="B1410" s="10">
        <f>_xlfn.XLOOKUP(A1410, Sheet4!A:A, Sheet4!C:C)</f>
        <v>0</v>
      </c>
      <c r="C1410" s="10">
        <v>-1</v>
      </c>
      <c r="D1410" s="10">
        <f>_xlfn.XLOOKUP(A1410, Sheet2!A:A, Sheet2!B:B)</f>
        <v>5.8632</v>
      </c>
      <c r="E1410" s="10">
        <f>_xlfn.XLOOKUP(A1410, Sheet1!A:A, Sheet1!G:G)</f>
        <v>-1</v>
      </c>
      <c r="F1410" s="10">
        <f t="shared" si="21"/>
        <v>-1</v>
      </c>
      <c r="G1410" cm="1">
        <f t="array" ref="G1410:J1410">_xlfn.XLOOKUP(A1410, Sheet1!A:A, Sheet1!C:F)</f>
        <v>14.49275362</v>
      </c>
      <c r="H1410">
        <v>14.49275362</v>
      </c>
      <c r="I1410">
        <v>14.49275362</v>
      </c>
      <c r="J1410">
        <v>14.49275362</v>
      </c>
    </row>
    <row r="1411" spans="1:10" x14ac:dyDescent="0.3">
      <c r="A1411" t="str" cm="1">
        <f t="array" ref="A1411">IF(ROW()&lt;=COUNTA(Sheet1!A:A), INDEX(Sheet1!A:A, ROW()),
INDEX(Sheet4!A:A, ROW()-COUNTA(Sheet1!A:A)))</f>
        <v>Al44.2Cr15.3Fe20.2Co8.9Ni11.5</v>
      </c>
      <c r="B1411" s="10">
        <f>_xlfn.XLOOKUP(A1411, Sheet4!A:A, Sheet4!C:C)</f>
        <v>0</v>
      </c>
      <c r="C1411" s="10">
        <v>-1</v>
      </c>
      <c r="D1411" s="10">
        <f>_xlfn.XLOOKUP(A1411, Sheet2!A:A, Sheet2!B:B)</f>
        <v>5.8052000000000001</v>
      </c>
      <c r="E1411" s="10">
        <f>_xlfn.XLOOKUP(A1411, Sheet1!A:A, Sheet1!G:G)</f>
        <v>-1</v>
      </c>
      <c r="F1411" s="10">
        <f t="shared" ref="F1411:F1422" si="22">IF(OR(C1411=1, E1411=1), 1,
   IF(OR(C1411=0, E1411=0), 0,
      -1))</f>
        <v>-1</v>
      </c>
      <c r="G1411" cm="1">
        <f t="array" ref="G1411:J1411">_xlfn.XLOOKUP(A1411, Sheet1!A:A, Sheet1!C:F)</f>
        <v>12.2</v>
      </c>
      <c r="H1411">
        <v>12.9</v>
      </c>
      <c r="I1411">
        <v>16.8</v>
      </c>
      <c r="J1411">
        <v>15.7</v>
      </c>
    </row>
    <row r="1412" spans="1:10" x14ac:dyDescent="0.3">
      <c r="A1412" t="str" cm="1">
        <f t="array" ref="A1412">IF(ROW()&lt;=COUNTA(Sheet1!A:A), INDEX(Sheet1!A:A, ROW()),
INDEX(Sheet4!A:A, ROW()-COUNTA(Sheet1!A:A)))</f>
        <v>Al44.177Cr15.275Fe20.197Co8.89Ni11.462</v>
      </c>
      <c r="B1412" s="10">
        <f>_xlfn.XLOOKUP(A1412, Sheet4!A:A, Sheet4!C:C)</f>
        <v>0</v>
      </c>
      <c r="C1412" s="10">
        <v>-1</v>
      </c>
      <c r="D1412" s="10">
        <f>_xlfn.XLOOKUP(A1412, Sheet2!A:A, Sheet2!B:B)</f>
        <v>5.8037999999999998</v>
      </c>
      <c r="E1412" s="10">
        <f>_xlfn.XLOOKUP(A1412, Sheet1!A:A, Sheet1!G:G)</f>
        <v>-1</v>
      </c>
      <c r="F1412" s="10">
        <f t="shared" si="22"/>
        <v>-1</v>
      </c>
      <c r="G1412" cm="1">
        <f t="array" ref="G1412:J1412">_xlfn.XLOOKUP(A1412, Sheet1!A:A, Sheet1!C:F)</f>
        <v>12.234999999999999</v>
      </c>
      <c r="H1412">
        <v>12.929</v>
      </c>
      <c r="I1412">
        <v>16.760999999999999</v>
      </c>
      <c r="J1412">
        <v>15.656000000000001</v>
      </c>
    </row>
    <row r="1413" spans="1:10" x14ac:dyDescent="0.3">
      <c r="A1413" t="str" cm="1">
        <f t="array" ref="A1413">IF(ROW()&lt;=COUNTA(Sheet1!A:A), INDEX(Sheet1!A:A, ROW()),
INDEX(Sheet4!A:A, ROW()-COUNTA(Sheet1!A:A)))</f>
        <v>Al44.8Cr16.7Fe21.9Co7.3Ni9.3</v>
      </c>
      <c r="B1413" s="10">
        <f>_xlfn.XLOOKUP(A1413, Sheet4!A:A, Sheet4!C:C)</f>
        <v>0</v>
      </c>
      <c r="C1413" s="10">
        <v>-1</v>
      </c>
      <c r="D1413" s="10">
        <f>_xlfn.XLOOKUP(A1413, Sheet2!A:A, Sheet2!B:B)</f>
        <v>5.6849999999999996</v>
      </c>
      <c r="E1413" s="10">
        <f>_xlfn.XLOOKUP(A1413, Sheet1!A:A, Sheet1!G:G)</f>
        <v>-1</v>
      </c>
      <c r="F1413" s="10">
        <f t="shared" si="22"/>
        <v>-1</v>
      </c>
      <c r="G1413" cm="1">
        <f t="array" ref="G1413:J1413">_xlfn.XLOOKUP(A1413, Sheet1!A:A, Sheet1!C:F)</f>
        <v>14.28571429</v>
      </c>
      <c r="H1413">
        <v>14.28571429</v>
      </c>
      <c r="I1413">
        <v>14.28571429</v>
      </c>
      <c r="J1413">
        <v>14.28571429</v>
      </c>
    </row>
    <row r="1414" spans="1:10" x14ac:dyDescent="0.3">
      <c r="A1414" t="str" cm="1">
        <f t="array" ref="A1414">IF(ROW()&lt;=COUNTA(Sheet1!A:A), INDEX(Sheet1!A:A, ROW()),
INDEX(Sheet4!A:A, ROW()-COUNTA(Sheet1!A:A)))</f>
        <v>Al44.821Cr16.684Fe21.855Co7.3438Ni9.2967</v>
      </c>
      <c r="B1414" s="10">
        <f>_xlfn.XLOOKUP(A1414, Sheet4!A:A, Sheet4!C:C)</f>
        <v>0</v>
      </c>
      <c r="C1414" s="10">
        <v>-1</v>
      </c>
      <c r="D1414" s="10">
        <f>_xlfn.XLOOKUP(A1414, Sheet2!A:A, Sheet2!B:B)</f>
        <v>5.6847000000000003</v>
      </c>
      <c r="E1414" s="10">
        <f>_xlfn.XLOOKUP(A1414, Sheet1!A:A, Sheet1!G:G)</f>
        <v>-1</v>
      </c>
      <c r="F1414" s="10">
        <f t="shared" si="22"/>
        <v>-1</v>
      </c>
      <c r="G1414" cm="1">
        <f t="array" ref="G1414:J1414">_xlfn.XLOOKUP(A1414, Sheet1!A:A, Sheet1!C:F)</f>
        <v>8.3000000000000007</v>
      </c>
      <c r="H1414">
        <v>16.399999999999999</v>
      </c>
      <c r="I1414">
        <v>21.7</v>
      </c>
      <c r="J1414">
        <v>10.6</v>
      </c>
    </row>
    <row r="1415" spans="1:10" x14ac:dyDescent="0.3">
      <c r="A1415" t="str" cm="1">
        <f t="array" ref="A1415">IF(ROW()&lt;=COUNTA(Sheet1!A:A), INDEX(Sheet1!A:A, ROW()),
INDEX(Sheet4!A:A, ROW()-COUNTA(Sheet1!A:A)))</f>
        <v>Al45.3Cr13.3Fe17.3Co10.6Ni13.5</v>
      </c>
      <c r="B1415" s="10">
        <f>_xlfn.XLOOKUP(A1415, Sheet4!A:A, Sheet4!C:C)</f>
        <v>0</v>
      </c>
      <c r="C1415" s="10">
        <v>-1</v>
      </c>
      <c r="D1415" s="10">
        <f>_xlfn.XLOOKUP(A1415, Sheet2!A:A, Sheet2!B:B)</f>
        <v>5.8449999999999998</v>
      </c>
      <c r="E1415" s="10">
        <f>_xlfn.XLOOKUP(A1415, Sheet1!A:A, Sheet1!G:G)</f>
        <v>-1</v>
      </c>
      <c r="F1415" s="10">
        <f t="shared" si="22"/>
        <v>-1</v>
      </c>
      <c r="G1415" cm="1">
        <f t="array" ref="G1415:J1415">_xlfn.XLOOKUP(A1415, Sheet1!A:A, Sheet1!C:F)</f>
        <v>6.5</v>
      </c>
      <c r="H1415">
        <v>18</v>
      </c>
      <c r="I1415">
        <v>23.9</v>
      </c>
      <c r="J1415">
        <v>8.5</v>
      </c>
    </row>
    <row r="1416" spans="1:10" x14ac:dyDescent="0.3">
      <c r="A1416" t="str" cm="1">
        <f t="array" ref="A1416">IF(ROW()&lt;=COUNTA(Sheet1!A:A), INDEX(Sheet1!A:A, ROW()),
INDEX(Sheet4!A:A, ROW()-COUNTA(Sheet1!A:A)))</f>
        <v>Al45.301Cr13.282Fe17.298Co10.592Ni13.526</v>
      </c>
      <c r="B1416" s="10">
        <f>_xlfn.XLOOKUP(A1416, Sheet4!A:A, Sheet4!C:C)</f>
        <v>0</v>
      </c>
      <c r="C1416" s="10">
        <v>-1</v>
      </c>
      <c r="D1416" s="10">
        <f>_xlfn.XLOOKUP(A1416, Sheet2!A:A, Sheet2!B:B)</f>
        <v>5.8456999999999999</v>
      </c>
      <c r="E1416" s="10">
        <f>_xlfn.XLOOKUP(A1416, Sheet1!A:A, Sheet1!G:G)</f>
        <v>-1</v>
      </c>
      <c r="F1416" s="10">
        <f t="shared" si="22"/>
        <v>-1</v>
      </c>
      <c r="G1416" cm="1">
        <f t="array" ref="G1416:J1416">_xlfn.XLOOKUP(A1416, Sheet1!A:A, Sheet1!C:F)</f>
        <v>6.5408999999999997</v>
      </c>
      <c r="H1416">
        <v>17.978999999999999</v>
      </c>
      <c r="I1416">
        <v>23.908000000000001</v>
      </c>
      <c r="J1416">
        <v>8.4581</v>
      </c>
    </row>
    <row r="1417" spans="1:10" x14ac:dyDescent="0.3">
      <c r="A1417" t="str" cm="1">
        <f t="array" ref="A1417">IF(ROW()&lt;=COUNTA(Sheet1!A:A), INDEX(Sheet1!A:A, ROW()),
INDEX(Sheet4!A:A, ROW()-COUNTA(Sheet1!A:A)))</f>
        <v>Al45.9Cr12.3Fe15.9Co11.4Ni14.5</v>
      </c>
      <c r="B1417" s="10">
        <f>_xlfn.XLOOKUP(A1417, Sheet4!A:A, Sheet4!C:C)</f>
        <v>0</v>
      </c>
      <c r="C1417" s="10">
        <v>-1</v>
      </c>
      <c r="D1417" s="10">
        <f>_xlfn.XLOOKUP(A1417, Sheet2!A:A, Sheet2!B:B)</f>
        <v>5.8630000000000004</v>
      </c>
      <c r="E1417" s="10">
        <f>_xlfn.XLOOKUP(A1417, Sheet1!A:A, Sheet1!G:G)</f>
        <v>-1</v>
      </c>
      <c r="F1417" s="10">
        <f t="shared" si="22"/>
        <v>-1</v>
      </c>
      <c r="G1417" cm="1">
        <f t="array" ref="G1417:J1417">_xlfn.XLOOKUP(A1417, Sheet1!A:A, Sheet1!C:F)</f>
        <v>13.044</v>
      </c>
      <c r="H1417">
        <v>11.749000000000001</v>
      </c>
      <c r="I1417">
        <v>15.35</v>
      </c>
      <c r="J1417">
        <v>16.739999999999998</v>
      </c>
    </row>
    <row r="1418" spans="1:10" x14ac:dyDescent="0.3">
      <c r="A1418" t="str" cm="1">
        <f t="array" ref="A1418">IF(ROW()&lt;=COUNTA(Sheet1!A:A), INDEX(Sheet1!A:A, ROW()),
INDEX(Sheet4!A:A, ROW()-COUNTA(Sheet1!A:A)))</f>
        <v>Al45.924Cr12.314Fe15.944Co11.363Ni14.455</v>
      </c>
      <c r="B1418" s="10">
        <f>_xlfn.XLOOKUP(A1418, Sheet4!A:A, Sheet4!C:C)</f>
        <v>0</v>
      </c>
      <c r="C1418" s="10">
        <v>-1</v>
      </c>
      <c r="D1418" s="10">
        <f>_xlfn.XLOOKUP(A1418, Sheet2!A:A, Sheet2!B:B)</f>
        <v>5.8601999999999999</v>
      </c>
      <c r="E1418" s="10">
        <f>_xlfn.XLOOKUP(A1418, Sheet1!A:A, Sheet1!G:G)</f>
        <v>-1</v>
      </c>
      <c r="F1418" s="10">
        <f t="shared" si="22"/>
        <v>-1</v>
      </c>
      <c r="G1418" cm="1">
        <f t="array" ref="G1418:J1418">_xlfn.XLOOKUP(A1418, Sheet1!A:A, Sheet1!C:F)</f>
        <v>8.2876999999999992</v>
      </c>
      <c r="H1418">
        <v>16.353999999999999</v>
      </c>
      <c r="I1418">
        <v>21.652999999999999</v>
      </c>
      <c r="J1418">
        <v>10.563000000000001</v>
      </c>
    </row>
    <row r="1419" spans="1:10" x14ac:dyDescent="0.3">
      <c r="A1419" t="str" cm="1">
        <f t="array" ref="A1419">IF(ROW()&lt;=COUNTA(Sheet1!A:A), INDEX(Sheet1!A:A, ROW()),
INDEX(Sheet4!A:A, ROW()-COUNTA(Sheet1!A:A)))</f>
        <v>Al46.9Cr15.3Fe20.2Co7.7Ni9.9</v>
      </c>
      <c r="B1419" s="10">
        <f>_xlfn.XLOOKUP(A1419, Sheet4!A:A, Sheet4!C:C)</f>
        <v>0</v>
      </c>
      <c r="C1419" s="10">
        <v>-1</v>
      </c>
      <c r="D1419" s="10">
        <f>_xlfn.XLOOKUP(A1419, Sheet2!A:A, Sheet2!B:B)</f>
        <v>5.6239999999999997</v>
      </c>
      <c r="E1419" s="10">
        <f>_xlfn.XLOOKUP(A1419, Sheet1!A:A, Sheet1!G:G)</f>
        <v>-1</v>
      </c>
      <c r="F1419" s="10">
        <f t="shared" si="22"/>
        <v>-1</v>
      </c>
      <c r="G1419" cm="1">
        <f t="array" ref="G1419:J1419">_xlfn.XLOOKUP(A1419, Sheet1!A:A, Sheet1!C:F)</f>
        <v>13</v>
      </c>
      <c r="H1419">
        <v>11.7</v>
      </c>
      <c r="I1419">
        <v>15.4</v>
      </c>
      <c r="J1419">
        <v>16.7</v>
      </c>
    </row>
    <row r="1420" spans="1:10" x14ac:dyDescent="0.3">
      <c r="A1420" t="str" cm="1">
        <f t="array" ref="A1420">IF(ROW()&lt;=COUNTA(Sheet1!A:A), INDEX(Sheet1!A:A, ROW()),
INDEX(Sheet4!A:A, ROW()-COUNTA(Sheet1!A:A)))</f>
        <v>Al46.945Cr15.265Fe20.238Co7.6552Ni9.8978</v>
      </c>
      <c r="B1420" s="10">
        <f>_xlfn.XLOOKUP(A1420, Sheet4!A:A, Sheet4!C:C)</f>
        <v>0</v>
      </c>
      <c r="C1420" s="10">
        <v>-1</v>
      </c>
      <c r="D1420" s="10">
        <f>_xlfn.XLOOKUP(A1420, Sheet2!A:A, Sheet2!B:B)</f>
        <v>5.6219999999999999</v>
      </c>
      <c r="E1420" s="10">
        <f>_xlfn.XLOOKUP(A1420, Sheet1!A:A, Sheet1!G:G)</f>
        <v>-1</v>
      </c>
      <c r="F1420" s="10">
        <f t="shared" si="22"/>
        <v>-1</v>
      </c>
      <c r="G1420" cm="1">
        <f t="array" ref="G1420:J1420">_xlfn.XLOOKUP(A1420, Sheet1!A:A, Sheet1!C:F)</f>
        <v>10.1</v>
      </c>
      <c r="H1420">
        <v>14.5</v>
      </c>
      <c r="I1420">
        <v>18.600000000000001</v>
      </c>
      <c r="J1420">
        <v>12.8</v>
      </c>
    </row>
    <row r="1421" spans="1:10" x14ac:dyDescent="0.3">
      <c r="A1421" t="str" cm="1">
        <f t="array" ref="A1421">IF(ROW()&lt;=COUNTA(Sheet1!A:A), INDEX(Sheet1!A:A, ROW()),
INDEX(Sheet4!A:A, ROW()-COUNTA(Sheet1!A:A)))</f>
        <v>Al47.507Cr14.498Fe18.909Co8.3443Ni10.742</v>
      </c>
      <c r="B1421" s="10">
        <f>_xlfn.XLOOKUP(A1421, Sheet4!A:A, Sheet4!C:C)</f>
        <v>0</v>
      </c>
      <c r="C1421" s="10">
        <v>-1</v>
      </c>
      <c r="D1421" s="10">
        <f>_xlfn.XLOOKUP(A1421, Sheet2!A:A, Sheet2!B:B)</f>
        <v>5.633</v>
      </c>
      <c r="E1421" s="10">
        <f>_xlfn.XLOOKUP(A1421, Sheet1!A:A, Sheet1!G:G)</f>
        <v>-1</v>
      </c>
      <c r="F1421" s="10">
        <f t="shared" si="22"/>
        <v>-1</v>
      </c>
      <c r="G1421" cm="1">
        <f t="array" ref="G1421:J1421">_xlfn.XLOOKUP(A1421, Sheet1!A:A, Sheet1!C:F)</f>
        <v>10.066000000000001</v>
      </c>
      <c r="H1421">
        <v>14.475</v>
      </c>
      <c r="I1421">
        <v>18.64</v>
      </c>
      <c r="J1421">
        <v>12.757</v>
      </c>
    </row>
    <row r="1422" spans="1:10" x14ac:dyDescent="0.3">
      <c r="A1422" t="str" cm="1">
        <f t="array" ref="A1422">IF(ROW()&lt;=COUNTA(Sheet1!A:A), INDEX(Sheet1!A:A, ROW()),
INDEX(Sheet4!A:A, ROW()-COUNTA(Sheet1!A:A)))</f>
        <v>Al47.5Cr14.5Fe18.9Co8.3Ni10.7</v>
      </c>
      <c r="B1422" s="10">
        <f>_xlfn.XLOOKUP(A1422, Sheet4!A:A, Sheet4!C:C)</f>
        <v>0</v>
      </c>
      <c r="C1422" s="10">
        <v>-1</v>
      </c>
      <c r="D1422" s="10">
        <f>_xlfn.XLOOKUP(A1422, Sheet2!A:A, Sheet2!B:B)</f>
        <v>5.6295999999999999</v>
      </c>
      <c r="E1422" s="10">
        <f>_xlfn.XLOOKUP(A1422, Sheet1!A:A, Sheet1!G:G)</f>
        <v>-1</v>
      </c>
      <c r="F1422" s="10">
        <f t="shared" si="22"/>
        <v>-1</v>
      </c>
      <c r="G1422" cm="1">
        <f t="array" ref="G1422:J1422">_xlfn.XLOOKUP(A1422, Sheet1!A:A, Sheet1!C:F)</f>
        <v>8.9</v>
      </c>
      <c r="H1422">
        <v>15.3</v>
      </c>
      <c r="I1422">
        <v>20.2</v>
      </c>
      <c r="J1422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2025-12-07T12:09:34Z</dcterms:modified>
</cp:coreProperties>
</file>